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drawings/drawing6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C662759D-C7B2-4BAA-824A-7DDECDA134AF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20" r:id="rId2"/>
    <sheet name="11月" sheetId="21" r:id="rId3"/>
    <sheet name="比較" sheetId="8" r:id="rId4"/>
    <sheet name="CSV" sheetId="3" r:id="rId5"/>
    <sheet name="消費分析" sheetId="6" r:id="rId6"/>
    <sheet name="フォーマット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4" i="1" l="1"/>
  <c r="L35" i="1"/>
  <c r="L36" i="1"/>
  <c r="L37" i="1"/>
  <c r="L38" i="1"/>
  <c r="L39" i="1"/>
  <c r="L40" i="1"/>
  <c r="L41" i="1"/>
  <c r="L42" i="1"/>
  <c r="L43" i="1"/>
  <c r="L44" i="1"/>
  <c r="L45" i="1"/>
  <c r="J31" i="1"/>
  <c r="N31" i="1"/>
  <c r="L79" i="1"/>
  <c r="L80" i="1"/>
  <c r="L81" i="1"/>
  <c r="L87" i="1"/>
  <c r="L88" i="1"/>
  <c r="L77" i="1"/>
  <c r="I78" i="1"/>
  <c r="I79" i="1"/>
  <c r="I80" i="1"/>
  <c r="I81" i="1"/>
  <c r="I82" i="1"/>
  <c r="I83" i="1"/>
  <c r="I84" i="1"/>
  <c r="I85" i="1"/>
  <c r="I86" i="1"/>
  <c r="I87" i="1"/>
  <c r="I88" i="1"/>
  <c r="I77" i="1"/>
  <c r="F78" i="1"/>
  <c r="L78" i="1" s="1"/>
  <c r="F79" i="1"/>
  <c r="F80" i="1"/>
  <c r="F81" i="1"/>
  <c r="F82" i="1"/>
  <c r="L82" i="1" s="1"/>
  <c r="F83" i="1"/>
  <c r="L83" i="1" s="1"/>
  <c r="F84" i="1"/>
  <c r="L84" i="1" s="1"/>
  <c r="F85" i="1"/>
  <c r="L85" i="1" s="1"/>
  <c r="F86" i="1"/>
  <c r="L86" i="1" s="1"/>
  <c r="F87" i="1"/>
  <c r="F88" i="1"/>
  <c r="F77" i="1"/>
  <c r="C78" i="1"/>
  <c r="C79" i="1"/>
  <c r="C80" i="1"/>
  <c r="C81" i="1"/>
  <c r="C82" i="1"/>
  <c r="C83" i="1"/>
  <c r="C84" i="1"/>
  <c r="C85" i="1"/>
  <c r="C86" i="1"/>
  <c r="C87" i="1"/>
  <c r="C88" i="1"/>
  <c r="C77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I63" i="1"/>
  <c r="J63" i="1"/>
  <c r="C63" i="1"/>
  <c r="L89" i="1" l="1"/>
  <c r="E34" i="1"/>
  <c r="H34" i="1"/>
  <c r="K34" i="1"/>
  <c r="K63" i="1" s="1"/>
  <c r="C37" i="20"/>
  <c r="GW38" i="21"/>
  <c r="GV38" i="21"/>
  <c r="GU38" i="21"/>
  <c r="GT38" i="21"/>
  <c r="GS38" i="21"/>
  <c r="GR38" i="21"/>
  <c r="GQ38" i="21"/>
  <c r="GP38" i="21"/>
  <c r="GO38" i="21"/>
  <c r="GN38" i="21"/>
  <c r="GM38" i="21"/>
  <c r="GL38" i="21"/>
  <c r="GK38" i="21"/>
  <c r="GJ38" i="21"/>
  <c r="GI38" i="21"/>
  <c r="GH38" i="21"/>
  <c r="GG38" i="21"/>
  <c r="GF38" i="21"/>
  <c r="GE38" i="21"/>
  <c r="GD38" i="21"/>
  <c r="GC38" i="21"/>
  <c r="GB38" i="21"/>
  <c r="GA38" i="21"/>
  <c r="FZ38" i="21"/>
  <c r="FX38" i="21"/>
  <c r="FW38" i="21"/>
  <c r="FV38" i="21"/>
  <c r="FU38" i="21"/>
  <c r="FT38" i="21"/>
  <c r="FS38" i="21"/>
  <c r="FR38" i="21"/>
  <c r="FQ38" i="21"/>
  <c r="FP38" i="21"/>
  <c r="FO38" i="21"/>
  <c r="FN38" i="21"/>
  <c r="FM38" i="21"/>
  <c r="FL38" i="21"/>
  <c r="FK38" i="21"/>
  <c r="FJ38" i="21"/>
  <c r="FI38" i="21"/>
  <c r="FH38" i="21"/>
  <c r="FG38" i="21"/>
  <c r="FF38" i="21"/>
  <c r="FE38" i="21"/>
  <c r="FD38" i="21"/>
  <c r="FC38" i="21"/>
  <c r="FB38" i="21"/>
  <c r="FA38" i="21"/>
  <c r="EY38" i="21"/>
  <c r="EX38" i="21"/>
  <c r="EW38" i="21"/>
  <c r="EV38" i="21"/>
  <c r="EU38" i="21"/>
  <c r="ET38" i="21"/>
  <c r="ES38" i="21"/>
  <c r="ER38" i="21"/>
  <c r="EQ38" i="21"/>
  <c r="EP38" i="21"/>
  <c r="EO38" i="21"/>
  <c r="EN38" i="21"/>
  <c r="EM38" i="21"/>
  <c r="EL38" i="21"/>
  <c r="EK38" i="21"/>
  <c r="EJ38" i="21"/>
  <c r="EI38" i="21"/>
  <c r="EH38" i="21"/>
  <c r="EG38" i="21"/>
  <c r="EF38" i="21"/>
  <c r="EE38" i="21"/>
  <c r="ED38" i="21"/>
  <c r="EC38" i="21"/>
  <c r="EB38" i="21"/>
  <c r="DX38" i="21"/>
  <c r="DV38" i="21"/>
  <c r="DT38" i="21"/>
  <c r="DR38" i="21"/>
  <c r="DP38" i="21"/>
  <c r="DN38" i="21"/>
  <c r="DL38" i="21"/>
  <c r="DJ38" i="21"/>
  <c r="DH38" i="21"/>
  <c r="DF38" i="21"/>
  <c r="DD38" i="21"/>
  <c r="DB38" i="21"/>
  <c r="CZ38" i="21"/>
  <c r="CX38" i="21"/>
  <c r="CV38" i="21"/>
  <c r="CT38" i="21"/>
  <c r="CR38" i="21"/>
  <c r="CP38" i="21"/>
  <c r="CN38" i="21"/>
  <c r="CL38" i="21"/>
  <c r="CJ38" i="21"/>
  <c r="CH38" i="21"/>
  <c r="CF38" i="21"/>
  <c r="CD38" i="21"/>
  <c r="CC38" i="21"/>
  <c r="CB38" i="21"/>
  <c r="CA38" i="21"/>
  <c r="BZ38" i="21"/>
  <c r="BY38" i="21"/>
  <c r="BX38" i="21"/>
  <c r="BW38" i="21"/>
  <c r="BV38" i="21"/>
  <c r="BU38" i="21"/>
  <c r="BT38" i="21"/>
  <c r="BS38" i="21"/>
  <c r="BR38" i="21"/>
  <c r="BQ38" i="21"/>
  <c r="BP38" i="21"/>
  <c r="BO38" i="21"/>
  <c r="BN38" i="21"/>
  <c r="BM38" i="21"/>
  <c r="BL38" i="21"/>
  <c r="BK38" i="21"/>
  <c r="BJ38" i="21"/>
  <c r="BI38" i="21"/>
  <c r="BH38" i="21"/>
  <c r="BG38" i="21"/>
  <c r="BF38" i="21"/>
  <c r="BB38" i="21"/>
  <c r="R38" i="21"/>
  <c r="P38" i="21"/>
  <c r="N38" i="21"/>
  <c r="L38" i="21"/>
  <c r="J38" i="2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AW36" i="21"/>
  <c r="C36" i="21"/>
  <c r="E36" i="21" s="1"/>
  <c r="AC36" i="21" s="1"/>
  <c r="GX35" i="21"/>
  <c r="FY35" i="21"/>
  <c r="EZ35" i="21"/>
  <c r="EA35" i="21"/>
  <c r="DZ35" i="2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C35" i="21"/>
  <c r="GX34" i="21"/>
  <c r="FY34" i="21"/>
  <c r="EZ34" i="21"/>
  <c r="EA34" i="21"/>
  <c r="DZ34" i="2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C34" i="21"/>
  <c r="E34" i="21" s="1"/>
  <c r="GX33" i="21"/>
  <c r="FY33" i="21"/>
  <c r="EZ33" i="21"/>
  <c r="EA33" i="21"/>
  <c r="DZ33" i="2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C33" i="21"/>
  <c r="E33" i="21" s="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C32" i="21"/>
  <c r="E32" i="21" s="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C31" i="21"/>
  <c r="E31" i="21" s="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C30" i="21"/>
  <c r="E30" i="21" s="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AE29" i="21"/>
  <c r="AA29" i="21"/>
  <c r="E29" i="21"/>
  <c r="BC29" i="21" s="1"/>
  <c r="C29" i="2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C28" i="21"/>
  <c r="E28" i="21" s="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C27" i="21"/>
  <c r="E27" i="21" s="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C26" i="21"/>
  <c r="E26" i="21" s="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C25" i="21"/>
  <c r="E25" i="21" s="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C24" i="21"/>
  <c r="E24" i="21" s="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C23" i="21"/>
  <c r="E23" i="21" s="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C22" i="21"/>
  <c r="E22" i="21" s="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C21" i="21"/>
  <c r="E21" i="21" s="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C20" i="21"/>
  <c r="E20" i="21" s="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C19" i="21"/>
  <c r="E19" i="21" s="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C18" i="21"/>
  <c r="E18" i="21" s="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C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U16" i="21"/>
  <c r="C16" i="21"/>
  <c r="E16" i="21" s="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AC15" i="21"/>
  <c r="C15" i="21"/>
  <c r="E15" i="21" s="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C14" i="21"/>
  <c r="E14" i="21" s="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C13" i="21"/>
  <c r="E13" i="21" s="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C12" i="21"/>
  <c r="E12" i="21" s="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C11" i="21"/>
  <c r="E11" i="21" s="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C10" i="21"/>
  <c r="E10" i="21" s="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C9" i="21"/>
  <c r="E9" i="21" s="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C8" i="21"/>
  <c r="E8" i="21" s="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C7" i="21"/>
  <c r="E7" i="21" s="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W38" i="20"/>
  <c r="GV38" i="20"/>
  <c r="GU38" i="20"/>
  <c r="GT38" i="20"/>
  <c r="GS38" i="20"/>
  <c r="GR38" i="20"/>
  <c r="GQ38" i="20"/>
  <c r="GP38" i="20"/>
  <c r="GO38" i="20"/>
  <c r="GN38" i="20"/>
  <c r="GM38" i="20"/>
  <c r="GL38" i="20"/>
  <c r="GK38" i="20"/>
  <c r="GJ38" i="20"/>
  <c r="GI38" i="20"/>
  <c r="GH38" i="20"/>
  <c r="GG38" i="20"/>
  <c r="GF38" i="20"/>
  <c r="GE38" i="20"/>
  <c r="GD38" i="20"/>
  <c r="GC38" i="20"/>
  <c r="GB38" i="20"/>
  <c r="GA38" i="20"/>
  <c r="FZ38" i="20"/>
  <c r="FX38" i="20"/>
  <c r="FW38" i="20"/>
  <c r="FV38" i="20"/>
  <c r="FU38" i="20"/>
  <c r="FT38" i="20"/>
  <c r="FS38" i="20"/>
  <c r="FR38" i="20"/>
  <c r="FQ38" i="20"/>
  <c r="FP38" i="20"/>
  <c r="FO38" i="20"/>
  <c r="FN38" i="20"/>
  <c r="FM38" i="20"/>
  <c r="FL38" i="20"/>
  <c r="FK38" i="20"/>
  <c r="FJ38" i="20"/>
  <c r="FI38" i="20"/>
  <c r="FH38" i="20"/>
  <c r="FG38" i="20"/>
  <c r="FF38" i="20"/>
  <c r="FE38" i="20"/>
  <c r="FD38" i="20"/>
  <c r="FC38" i="20"/>
  <c r="FB38" i="20"/>
  <c r="FA38" i="20"/>
  <c r="EY38" i="20"/>
  <c r="EX38" i="20"/>
  <c r="EW38" i="20"/>
  <c r="EV38" i="20"/>
  <c r="EU38" i="20"/>
  <c r="ET38" i="20"/>
  <c r="ES38" i="20"/>
  <c r="ER38" i="20"/>
  <c r="EQ38" i="20"/>
  <c r="EP38" i="20"/>
  <c r="EO38" i="20"/>
  <c r="EN38" i="20"/>
  <c r="EM38" i="20"/>
  <c r="EL38" i="20"/>
  <c r="EK38" i="20"/>
  <c r="EJ38" i="20"/>
  <c r="EI38" i="20"/>
  <c r="EH38" i="20"/>
  <c r="EG38" i="20"/>
  <c r="EF38" i="20"/>
  <c r="EE38" i="20"/>
  <c r="ED38" i="20"/>
  <c r="EC38" i="20"/>
  <c r="EB38" i="20"/>
  <c r="DX38" i="20"/>
  <c r="DV38" i="20"/>
  <c r="DT38" i="20"/>
  <c r="DR38" i="20"/>
  <c r="DP38" i="20"/>
  <c r="DN38" i="20"/>
  <c r="DL38" i="20"/>
  <c r="DJ38" i="20"/>
  <c r="DH38" i="20"/>
  <c r="DF38" i="20"/>
  <c r="DD38" i="20"/>
  <c r="DB38" i="20"/>
  <c r="CZ38" i="20"/>
  <c r="CX38" i="20"/>
  <c r="CV38" i="20"/>
  <c r="CT38" i="20"/>
  <c r="CR38" i="20"/>
  <c r="CP38" i="20"/>
  <c r="CN38" i="20"/>
  <c r="CL38" i="20"/>
  <c r="CJ38" i="20"/>
  <c r="CH38" i="20"/>
  <c r="CF38" i="20"/>
  <c r="CD38" i="20"/>
  <c r="CC38" i="20"/>
  <c r="CB38" i="20"/>
  <c r="CA38" i="20"/>
  <c r="BZ38" i="20"/>
  <c r="BY38" i="20"/>
  <c r="BX38" i="20"/>
  <c r="BW38" i="20"/>
  <c r="BV38" i="20"/>
  <c r="BU38" i="20"/>
  <c r="BT38" i="20"/>
  <c r="BS38" i="20"/>
  <c r="BR38" i="20"/>
  <c r="BQ38" i="20"/>
  <c r="BP38" i="20"/>
  <c r="BO38" i="20"/>
  <c r="BN38" i="20"/>
  <c r="BM38" i="20"/>
  <c r="BL38" i="20"/>
  <c r="BK38" i="20"/>
  <c r="BJ38" i="20"/>
  <c r="BI38" i="20"/>
  <c r="BH38" i="20"/>
  <c r="BG38" i="20"/>
  <c r="BF38" i="20"/>
  <c r="BB38" i="20"/>
  <c r="R38" i="20"/>
  <c r="P38" i="20"/>
  <c r="N38" i="20"/>
  <c r="L38" i="20"/>
  <c r="J38" i="20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C36" i="20"/>
  <c r="E36" i="20" s="1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C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C34" i="20"/>
  <c r="E34" i="20" s="1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C33" i="20"/>
  <c r="E33" i="20" s="1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C32" i="20"/>
  <c r="E32" i="20" s="1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C31" i="20"/>
  <c r="E31" i="20" s="1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C30" i="20"/>
  <c r="E30" i="20" s="1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C29" i="20"/>
  <c r="E29" i="20" s="1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C28" i="20"/>
  <c r="E28" i="20" s="1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C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AU26" i="20"/>
  <c r="AS26" i="20"/>
  <c r="AI26" i="20"/>
  <c r="AA26" i="20"/>
  <c r="S26" i="20"/>
  <c r="O26" i="20"/>
  <c r="M26" i="20"/>
  <c r="K26" i="20"/>
  <c r="C26" i="20"/>
  <c r="E26" i="20" s="1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AK25" i="20"/>
  <c r="C25" i="20"/>
  <c r="E25" i="20" s="1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C24" i="20"/>
  <c r="E24" i="20" s="1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C23" i="20"/>
  <c r="E23" i="20" s="1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C22" i="20"/>
  <c r="E22" i="20" s="1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C21" i="20"/>
  <c r="E21" i="20" s="1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C20" i="20"/>
  <c r="E20" i="20" s="1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C19" i="20"/>
  <c r="E19" i="20" s="1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C18" i="20"/>
  <c r="E18" i="20" s="1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C17" i="20"/>
  <c r="E17" i="20" s="1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C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C15" i="20"/>
  <c r="E15" i="20" s="1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C14" i="20"/>
  <c r="E14" i="20" s="1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C13" i="20"/>
  <c r="E13" i="20" s="1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C12" i="20"/>
  <c r="E12" i="20" s="1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C11" i="20"/>
  <c r="E11" i="20" s="1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C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C9" i="20"/>
  <c r="E9" i="20" s="1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C8" i="20"/>
  <c r="E8" i="20" s="1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C7" i="20"/>
  <c r="E7" i="20" s="1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L34" i="1" l="1"/>
  <c r="K31" i="1" s="1"/>
  <c r="H63" i="1"/>
  <c r="G77" i="1"/>
  <c r="E63" i="1"/>
  <c r="J77" i="1"/>
  <c r="D77" i="1"/>
  <c r="DS38" i="21"/>
  <c r="DW38" i="21"/>
  <c r="DG38" i="21"/>
  <c r="CQ38" i="21"/>
  <c r="CI38" i="21"/>
  <c r="DI38" i="21"/>
  <c r="DA38" i="21"/>
  <c r="DA38" i="20"/>
  <c r="DO38" i="20"/>
  <c r="DG38" i="20"/>
  <c r="CY38" i="20"/>
  <c r="DQ38" i="20"/>
  <c r="DM38" i="20"/>
  <c r="CW38" i="20"/>
  <c r="CK38" i="20"/>
  <c r="CI38" i="20"/>
  <c r="CG38" i="20"/>
  <c r="FY38" i="20"/>
  <c r="EZ38" i="20"/>
  <c r="BD38" i="20"/>
  <c r="CQ38" i="20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CY38" i="21"/>
  <c r="DO38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BD38" i="21"/>
  <c r="M23" i="21"/>
  <c r="CE38" i="21"/>
  <c r="DZ38" i="21"/>
  <c r="EA7" i="21"/>
  <c r="EA38" i="21" s="1"/>
  <c r="S23" i="21"/>
  <c r="I9" i="21"/>
  <c r="CK38" i="21"/>
  <c r="DQ38" i="21"/>
  <c r="GX38" i="21"/>
  <c r="CS38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DY38" i="21"/>
  <c r="CU38" i="21"/>
  <c r="DK38" i="21"/>
  <c r="CM38" i="21"/>
  <c r="DC38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CO38" i="21"/>
  <c r="DE38" i="21"/>
  <c r="DU38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CG38" i="21"/>
  <c r="CW38" i="21"/>
  <c r="DM38" i="21"/>
  <c r="I36" i="21"/>
  <c r="AO36" i="21"/>
  <c r="EZ38" i="21"/>
  <c r="M29" i="21"/>
  <c r="AO29" i="21"/>
  <c r="K36" i="21"/>
  <c r="AQ36" i="21"/>
  <c r="FY38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EA38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CM38" i="20"/>
  <c r="DC38" i="20"/>
  <c r="DS38" i="20"/>
  <c r="GX38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Q21" i="20"/>
  <c r="W32" i="20"/>
  <c r="S34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DW38" i="20"/>
  <c r="CE38" i="20"/>
  <c r="CU38" i="20"/>
  <c r="DK38" i="20"/>
  <c r="DZ38" i="20"/>
  <c r="AE18" i="20"/>
  <c r="Q19" i="20"/>
  <c r="U20" i="20"/>
  <c r="K25" i="20"/>
  <c r="AS25" i="20"/>
  <c r="AS32" i="20"/>
  <c r="CO38" i="20"/>
  <c r="DE38" i="20"/>
  <c r="DU38" i="20"/>
  <c r="CS38" i="20"/>
  <c r="DI38" i="20"/>
  <c r="DY38" i="20"/>
  <c r="BC26" i="20"/>
  <c r="AM26" i="20"/>
  <c r="W26" i="20"/>
  <c r="BA26" i="20"/>
  <c r="AK26" i="20"/>
  <c r="U26" i="20"/>
  <c r="AW26" i="20"/>
  <c r="AG26" i="20"/>
  <c r="Q26" i="20"/>
  <c r="AC26" i="20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Q36" i="7"/>
  <c r="Q30" i="7"/>
  <c r="Q29" i="7"/>
  <c r="Q24" i="7"/>
  <c r="Q23" i="7"/>
  <c r="Q22" i="7"/>
  <c r="Q16" i="7"/>
  <c r="Q15" i="7"/>
  <c r="Q13" i="7"/>
  <c r="Q9" i="7"/>
  <c r="Q8" i="7"/>
  <c r="BC36" i="7"/>
  <c r="O36" i="7"/>
  <c r="O30" i="7"/>
  <c r="O29" i="7"/>
  <c r="BC23" i="7"/>
  <c r="O23" i="7"/>
  <c r="O22" i="7"/>
  <c r="O16" i="7"/>
  <c r="BC15" i="7"/>
  <c r="O15" i="7"/>
  <c r="O9" i="7"/>
  <c r="O8" i="7"/>
  <c r="M36" i="7"/>
  <c r="M32" i="7"/>
  <c r="M30" i="7"/>
  <c r="M29" i="7"/>
  <c r="M24" i="7"/>
  <c r="M23" i="7"/>
  <c r="M22" i="7"/>
  <c r="M16" i="7"/>
  <c r="M15" i="7"/>
  <c r="M9" i="7"/>
  <c r="M8" i="7"/>
  <c r="K36" i="7"/>
  <c r="K30" i="7"/>
  <c r="K29" i="7"/>
  <c r="K23" i="7"/>
  <c r="K22" i="7"/>
  <c r="K16" i="7"/>
  <c r="K15" i="7"/>
  <c r="K9" i="7"/>
  <c r="K8" i="7"/>
  <c r="I36" i="7"/>
  <c r="I30" i="7"/>
  <c r="I29" i="7"/>
  <c r="I23" i="7"/>
  <c r="I22" i="7"/>
  <c r="I16" i="7"/>
  <c r="I15" i="7"/>
  <c r="I14" i="7"/>
  <c r="I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BC7" i="21" s="1"/>
  <c r="C28" i="1"/>
  <c r="C27" i="1"/>
  <c r="AY31" i="20" s="1"/>
  <c r="C26" i="1"/>
  <c r="AW23" i="20" s="1"/>
  <c r="C25" i="1"/>
  <c r="AU30" i="20" s="1"/>
  <c r="C24" i="1"/>
  <c r="C23" i="1"/>
  <c r="C22" i="1"/>
  <c r="C21" i="1"/>
  <c r="C20" i="1"/>
  <c r="AK13" i="20" s="1"/>
  <c r="C19" i="1"/>
  <c r="AI27" i="20" s="1"/>
  <c r="C18" i="1"/>
  <c r="C17" i="1"/>
  <c r="AE16" i="20" s="1"/>
  <c r="C16" i="1"/>
  <c r="C15" i="1"/>
  <c r="AA11" i="21" s="1"/>
  <c r="C14" i="1"/>
  <c r="C13" i="1"/>
  <c r="W24" i="21" s="1"/>
  <c r="C12" i="1"/>
  <c r="U31" i="21" s="1"/>
  <c r="C11" i="1"/>
  <c r="S10" i="7" s="1"/>
  <c r="C10" i="1"/>
  <c r="Q12" i="21" s="1"/>
  <c r="C9" i="1"/>
  <c r="O21" i="21" s="1"/>
  <c r="C8" i="1"/>
  <c r="M31" i="7" s="1"/>
  <c r="C7" i="1"/>
  <c r="K14" i="7" s="1"/>
  <c r="C6" i="1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M77" i="1" l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BE24" i="21" s="1"/>
  <c r="AK7" i="21"/>
  <c r="AK11" i="21"/>
  <c r="AK19" i="21"/>
  <c r="AK35" i="21"/>
  <c r="AK21" i="20"/>
  <c r="AK32" i="21"/>
  <c r="AK31" i="21"/>
  <c r="BE31" i="21" s="1"/>
  <c r="AK18" i="21"/>
  <c r="BE18" i="21" s="1"/>
  <c r="AK26" i="21"/>
  <c r="AK20" i="21"/>
  <c r="AK9" i="20"/>
  <c r="AK30" i="20"/>
  <c r="AK15" i="20"/>
  <c r="AK8" i="20"/>
  <c r="AK21" i="21"/>
  <c r="BE21" i="21" s="1"/>
  <c r="AK35" i="20"/>
  <c r="AK29" i="20"/>
  <c r="AK25" i="21"/>
  <c r="AK13" i="21"/>
  <c r="AK17" i="20"/>
  <c r="AK34" i="20"/>
  <c r="AK33" i="21"/>
  <c r="AK28" i="21"/>
  <c r="AK14" i="20"/>
  <c r="AK38" i="20" s="1"/>
  <c r="AK10" i="20"/>
  <c r="AK27" i="20"/>
  <c r="AK16" i="20"/>
  <c r="AK12" i="21"/>
  <c r="AK24" i="20"/>
  <c r="AK36" i="20"/>
  <c r="AK28" i="20"/>
  <c r="BE28" i="20" s="1"/>
  <c r="AK27" i="21"/>
  <c r="AK23" i="20"/>
  <c r="AK7" i="20"/>
  <c r="BA37" i="20"/>
  <c r="BA31" i="20"/>
  <c r="BA37" i="21"/>
  <c r="BA9" i="20"/>
  <c r="BA14" i="21"/>
  <c r="BA32" i="21"/>
  <c r="BE32" i="21" s="1"/>
  <c r="BA14" i="20"/>
  <c r="BA15" i="20"/>
  <c r="BA13" i="20"/>
  <c r="BA20" i="21"/>
  <c r="BA27" i="21"/>
  <c r="BA21" i="21"/>
  <c r="BA35" i="21"/>
  <c r="BA34" i="21"/>
  <c r="BE34" i="21" s="1"/>
  <c r="BA17" i="21"/>
  <c r="BA28" i="20"/>
  <c r="BA12" i="21"/>
  <c r="BA24" i="21"/>
  <c r="BA11" i="21"/>
  <c r="BA35" i="20"/>
  <c r="BA21" i="20"/>
  <c r="BA38" i="20" s="1"/>
  <c r="BA29" i="20"/>
  <c r="BE29" i="20" s="1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38" i="21" s="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38" i="7" s="1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BE17" i="21" s="1"/>
  <c r="W13" i="21"/>
  <c r="BE13" i="21" s="1"/>
  <c r="W30" i="20"/>
  <c r="W27" i="21"/>
  <c r="W21" i="20"/>
  <c r="W26" i="21"/>
  <c r="W28" i="21"/>
  <c r="W7" i="21"/>
  <c r="W19" i="21"/>
  <c r="W14" i="20"/>
  <c r="BE14" i="20" s="1"/>
  <c r="W16" i="20"/>
  <c r="W8" i="20"/>
  <c r="W34" i="20"/>
  <c r="W24" i="20"/>
  <c r="W11" i="21"/>
  <c r="W7" i="20"/>
  <c r="W9" i="20"/>
  <c r="W38" i="20" s="1"/>
  <c r="W27" i="20"/>
  <c r="BE27" i="20" s="1"/>
  <c r="W17" i="20"/>
  <c r="W23" i="20"/>
  <c r="W33" i="21"/>
  <c r="W36" i="20"/>
  <c r="W32" i="21"/>
  <c r="W31" i="21"/>
  <c r="W12" i="21"/>
  <c r="BE12" i="21" s="1"/>
  <c r="W15" i="20"/>
  <c r="BE15" i="20" s="1"/>
  <c r="W35" i="20"/>
  <c r="W21" i="21"/>
  <c r="W34" i="21"/>
  <c r="W31" i="20"/>
  <c r="W10" i="20"/>
  <c r="AM37" i="21"/>
  <c r="AM37" i="20"/>
  <c r="AM24" i="20"/>
  <c r="BE24" i="20" s="1"/>
  <c r="AM32" i="21"/>
  <c r="AM31" i="21"/>
  <c r="AM14" i="21"/>
  <c r="BE14" i="21" s="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BE7" i="20" s="1"/>
  <c r="AM35" i="20"/>
  <c r="AM9" i="20"/>
  <c r="AM14" i="20"/>
  <c r="AM17" i="20"/>
  <c r="AM16" i="20"/>
  <c r="BE16" i="20" s="1"/>
  <c r="AM23" i="20"/>
  <c r="AM8" i="20"/>
  <c r="AM20" i="21"/>
  <c r="AM13" i="21"/>
  <c r="AM10" i="20"/>
  <c r="BE10" i="20" s="1"/>
  <c r="AM36" i="20"/>
  <c r="AM12" i="21"/>
  <c r="AM18" i="21"/>
  <c r="AM34" i="21"/>
  <c r="AM30" i="20"/>
  <c r="BE30" i="20" s="1"/>
  <c r="AM31" i="20"/>
  <c r="BE31" i="20" s="1"/>
  <c r="AM22" i="20"/>
  <c r="BE22" i="20" s="1"/>
  <c r="AM29" i="20"/>
  <c r="AM21" i="20"/>
  <c r="AM28" i="20"/>
  <c r="AM7" i="21"/>
  <c r="AM38" i="21" s="1"/>
  <c r="AM19" i="21"/>
  <c r="AM21" i="21"/>
  <c r="AM35" i="21"/>
  <c r="BE35" i="21" s="1"/>
  <c r="AM34" i="20"/>
  <c r="BE34" i="20" s="1"/>
  <c r="BC37" i="20"/>
  <c r="BC37" i="21"/>
  <c r="BC29" i="20"/>
  <c r="BC28" i="21"/>
  <c r="BC15" i="20"/>
  <c r="BC13" i="21"/>
  <c r="BC17" i="21"/>
  <c r="BC28" i="20"/>
  <c r="BC27" i="20"/>
  <c r="BC33" i="21"/>
  <c r="BC11" i="21"/>
  <c r="BE11" i="21" s="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38" i="21" s="1"/>
  <c r="BC10" i="20"/>
  <c r="BC38" i="20" s="1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M81" i="1" s="1"/>
  <c r="H67" i="1"/>
  <c r="I12" i="7"/>
  <c r="I20" i="7"/>
  <c r="I28" i="7"/>
  <c r="I38" i="7" s="1"/>
  <c r="K13" i="7"/>
  <c r="K21" i="7"/>
  <c r="K37" i="7"/>
  <c r="M14" i="7"/>
  <c r="O7" i="7"/>
  <c r="O38" i="7" s="1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U38" i="20" s="1"/>
  <c r="AS22" i="20"/>
  <c r="O13" i="20"/>
  <c r="O38" i="20" s="1"/>
  <c r="AS15" i="20"/>
  <c r="AS38" i="20" s="1"/>
  <c r="BC27" i="21"/>
  <c r="BC14" i="21"/>
  <c r="AG7" i="21"/>
  <c r="AG38" i="21" s="1"/>
  <c r="S8" i="20"/>
  <c r="L63" i="1"/>
  <c r="BE28" i="21"/>
  <c r="BE25" i="21"/>
  <c r="AE38" i="21"/>
  <c r="BE29" i="21"/>
  <c r="AY38" i="20"/>
  <c r="U38" i="20"/>
  <c r="AE38" i="20"/>
  <c r="Y38" i="20"/>
  <c r="AG38" i="20"/>
  <c r="BE19" i="20"/>
  <c r="BE9" i="20"/>
  <c r="M38" i="20"/>
  <c r="AO38" i="20"/>
  <c r="BE26" i="20"/>
  <c r="BE20" i="20"/>
  <c r="AU38" i="21"/>
  <c r="BE16" i="21"/>
  <c r="U38" i="21"/>
  <c r="Q38" i="21"/>
  <c r="BE20" i="21"/>
  <c r="BE30" i="21"/>
  <c r="BE27" i="21"/>
  <c r="BE19" i="21"/>
  <c r="BE8" i="21"/>
  <c r="I38" i="21"/>
  <c r="BE7" i="21"/>
  <c r="K38" i="21"/>
  <c r="AW38" i="21"/>
  <c r="BE15" i="21"/>
  <c r="BE23" i="21"/>
  <c r="AO38" i="21"/>
  <c r="AA38" i="21"/>
  <c r="S38" i="21"/>
  <c r="M38" i="21"/>
  <c r="BE36" i="21"/>
  <c r="BE26" i="21"/>
  <c r="BE9" i="21"/>
  <c r="BE33" i="21"/>
  <c r="BE22" i="21"/>
  <c r="Y38" i="21"/>
  <c r="AQ38" i="21"/>
  <c r="AI38" i="21"/>
  <c r="AK38" i="21"/>
  <c r="AS38" i="21"/>
  <c r="BE10" i="21"/>
  <c r="AC38" i="21"/>
  <c r="O38" i="21"/>
  <c r="AY38" i="21"/>
  <c r="I38" i="20"/>
  <c r="BE21" i="20"/>
  <c r="AW38" i="20"/>
  <c r="BE18" i="20"/>
  <c r="AC38" i="20"/>
  <c r="S38" i="20"/>
  <c r="BE32" i="20"/>
  <c r="AI38" i="20"/>
  <c r="BE8" i="20"/>
  <c r="AA38" i="20"/>
  <c r="AQ38" i="20"/>
  <c r="BE25" i="20"/>
  <c r="AM38" i="20"/>
  <c r="BE11" i="20"/>
  <c r="BE36" i="20"/>
  <c r="Q38" i="20"/>
  <c r="BE23" i="20"/>
  <c r="BE35" i="20"/>
  <c r="BE17" i="20"/>
  <c r="BE33" i="20"/>
  <c r="K38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E9" i="7" s="1"/>
  <c r="BD9" i="7"/>
  <c r="BC35" i="7"/>
  <c r="BC33" i="7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8" i="7"/>
  <c r="BE18" i="7"/>
  <c r="BE24" i="7"/>
  <c r="BE15" i="7"/>
  <c r="BE23" i="7"/>
  <c r="BE25" i="7"/>
  <c r="BE31" i="7"/>
  <c r="M88" i="1" l="1"/>
  <c r="BE20" i="7"/>
  <c r="L71" i="1"/>
  <c r="J85" i="1"/>
  <c r="BE13" i="20"/>
  <c r="J86" i="1"/>
  <c r="L72" i="1"/>
  <c r="W38" i="2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E38" i="21"/>
  <c r="BE38" i="20"/>
  <c r="BD37" i="7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H36" i="1"/>
  <c r="K35" i="1"/>
  <c r="K64" i="1" s="1"/>
  <c r="H35" i="1"/>
  <c r="BE13" i="7"/>
  <c r="BE27" i="7"/>
  <c r="M38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G79" i="1" l="1"/>
  <c r="H65" i="1"/>
  <c r="H64" i="1"/>
  <c r="G78" i="1"/>
  <c r="E64" i="1"/>
  <c r="D78" i="1"/>
  <c r="S38" i="7"/>
  <c r="BE38" i="8"/>
  <c r="J78" i="1" l="1"/>
  <c r="L64" i="1"/>
  <c r="M78" i="1"/>
  <c r="U38" i="7"/>
  <c r="E36" i="1"/>
  <c r="J79" i="1" l="1"/>
  <c r="E65" i="1"/>
  <c r="D79" i="1"/>
  <c r="M79" i="1" s="1"/>
  <c r="L65" i="1"/>
  <c r="L31" i="1" l="1"/>
  <c r="W38" i="7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<sst xmlns="http://schemas.openxmlformats.org/spreadsheetml/2006/main" count="3104" uniqueCount="319">
  <si>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</si>
  <si>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</si>
  <si>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</si>
  <si>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</si>
  <si>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</si>
  <si>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</si>
  <si>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</si>
  <si>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</si>
  <si>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</si>
  <si>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</si>
  <si>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</si>
  <si>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</si>
  <si>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</si>
  <si>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</si>
  <si>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</si>
  <si>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</si>
  <si>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</si>
  <si>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</si>
  <si>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</si>
  <si>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</si>
  <si>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</si>
  <si>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</si>
  <si>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</si>
  <si>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</si>
  <si>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</si>
  <si>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</si>
  <si>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</si>
  <si>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</si>
  <si>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</si>
  <si>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</si>
  <si>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</si>
  <si>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</si>
  <si>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</si>
  <si>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</si>
  <si>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</si>
  <si>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</si>
  <si>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</si>
  <si>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</si>
  <si>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</si>
  <si>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</si>
  <si>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</si>
  <si>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</si>
  <si>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</si>
  <si>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</si>
  <si>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</si>
  <si>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</si>
  <si>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</si>
  <si>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</si>
  <si>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</si>
  <si>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</si>
  <si>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</si>
  <si>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</si>
  <si>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</si>
  <si>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</si>
  <si>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</si>
  <si>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</si>
  <si>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</si>
  <si>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</si>
  <si>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</si>
  <si>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</si>
  <si>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</si>
  <si>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</si>
  <si>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</si>
  <si>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</si>
  <si>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</si>
  <si>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</si>
  <si>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</si>
  <si>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</si>
  <si>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</si>
  <si>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</si>
  <si>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</si>
  <si>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</si>
  <si>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</si>
  <si>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</si>
  <si>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</si>
  <si>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</si>
  <si>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</si>
  <si>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</si>
  <si>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</si>
  <si>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</si>
  <si>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</si>
  <si>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</si>
  <si>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</si>
  <si>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</si>
  <si>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</si>
  <si>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</si>
  <si>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</si>
  <si>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</si>
  <si>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</si>
  <si>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</si>
  <si>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</si>
  <si>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</si>
  <si>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</si>
  <si>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</si>
  <si>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</si>
  <si>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</si>
  <si>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</si>
  <si>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</si>
  <si>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</si>
  <si>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</si>
  <si>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</si>
  <si>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</si>
  <si>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</si>
  <si>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</si>
  <si>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</si>
  <si>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</si>
  <si>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</si>
  <si>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</si>
  <si>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</si>
  <si>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</si>
  <si>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</si>
  <si>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</si>
  <si>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</si>
  <si>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</si>
  <si>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</si>
  <si>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</si>
  <si>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</si>
  <si>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</si>
  <si>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</si>
  <si>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</si>
  <si>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</si>
  <si>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</si>
  <si>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</si>
  <si>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</si>
  <si>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</si>
  <si>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</si>
  <si>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</si>
  <si>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</si>
  <si>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</si>
  <si>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</si>
  <si>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</si>
  <si>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</si>
  <si>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</si>
  <si>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</si>
  <si>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</si>
  <si>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</si>
  <si>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</si>
  <si>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</si>
  <si>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</si>
  <si>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</si>
  <si>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</si>
  <si>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</si>
  <si>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</si>
  <si>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</si>
  <si>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</si>
  <si>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</si>
  <si>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</si>
  <si>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</si>
  <si>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</si>
  <si>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</si>
  <si>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</si>
  <si>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</si>
  <si>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</si>
  <si>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</si>
  <si>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</si>
  <si>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</si>
  <si>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</si>
  <si>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</si>
  <si>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</si>
  <si>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</si>
  <si>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</si>
  <si>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</si>
  <si>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</si>
  <si>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</si>
  <si>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</si>
  <si>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</si>
  <si>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</si>
  <si>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</si>
  <si>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</si>
  <si>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</si>
  <si>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</si>
  <si>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</si>
  <si>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</si>
  <si>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</si>
  <si>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</si>
  <si>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</si>
  <si>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</si>
  <si>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</si>
  <si>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</si>
  <si>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</si>
  <si>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</si>
  <si>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</si>
  <si>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</si>
  <si>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</si>
  <si>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</si>
  <si>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</si>
  <si>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</si>
  <si>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</si>
  <si>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</si>
  <si>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</si>
  <si>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</si>
  <si>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</si>
  <si>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</si>
  <si>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</si>
  <si>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</si>
  <si>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</si>
  <si>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</si>
  <si>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</si>
  <si>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</si>
  <si>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</si>
  <si>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</si>
  <si>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</si>
  <si>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</si>
  <si>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</si>
  <si>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</si>
  <si>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</si>
  <si>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</si>
  <si>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</si>
  <si>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</si>
  <si>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</si>
  <si>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</si>
  <si>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</si>
  <si>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</si>
  <si>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</si>
  <si>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</si>
  <si>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</si>
  <si>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</si>
  <si>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</si>
  <si>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</si>
  <si>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</si>
  <si>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</si>
  <si>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</si>
  <si>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</si>
  <si>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</si>
  <si>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</si>
  <si>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</si>
  <si>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</si>
  <si>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</si>
  <si>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</si>
  <si>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</si>
  <si>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</si>
  <si>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</si>
  <si>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</si>
  <si>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</si>
  <si>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</si>
  <si>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</si>
  <si>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</si>
  <si>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</si>
  <si>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</si>
  <si>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</si>
  <si>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</si>
  <si>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</si>
  <si>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</si>
  <si>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</si>
  <si>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</si>
  <si>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</si>
  <si>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</si>
  <si>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</si>
  <si>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</si>
  <si>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</si>
  <si>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</si>
  <si>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</si>
  <si>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</si>
  <si>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</si>
  <si>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</si>
  <si>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</si>
  <si>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</si>
  <si>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</si>
  <si>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</si>
  <si>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</si>
  <si>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</si>
  <si>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</si>
  <si>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</si>
  <si>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</si>
  <si>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</si>
  <si>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</si>
  <si>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</si>
  <si>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</si>
  <si>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</si>
  <si>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</si>
  <si>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</si>
  <si>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</si>
  <si>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</si>
  <si>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</si>
  <si>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</si>
  <si>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</si>
  <si>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</si>
  <si>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</si>
  <si>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</si>
  <si>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</si>
  <si>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</si>
  <si>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</si>
  <si>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</si>
  <si>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</si>
  <si>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</si>
  <si>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</si>
  <si>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</si>
  <si>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</si>
  <si>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</si>
  <si>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</si>
  <si>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</si>
  <si>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</si>
  <si>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</si>
  <si>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</si>
  <si>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</si>
  <si>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</si>
  <si>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11月</t>
    <rPh sb="2" eb="3">
      <t>ガツ</t>
    </rPh>
    <phoneticPr fontId="1"/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</si>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</sst>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3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7903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3990</c:v>
                </c:pt>
                <c:pt idx="6">
                  <c:v>608</c:v>
                </c:pt>
                <c:pt idx="7">
                  <c:v>313</c:v>
                </c:pt>
                <c:pt idx="8">
                  <c:v>543</c:v>
                </c:pt>
                <c:pt idx="9">
                  <c:v>1006</c:v>
                </c:pt>
                <c:pt idx="10">
                  <c:v>1469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16783</c:v>
                </c:pt>
                <c:pt idx="6">
                  <c:v>18568</c:v>
                </c:pt>
                <c:pt idx="7">
                  <c:v>19805</c:v>
                </c:pt>
                <c:pt idx="8">
                  <c:v>16835</c:v>
                </c:pt>
                <c:pt idx="9">
                  <c:v>14963</c:v>
                </c:pt>
                <c:pt idx="10">
                  <c:v>11553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41151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28629</c:v>
                </c:pt>
                <c:pt idx="6">
                  <c:v>27728</c:v>
                </c:pt>
                <c:pt idx="7">
                  <c:v>28231</c:v>
                </c:pt>
                <c:pt idx="8">
                  <c:v>25831</c:v>
                </c:pt>
                <c:pt idx="9">
                  <c:v>24830</c:v>
                </c:pt>
                <c:pt idx="10">
                  <c:v>20258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8574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12793</c:v>
                </c:pt>
                <c:pt idx="6">
                  <c:v>17960</c:v>
                </c:pt>
                <c:pt idx="7">
                  <c:v>19492</c:v>
                </c:pt>
                <c:pt idx="8">
                  <c:v>16292</c:v>
                </c:pt>
                <c:pt idx="9">
                  <c:v>13957</c:v>
                </c:pt>
                <c:pt idx="10">
                  <c:v>10084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3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6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6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6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6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6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6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6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6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6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6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6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6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6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6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6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6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6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6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6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ctrlProp" Target="../ctrlProps/ctrlProp62.xml"/><Relationship Id="rId7" Type="http://schemas.openxmlformats.org/officeDocument/2006/relationships/ctrlProp" Target="../ctrlProps/ctrlProp6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5.xml"/><Relationship Id="rId13" Type="http://schemas.openxmlformats.org/officeDocument/2006/relationships/ctrlProp" Target="../ctrlProps/ctrlProp80.xml"/><Relationship Id="rId18" Type="http://schemas.openxmlformats.org/officeDocument/2006/relationships/ctrlProp" Target="../ctrlProps/ctrlProp85.xml"/><Relationship Id="rId26" Type="http://schemas.openxmlformats.org/officeDocument/2006/relationships/ctrlProp" Target="../ctrlProps/ctrlProp93.xml"/><Relationship Id="rId3" Type="http://schemas.openxmlformats.org/officeDocument/2006/relationships/ctrlProp" Target="../ctrlProps/ctrlProp70.xml"/><Relationship Id="rId21" Type="http://schemas.openxmlformats.org/officeDocument/2006/relationships/ctrlProp" Target="../ctrlProps/ctrlProp88.xml"/><Relationship Id="rId7" Type="http://schemas.openxmlformats.org/officeDocument/2006/relationships/ctrlProp" Target="../ctrlProps/ctrlProp74.xml"/><Relationship Id="rId12" Type="http://schemas.openxmlformats.org/officeDocument/2006/relationships/ctrlProp" Target="../ctrlProps/ctrlProp79.xml"/><Relationship Id="rId17" Type="http://schemas.openxmlformats.org/officeDocument/2006/relationships/ctrlProp" Target="../ctrlProps/ctrlProp84.xml"/><Relationship Id="rId25" Type="http://schemas.openxmlformats.org/officeDocument/2006/relationships/ctrlProp" Target="../ctrlProps/ctrlProp9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83.xml"/><Relationship Id="rId20" Type="http://schemas.openxmlformats.org/officeDocument/2006/relationships/ctrlProp" Target="../ctrlProps/ctrlProp87.xml"/><Relationship Id="rId29" Type="http://schemas.openxmlformats.org/officeDocument/2006/relationships/ctrlProp" Target="../ctrlProps/ctrlProp96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3.xml"/><Relationship Id="rId11" Type="http://schemas.openxmlformats.org/officeDocument/2006/relationships/ctrlProp" Target="../ctrlProps/ctrlProp78.xml"/><Relationship Id="rId24" Type="http://schemas.openxmlformats.org/officeDocument/2006/relationships/ctrlProp" Target="../ctrlProps/ctrlProp91.xml"/><Relationship Id="rId32" Type="http://schemas.openxmlformats.org/officeDocument/2006/relationships/ctrlProp" Target="../ctrlProps/ctrlProp99.xml"/><Relationship Id="rId5" Type="http://schemas.openxmlformats.org/officeDocument/2006/relationships/ctrlProp" Target="../ctrlProps/ctrlProp72.xml"/><Relationship Id="rId15" Type="http://schemas.openxmlformats.org/officeDocument/2006/relationships/ctrlProp" Target="../ctrlProps/ctrlProp82.xml"/><Relationship Id="rId23" Type="http://schemas.openxmlformats.org/officeDocument/2006/relationships/ctrlProp" Target="../ctrlProps/ctrlProp90.xml"/><Relationship Id="rId28" Type="http://schemas.openxmlformats.org/officeDocument/2006/relationships/ctrlProp" Target="../ctrlProps/ctrlProp95.xml"/><Relationship Id="rId10" Type="http://schemas.openxmlformats.org/officeDocument/2006/relationships/ctrlProp" Target="../ctrlProps/ctrlProp77.xml"/><Relationship Id="rId19" Type="http://schemas.openxmlformats.org/officeDocument/2006/relationships/ctrlProp" Target="../ctrlProps/ctrlProp86.xml"/><Relationship Id="rId31" Type="http://schemas.openxmlformats.org/officeDocument/2006/relationships/ctrlProp" Target="../ctrlProps/ctrlProp98.xml"/><Relationship Id="rId4" Type="http://schemas.openxmlformats.org/officeDocument/2006/relationships/ctrlProp" Target="../ctrlProps/ctrlProp71.xml"/><Relationship Id="rId9" Type="http://schemas.openxmlformats.org/officeDocument/2006/relationships/ctrlProp" Target="../ctrlProps/ctrlProp76.xml"/><Relationship Id="rId14" Type="http://schemas.openxmlformats.org/officeDocument/2006/relationships/ctrlProp" Target="../ctrlProps/ctrlProp81.xml"/><Relationship Id="rId22" Type="http://schemas.openxmlformats.org/officeDocument/2006/relationships/ctrlProp" Target="../ctrlProps/ctrlProp89.xml"/><Relationship Id="rId27" Type="http://schemas.openxmlformats.org/officeDocument/2006/relationships/ctrlProp" Target="../ctrlProps/ctrlProp94.xml"/><Relationship Id="rId30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198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256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4" x14ac:dyDescent="0.55000000000000004">
      <c r="B17" t="s">
        <v>104</v>
      </c>
      <c r="C17" s="2">
        <f t="shared" si="1"/>
        <v>36.979999999999997</v>
      </c>
      <c r="D17" s="2"/>
    </row>
    <row r="18" spans="2:14" x14ac:dyDescent="0.55000000000000004">
      <c r="B18" t="s">
        <v>105</v>
      </c>
      <c r="C18" s="2">
        <f t="shared" si="1"/>
        <v>36.979999999999997</v>
      </c>
      <c r="D18" s="2"/>
    </row>
    <row r="19" spans="2:14" x14ac:dyDescent="0.55000000000000004">
      <c r="B19" t="s">
        <v>106</v>
      </c>
      <c r="C19" s="2">
        <f t="shared" si="1"/>
        <v>36.979999999999997</v>
      </c>
      <c r="D19" s="2"/>
    </row>
    <row r="20" spans="2:14" x14ac:dyDescent="0.55000000000000004">
      <c r="B20" t="s">
        <v>107</v>
      </c>
      <c r="C20" s="2">
        <f t="shared" si="1"/>
        <v>36.979999999999997</v>
      </c>
      <c r="D20" s="2"/>
    </row>
    <row r="21" spans="2:14" x14ac:dyDescent="0.55000000000000004">
      <c r="B21" t="s">
        <v>108</v>
      </c>
      <c r="C21" s="2">
        <f t="shared" si="1"/>
        <v>36.979999999999997</v>
      </c>
      <c r="D21" s="2"/>
    </row>
    <row r="22" spans="2:14" x14ac:dyDescent="0.55000000000000004">
      <c r="B22" t="s">
        <v>109</v>
      </c>
      <c r="C22" s="2">
        <f t="shared" si="1"/>
        <v>36.979999999999997</v>
      </c>
      <c r="D22" s="2"/>
    </row>
    <row r="23" spans="2:14" x14ac:dyDescent="0.55000000000000004">
      <c r="B23" t="s">
        <v>110</v>
      </c>
      <c r="C23" s="2">
        <f t="shared" ref="C23:C26" si="2">$D$2</f>
        <v>36.979999999999997</v>
      </c>
      <c r="D23" s="2"/>
    </row>
    <row r="24" spans="2:14" x14ac:dyDescent="0.55000000000000004">
      <c r="B24" t="s">
        <v>111</v>
      </c>
      <c r="C24" s="2">
        <f t="shared" si="2"/>
        <v>36.979999999999997</v>
      </c>
      <c r="D24" s="2"/>
    </row>
    <row r="25" spans="2:14" x14ac:dyDescent="0.55000000000000004">
      <c r="B25" t="s">
        <v>112</v>
      </c>
      <c r="C25" s="2">
        <f t="shared" si="2"/>
        <v>36.979999999999997</v>
      </c>
      <c r="D25" s="2"/>
    </row>
    <row r="26" spans="2:14" x14ac:dyDescent="0.55000000000000004">
      <c r="B26" t="s">
        <v>113</v>
      </c>
      <c r="C26" s="2">
        <f t="shared" si="2"/>
        <v>36.979999999999997</v>
      </c>
      <c r="D26" s="2"/>
    </row>
    <row r="27" spans="2:14" x14ac:dyDescent="0.55000000000000004">
      <c r="B27" t="s">
        <v>114</v>
      </c>
      <c r="C27" s="2">
        <f t="shared" ref="C27" si="3">$C$2</f>
        <v>29.91</v>
      </c>
      <c r="D27" s="2"/>
    </row>
    <row r="28" spans="2:14" x14ac:dyDescent="0.55000000000000004">
      <c r="B28" t="s">
        <v>115</v>
      </c>
      <c r="C28" s="2">
        <f t="shared" ref="C28:C29" si="4">$C$2</f>
        <v>29.91</v>
      </c>
      <c r="D28" s="2"/>
    </row>
    <row r="29" spans="2:14" x14ac:dyDescent="0.55000000000000004">
      <c r="B29" t="s">
        <v>116</v>
      </c>
      <c r="C29" s="2">
        <f t="shared" si="4"/>
        <v>29.91</v>
      </c>
      <c r="D29" s="2"/>
    </row>
    <row r="30" spans="2:14" x14ac:dyDescent="0.55000000000000004">
      <c r="J30" t="s">
        <v>257</v>
      </c>
      <c r="K30" t="s">
        <v>259</v>
      </c>
      <c r="L30" t="s">
        <v>258</v>
      </c>
      <c r="M30" t="s">
        <v>257</v>
      </c>
      <c r="N30" t="s">
        <v>314</v>
      </c>
    </row>
    <row r="31" spans="2:14" x14ac:dyDescent="0.55000000000000004">
      <c r="C31" s="14" t="s">
        <v>204</v>
      </c>
      <c r="D31" t="s">
        <v>205</v>
      </c>
      <c r="E31" s="14" t="s">
        <v>263</v>
      </c>
      <c r="F31" t="s">
        <v>264</v>
      </c>
      <c r="J31">
        <f>M31-N31</f>
        <v>1670992</v>
      </c>
      <c r="K31">
        <f>SUM(L34:L45)</f>
        <v>30170</v>
      </c>
      <c r="L31">
        <f>ROUND(J31/K31,0)</f>
        <v>55</v>
      </c>
      <c r="M31">
        <v>1916500</v>
      </c>
      <c r="N31">
        <f>SUM(L49:L60)</f>
        <v>245508</v>
      </c>
    </row>
    <row r="32" spans="2:14" x14ac:dyDescent="0.55000000000000004">
      <c r="C32">
        <v>24</v>
      </c>
      <c r="D32">
        <v>23</v>
      </c>
      <c r="E32">
        <v>2</v>
      </c>
      <c r="F32" t="s">
        <v>315</v>
      </c>
    </row>
    <row r="33" spans="1:13" x14ac:dyDescent="0.55000000000000004">
      <c r="C33" t="s">
        <v>207</v>
      </c>
      <c r="D33" t="s">
        <v>208</v>
      </c>
      <c r="E33" t="s">
        <v>203</v>
      </c>
      <c r="F33" t="s">
        <v>209</v>
      </c>
      <c r="G33" t="s">
        <v>210</v>
      </c>
      <c r="H33" t="s">
        <v>162</v>
      </c>
      <c r="I33" t="s">
        <v>211</v>
      </c>
      <c r="J33" t="s">
        <v>212</v>
      </c>
      <c r="K33" t="s">
        <v>213</v>
      </c>
      <c r="L33" t="s">
        <v>246</v>
      </c>
    </row>
    <row r="34" spans="1:13" x14ac:dyDescent="0.55000000000000004">
      <c r="B34" t="s">
        <v>206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316</v>
      </c>
    </row>
    <row r="35" spans="1:13" x14ac:dyDescent="0.55000000000000004">
      <c r="B35" t="s">
        <v>260</v>
      </c>
      <c r="E35">
        <f>SUM(C35:D35)</f>
        <v>0</v>
      </c>
      <c r="H35">
        <f>SUM(F35:G35)</f>
        <v>0</v>
      </c>
      <c r="K35">
        <f>SUM(I35:J35)</f>
        <v>0</v>
      </c>
      <c r="L35">
        <f t="shared" ref="L35:L45" si="5">K35-(E35-H35)</f>
        <v>0</v>
      </c>
    </row>
    <row r="36" spans="1:13" x14ac:dyDescent="0.55000000000000004">
      <c r="B36" t="s">
        <v>202</v>
      </c>
      <c r="E36">
        <f>SUM(C36:D36)</f>
        <v>0</v>
      </c>
      <c r="H36">
        <f>SUM(F36:G36)</f>
        <v>0</v>
      </c>
      <c r="K36">
        <f>SUM(I36:J36)</f>
        <v>0</v>
      </c>
      <c r="L36">
        <f t="shared" si="5"/>
        <v>0</v>
      </c>
    </row>
    <row r="37" spans="1:13" x14ac:dyDescent="0.55000000000000004">
      <c r="B37" t="s">
        <v>247</v>
      </c>
      <c r="E37">
        <f t="shared" ref="E37:E45" si="6">SUM(C37:D37)</f>
        <v>0</v>
      </c>
      <c r="H37">
        <f t="shared" ref="H37:H45" si="7">SUM(F37:G37)</f>
        <v>0</v>
      </c>
      <c r="K37">
        <f t="shared" ref="K37:K45" si="8">SUM(I37:J37)</f>
        <v>0</v>
      </c>
      <c r="L37">
        <f t="shared" si="5"/>
        <v>0</v>
      </c>
    </row>
    <row r="38" spans="1:13" x14ac:dyDescent="0.55000000000000004">
      <c r="B38" t="s">
        <v>248</v>
      </c>
      <c r="E38">
        <f t="shared" si="6"/>
        <v>0</v>
      </c>
      <c r="H38">
        <f t="shared" si="7"/>
        <v>0</v>
      </c>
      <c r="K38">
        <f t="shared" si="8"/>
        <v>0</v>
      </c>
      <c r="L38">
        <f t="shared" si="5"/>
        <v>0</v>
      </c>
    </row>
    <row r="39" spans="1:13" x14ac:dyDescent="0.55000000000000004">
      <c r="B39" t="s">
        <v>249</v>
      </c>
      <c r="E39">
        <f t="shared" si="6"/>
        <v>0</v>
      </c>
      <c r="H39">
        <f t="shared" si="7"/>
        <v>0</v>
      </c>
      <c r="K39">
        <f t="shared" si="8"/>
        <v>0</v>
      </c>
      <c r="L39">
        <f t="shared" si="5"/>
        <v>0</v>
      </c>
    </row>
    <row r="40" spans="1:13" x14ac:dyDescent="0.55000000000000004">
      <c r="B40" t="s">
        <v>250</v>
      </c>
      <c r="E40">
        <f t="shared" si="6"/>
        <v>0</v>
      </c>
      <c r="H40">
        <f t="shared" si="7"/>
        <v>0</v>
      </c>
      <c r="K40">
        <f t="shared" si="8"/>
        <v>0</v>
      </c>
      <c r="L40">
        <f t="shared" si="5"/>
        <v>0</v>
      </c>
    </row>
    <row r="41" spans="1:13" x14ac:dyDescent="0.55000000000000004">
      <c r="B41" t="s">
        <v>251</v>
      </c>
      <c r="E41">
        <f t="shared" si="6"/>
        <v>0</v>
      </c>
      <c r="H41">
        <f t="shared" si="7"/>
        <v>0</v>
      </c>
      <c r="K41">
        <f t="shared" si="8"/>
        <v>0</v>
      </c>
      <c r="L41">
        <f t="shared" si="5"/>
        <v>0</v>
      </c>
    </row>
    <row r="42" spans="1:13" x14ac:dyDescent="0.55000000000000004">
      <c r="B42" t="s">
        <v>252</v>
      </c>
      <c r="E42">
        <f t="shared" si="6"/>
        <v>0</v>
      </c>
      <c r="H42">
        <f t="shared" si="7"/>
        <v>0</v>
      </c>
      <c r="K42">
        <f t="shared" si="8"/>
        <v>0</v>
      </c>
      <c r="L42">
        <f t="shared" si="5"/>
        <v>0</v>
      </c>
    </row>
    <row r="43" spans="1:13" x14ac:dyDescent="0.55000000000000004">
      <c r="B43" t="s">
        <v>253</v>
      </c>
      <c r="E43">
        <f t="shared" si="6"/>
        <v>0</v>
      </c>
      <c r="H43">
        <f t="shared" si="7"/>
        <v>0</v>
      </c>
      <c r="K43">
        <f t="shared" si="8"/>
        <v>0</v>
      </c>
      <c r="L43">
        <f t="shared" si="5"/>
        <v>0</v>
      </c>
    </row>
    <row r="44" spans="1:13" x14ac:dyDescent="0.55000000000000004">
      <c r="B44" t="s">
        <v>254</v>
      </c>
      <c r="E44">
        <f t="shared" si="6"/>
        <v>0</v>
      </c>
      <c r="H44">
        <f t="shared" si="7"/>
        <v>0</v>
      </c>
      <c r="K44">
        <f t="shared" si="8"/>
        <v>0</v>
      </c>
      <c r="L44">
        <f t="shared" si="5"/>
        <v>0</v>
      </c>
    </row>
    <row r="45" spans="1:13" x14ac:dyDescent="0.55000000000000004">
      <c r="B45" t="s">
        <v>255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  <row r="47" spans="1:13" x14ac:dyDescent="0.55000000000000004">
      <c r="A47" t="s">
        <v>303</v>
      </c>
    </row>
    <row r="48" spans="1:13" x14ac:dyDescent="0.55000000000000004">
      <c r="C48" t="s">
        <v>207</v>
      </c>
      <c r="D48" t="s">
        <v>208</v>
      </c>
      <c r="E48" t="s">
        <v>162</v>
      </c>
      <c r="F48" t="s">
        <v>209</v>
      </c>
      <c r="G48" t="s">
        <v>210</v>
      </c>
      <c r="H48" t="s">
        <v>162</v>
      </c>
      <c r="I48" t="s">
        <v>211</v>
      </c>
      <c r="J48" t="s">
        <v>212</v>
      </c>
      <c r="K48" t="s">
        <v>162</v>
      </c>
      <c r="L48" t="s">
        <v>246</v>
      </c>
    </row>
    <row r="49" spans="1:13" x14ac:dyDescent="0.55000000000000004">
      <c r="B49" t="s">
        <v>206</v>
      </c>
      <c r="C49">
        <v>2352</v>
      </c>
      <c r="D49">
        <v>5551</v>
      </c>
      <c r="E49">
        <v>7903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41151</v>
      </c>
      <c r="M49" t="s">
        <v>317</v>
      </c>
    </row>
    <row r="50" spans="1:13" x14ac:dyDescent="0.55000000000000004">
      <c r="B50" t="s">
        <v>260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195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247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248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249</v>
      </c>
      <c r="C54">
        <v>1747</v>
      </c>
      <c r="D54">
        <v>2243</v>
      </c>
      <c r="E54">
        <v>3990</v>
      </c>
      <c r="F54">
        <v>3006</v>
      </c>
      <c r="G54">
        <v>13777</v>
      </c>
      <c r="H54">
        <v>16783</v>
      </c>
      <c r="I54">
        <v>5094</v>
      </c>
      <c r="J54">
        <v>10742</v>
      </c>
      <c r="K54">
        <v>15836</v>
      </c>
      <c r="L54">
        <v>28629</v>
      </c>
    </row>
    <row r="55" spans="1:13" x14ac:dyDescent="0.55000000000000004">
      <c r="B55" t="s">
        <v>250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251</v>
      </c>
      <c r="C56">
        <v>111</v>
      </c>
      <c r="D56">
        <v>202</v>
      </c>
      <c r="E56">
        <v>313</v>
      </c>
      <c r="F56">
        <v>3776</v>
      </c>
      <c r="G56">
        <v>16029</v>
      </c>
      <c r="H56">
        <v>19805</v>
      </c>
      <c r="I56">
        <v>2119</v>
      </c>
      <c r="J56">
        <v>6620</v>
      </c>
      <c r="K56">
        <v>8739</v>
      </c>
      <c r="L56">
        <v>28231</v>
      </c>
    </row>
    <row r="57" spans="1:13" x14ac:dyDescent="0.55000000000000004">
      <c r="B57" t="s">
        <v>252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253</v>
      </c>
      <c r="C58">
        <v>268</v>
      </c>
      <c r="D58">
        <v>738</v>
      </c>
      <c r="E58">
        <v>1006</v>
      </c>
      <c r="F58">
        <v>1514</v>
      </c>
      <c r="G58">
        <v>13449</v>
      </c>
      <c r="H58">
        <v>14963</v>
      </c>
      <c r="I58">
        <v>2581</v>
      </c>
      <c r="J58">
        <v>8292</v>
      </c>
      <c r="K58">
        <v>10873</v>
      </c>
      <c r="L58">
        <v>24830</v>
      </c>
    </row>
    <row r="59" spans="1:13" x14ac:dyDescent="0.55000000000000004">
      <c r="B59" t="s">
        <v>254</v>
      </c>
      <c r="C59">
        <v>378</v>
      </c>
      <c r="D59">
        <v>1091</v>
      </c>
      <c r="E59">
        <v>1469</v>
      </c>
      <c r="F59">
        <v>2378</v>
      </c>
      <c r="G59">
        <v>9175</v>
      </c>
      <c r="H59">
        <v>11553</v>
      </c>
      <c r="I59">
        <v>2814</v>
      </c>
      <c r="J59">
        <v>7360</v>
      </c>
      <c r="K59">
        <v>10174</v>
      </c>
      <c r="L59">
        <v>20258</v>
      </c>
    </row>
    <row r="60" spans="1:13" x14ac:dyDescent="0.55000000000000004">
      <c r="B60" t="s">
        <v>255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318</v>
      </c>
    </row>
    <row r="62" spans="1:13" x14ac:dyDescent="0.55000000000000004">
      <c r="A62" t="s">
        <v>304</v>
      </c>
      <c r="C62" t="s">
        <v>207</v>
      </c>
      <c r="D62" t="s">
        <v>208</v>
      </c>
      <c r="E62" t="s">
        <v>162</v>
      </c>
      <c r="F62" t="s">
        <v>209</v>
      </c>
      <c r="G62" t="s">
        <v>210</v>
      </c>
      <c r="H62" t="s">
        <v>162</v>
      </c>
      <c r="I62" t="s">
        <v>211</v>
      </c>
      <c r="J62" t="s">
        <v>212</v>
      </c>
      <c r="K62" t="s">
        <v>162</v>
      </c>
      <c r="L62" t="s">
        <v>246</v>
      </c>
    </row>
    <row r="63" spans="1:13" x14ac:dyDescent="0.55000000000000004">
      <c r="B63" t="s">
        <v>206</v>
      </c>
      <c r="C63" s="16">
        <f>C34/C49</f>
        <v>0.72023809523809523</v>
      </c>
      <c r="D63" s="16">
        <f t="shared" ref="D63:L63" si="9">D34/D49</f>
        <v>1.125382813907404</v>
      </c>
      <c r="E63" s="16">
        <f t="shared" si="9"/>
        <v>1.0048083006453246</v>
      </c>
      <c r="F63" s="16">
        <f t="shared" si="9"/>
        <v>0.72592592592592597</v>
      </c>
      <c r="G63" s="16">
        <f t="shared" si="9"/>
        <v>1.5836308006119326</v>
      </c>
      <c r="H63" s="16">
        <f t="shared" si="9"/>
        <v>0.93008436001699335</v>
      </c>
      <c r="I63" s="16">
        <f t="shared" si="9"/>
        <v>0.46145337373154427</v>
      </c>
      <c r="J63" s="16">
        <f t="shared" si="9"/>
        <v>1.119399185336049</v>
      </c>
      <c r="K63" s="16">
        <f t="shared" si="9"/>
        <v>0.69945053258433865</v>
      </c>
      <c r="L63" s="16">
        <f t="shared" si="9"/>
        <v>0.73315350781268984</v>
      </c>
    </row>
    <row r="64" spans="1:13" x14ac:dyDescent="0.55000000000000004">
      <c r="B64" t="s">
        <v>260</v>
      </c>
      <c r="C64" s="16">
        <f t="shared" ref="C64:L64" si="10">C35/C50</f>
        <v>0</v>
      </c>
      <c r="D64" s="16">
        <f t="shared" si="10"/>
        <v>0</v>
      </c>
      <c r="E64" s="16">
        <f t="shared" si="10"/>
        <v>0</v>
      </c>
      <c r="F64" s="16">
        <f t="shared" si="10"/>
        <v>0</v>
      </c>
      <c r="G64" s="16">
        <f t="shared" si="10"/>
        <v>0</v>
      </c>
      <c r="H64" s="16">
        <f t="shared" si="10"/>
        <v>0</v>
      </c>
      <c r="I64" s="16">
        <f t="shared" si="10"/>
        <v>0</v>
      </c>
      <c r="J64" s="16">
        <f t="shared" si="10"/>
        <v>0</v>
      </c>
      <c r="K64" s="16">
        <f t="shared" si="10"/>
        <v>0</v>
      </c>
      <c r="L64" s="16">
        <f t="shared" si="10"/>
        <v>0</v>
      </c>
    </row>
    <row r="65" spans="1:13" x14ac:dyDescent="0.55000000000000004">
      <c r="B65" t="s">
        <v>195</v>
      </c>
      <c r="C65" s="16">
        <f t="shared" ref="C65:L65" si="11">C36/C51</f>
        <v>0</v>
      </c>
      <c r="D65" s="16">
        <f t="shared" si="11"/>
        <v>0</v>
      </c>
      <c r="E65" s="16">
        <f t="shared" si="11"/>
        <v>0</v>
      </c>
      <c r="F65" s="16">
        <f t="shared" si="11"/>
        <v>0</v>
      </c>
      <c r="G65" s="16">
        <f t="shared" si="11"/>
        <v>0</v>
      </c>
      <c r="H65" s="16">
        <f t="shared" si="11"/>
        <v>0</v>
      </c>
      <c r="I65" s="16">
        <f t="shared" si="11"/>
        <v>0</v>
      </c>
      <c r="J65" s="16">
        <f t="shared" si="11"/>
        <v>0</v>
      </c>
      <c r="K65" s="16">
        <f t="shared" si="11"/>
        <v>0</v>
      </c>
      <c r="L65" s="16">
        <f t="shared" si="11"/>
        <v>0</v>
      </c>
    </row>
    <row r="66" spans="1:13" x14ac:dyDescent="0.55000000000000004">
      <c r="B66" t="s">
        <v>247</v>
      </c>
      <c r="C66" s="16">
        <f t="shared" ref="C66:L66" si="12">C37/C52</f>
        <v>0</v>
      </c>
      <c r="D66" s="16">
        <f t="shared" si="12"/>
        <v>0</v>
      </c>
      <c r="E66" s="16">
        <f t="shared" si="12"/>
        <v>0</v>
      </c>
      <c r="F66" s="16">
        <f t="shared" si="12"/>
        <v>0</v>
      </c>
      <c r="G66" s="16">
        <f t="shared" si="12"/>
        <v>0</v>
      </c>
      <c r="H66" s="16">
        <f t="shared" si="12"/>
        <v>0</v>
      </c>
      <c r="I66" s="16">
        <f t="shared" si="12"/>
        <v>0</v>
      </c>
      <c r="J66" s="16">
        <f t="shared" si="12"/>
        <v>0</v>
      </c>
      <c r="K66" s="16">
        <f t="shared" si="12"/>
        <v>0</v>
      </c>
      <c r="L66" s="16">
        <f t="shared" si="12"/>
        <v>0</v>
      </c>
    </row>
    <row r="67" spans="1:13" x14ac:dyDescent="0.55000000000000004">
      <c r="B67" t="s">
        <v>248</v>
      </c>
      <c r="C67" s="16">
        <f t="shared" ref="C67:L67" si="13">C38/C53</f>
        <v>0</v>
      </c>
      <c r="D67" s="16">
        <f t="shared" si="13"/>
        <v>0</v>
      </c>
      <c r="E67" s="16">
        <f t="shared" si="13"/>
        <v>0</v>
      </c>
      <c r="F67" s="16">
        <f t="shared" si="13"/>
        <v>0</v>
      </c>
      <c r="G67" s="16">
        <f t="shared" si="13"/>
        <v>0</v>
      </c>
      <c r="H67" s="16">
        <f t="shared" si="13"/>
        <v>0</v>
      </c>
      <c r="I67" s="16">
        <f t="shared" si="13"/>
        <v>0</v>
      </c>
      <c r="J67" s="16">
        <f t="shared" si="13"/>
        <v>0</v>
      </c>
      <c r="K67" s="16">
        <f t="shared" si="13"/>
        <v>0</v>
      </c>
      <c r="L67" s="16">
        <f t="shared" si="13"/>
        <v>0</v>
      </c>
    </row>
    <row r="68" spans="1:13" x14ac:dyDescent="0.55000000000000004">
      <c r="B68" t="s">
        <v>249</v>
      </c>
      <c r="C68" s="16">
        <f t="shared" ref="C68:L68" si="14">C39/C54</f>
        <v>0</v>
      </c>
      <c r="D68" s="16">
        <f t="shared" si="14"/>
        <v>0</v>
      </c>
      <c r="E68" s="16">
        <f t="shared" si="14"/>
        <v>0</v>
      </c>
      <c r="F68" s="16">
        <f t="shared" si="14"/>
        <v>0</v>
      </c>
      <c r="G68" s="16">
        <f t="shared" si="14"/>
        <v>0</v>
      </c>
      <c r="H68" s="16">
        <f t="shared" si="14"/>
        <v>0</v>
      </c>
      <c r="I68" s="16">
        <f t="shared" si="14"/>
        <v>0</v>
      </c>
      <c r="J68" s="16">
        <f t="shared" si="14"/>
        <v>0</v>
      </c>
      <c r="K68" s="16">
        <f t="shared" si="14"/>
        <v>0</v>
      </c>
      <c r="L68" s="16">
        <f t="shared" si="14"/>
        <v>0</v>
      </c>
    </row>
    <row r="69" spans="1:13" x14ac:dyDescent="0.55000000000000004">
      <c r="B69" t="s">
        <v>250</v>
      </c>
      <c r="C69" s="16">
        <f t="shared" ref="C69:L69" si="15">C40/C55</f>
        <v>0</v>
      </c>
      <c r="D69" s="16">
        <f t="shared" si="15"/>
        <v>0</v>
      </c>
      <c r="E69" s="16">
        <f t="shared" si="15"/>
        <v>0</v>
      </c>
      <c r="F69" s="16">
        <f t="shared" si="15"/>
        <v>0</v>
      </c>
      <c r="G69" s="16">
        <f t="shared" si="15"/>
        <v>0</v>
      </c>
      <c r="H69" s="16">
        <f t="shared" si="15"/>
        <v>0</v>
      </c>
      <c r="I69" s="16">
        <f t="shared" si="15"/>
        <v>0</v>
      </c>
      <c r="J69" s="16">
        <f t="shared" si="15"/>
        <v>0</v>
      </c>
      <c r="K69" s="16">
        <f t="shared" si="15"/>
        <v>0</v>
      </c>
      <c r="L69" s="16">
        <f t="shared" si="15"/>
        <v>0</v>
      </c>
    </row>
    <row r="70" spans="1:13" x14ac:dyDescent="0.55000000000000004">
      <c r="B70" t="s">
        <v>251</v>
      </c>
      <c r="C70" s="16">
        <f t="shared" ref="C70:L70" si="16">C41/C56</f>
        <v>0</v>
      </c>
      <c r="D70" s="16">
        <f t="shared" si="16"/>
        <v>0</v>
      </c>
      <c r="E70" s="16">
        <f t="shared" si="16"/>
        <v>0</v>
      </c>
      <c r="F70" s="16">
        <f t="shared" si="16"/>
        <v>0</v>
      </c>
      <c r="G70" s="16">
        <f t="shared" si="16"/>
        <v>0</v>
      </c>
      <c r="H70" s="16">
        <f t="shared" si="16"/>
        <v>0</v>
      </c>
      <c r="I70" s="16">
        <f t="shared" si="16"/>
        <v>0</v>
      </c>
      <c r="J70" s="16">
        <f t="shared" si="16"/>
        <v>0</v>
      </c>
      <c r="K70" s="16">
        <f t="shared" si="16"/>
        <v>0</v>
      </c>
      <c r="L70" s="16">
        <f t="shared" si="16"/>
        <v>0</v>
      </c>
    </row>
    <row r="71" spans="1:13" x14ac:dyDescent="0.55000000000000004">
      <c r="B71" t="s">
        <v>252</v>
      </c>
      <c r="C71" s="16">
        <f t="shared" ref="C71:L71" si="17">C42/C57</f>
        <v>0</v>
      </c>
      <c r="D71" s="16">
        <f t="shared" si="17"/>
        <v>0</v>
      </c>
      <c r="E71" s="16">
        <f t="shared" si="17"/>
        <v>0</v>
      </c>
      <c r="F71" s="16">
        <f t="shared" si="17"/>
        <v>0</v>
      </c>
      <c r="G71" s="16">
        <f t="shared" si="17"/>
        <v>0</v>
      </c>
      <c r="H71" s="16">
        <f t="shared" si="17"/>
        <v>0</v>
      </c>
      <c r="I71" s="16">
        <f t="shared" si="17"/>
        <v>0</v>
      </c>
      <c r="J71" s="16">
        <f t="shared" si="17"/>
        <v>0</v>
      </c>
      <c r="K71" s="16">
        <f t="shared" si="17"/>
        <v>0</v>
      </c>
      <c r="L71" s="16">
        <f t="shared" si="17"/>
        <v>0</v>
      </c>
    </row>
    <row r="72" spans="1:13" x14ac:dyDescent="0.55000000000000004">
      <c r="B72" t="s">
        <v>253</v>
      </c>
      <c r="C72" s="16">
        <f t="shared" ref="C72:L72" si="18">C43/C58</f>
        <v>0</v>
      </c>
      <c r="D72" s="16">
        <f t="shared" si="18"/>
        <v>0</v>
      </c>
      <c r="E72" s="16">
        <f t="shared" si="18"/>
        <v>0</v>
      </c>
      <c r="F72" s="16">
        <f t="shared" si="18"/>
        <v>0</v>
      </c>
      <c r="G72" s="16">
        <f t="shared" si="18"/>
        <v>0</v>
      </c>
      <c r="H72" s="16">
        <f t="shared" si="18"/>
        <v>0</v>
      </c>
      <c r="I72" s="16">
        <f t="shared" si="18"/>
        <v>0</v>
      </c>
      <c r="J72" s="16">
        <f t="shared" si="18"/>
        <v>0</v>
      </c>
      <c r="K72" s="16">
        <f t="shared" si="18"/>
        <v>0</v>
      </c>
      <c r="L72" s="16">
        <f t="shared" si="18"/>
        <v>0</v>
      </c>
    </row>
    <row r="73" spans="1:13" x14ac:dyDescent="0.55000000000000004">
      <c r="B73" t="s">
        <v>254</v>
      </c>
      <c r="C73" s="16">
        <f t="shared" ref="C73:L73" si="19">C44/C59</f>
        <v>0</v>
      </c>
      <c r="D73" s="16">
        <f t="shared" si="19"/>
        <v>0</v>
      </c>
      <c r="E73" s="16">
        <f t="shared" si="19"/>
        <v>0</v>
      </c>
      <c r="F73" s="16">
        <f t="shared" si="19"/>
        <v>0</v>
      </c>
      <c r="G73" s="16">
        <f t="shared" si="19"/>
        <v>0</v>
      </c>
      <c r="H73" s="16">
        <f t="shared" si="19"/>
        <v>0</v>
      </c>
      <c r="I73" s="16">
        <f t="shared" si="19"/>
        <v>0</v>
      </c>
      <c r="J73" s="16">
        <f t="shared" si="19"/>
        <v>0</v>
      </c>
      <c r="K73" s="16">
        <f t="shared" si="19"/>
        <v>0</v>
      </c>
      <c r="L73" s="16">
        <f t="shared" si="19"/>
        <v>0</v>
      </c>
    </row>
    <row r="74" spans="1:13" x14ac:dyDescent="0.55000000000000004">
      <c r="B74" t="s">
        <v>255</v>
      </c>
      <c r="C74" s="16">
        <f t="shared" ref="C74:L74" si="20">C45/C60</f>
        <v>0</v>
      </c>
      <c r="D74" s="16"/>
      <c r="E74" s="16">
        <f t="shared" si="20"/>
        <v>0</v>
      </c>
      <c r="F74" s="16">
        <f t="shared" si="20"/>
        <v>0</v>
      </c>
      <c r="G74" s="16"/>
      <c r="H74" s="16">
        <f t="shared" si="20"/>
        <v>0</v>
      </c>
      <c r="I74" s="16">
        <f t="shared" si="20"/>
        <v>0</v>
      </c>
      <c r="J74" s="16"/>
      <c r="K74" s="16">
        <f>K45/K60</f>
        <v>0</v>
      </c>
      <c r="L74" s="16">
        <f t="shared" si="20"/>
        <v>0</v>
      </c>
    </row>
    <row r="76" spans="1:13" x14ac:dyDescent="0.55000000000000004">
      <c r="A76" t="s">
        <v>305</v>
      </c>
      <c r="B76" t="s">
        <v>306</v>
      </c>
      <c r="C76" t="s">
        <v>307</v>
      </c>
      <c r="D76" t="s">
        <v>308</v>
      </c>
      <c r="E76" t="s">
        <v>309</v>
      </c>
      <c r="F76" t="s">
        <v>307</v>
      </c>
      <c r="G76" t="s">
        <v>308</v>
      </c>
      <c r="H76" t="s">
        <v>310</v>
      </c>
      <c r="I76" t="s">
        <v>307</v>
      </c>
      <c r="J76" t="s">
        <v>308</v>
      </c>
      <c r="K76" t="s">
        <v>312</v>
      </c>
      <c r="L76" t="s">
        <v>307</v>
      </c>
      <c r="M76" t="s">
        <v>308</v>
      </c>
    </row>
    <row r="77" spans="1:13" hidden="1" x14ac:dyDescent="0.55000000000000004">
      <c r="B77" t="s">
        <v>206</v>
      </c>
      <c r="C77">
        <f>E49</f>
        <v>7903</v>
      </c>
      <c r="D77">
        <f>E34</f>
        <v>7941</v>
      </c>
      <c r="F77">
        <f>H49</f>
        <v>16477</v>
      </c>
      <c r="G77">
        <f>H34</f>
        <v>15325</v>
      </c>
      <c r="I77">
        <f>L49</f>
        <v>41151</v>
      </c>
      <c r="J77">
        <f>L34</f>
        <v>30170</v>
      </c>
      <c r="L77">
        <f>F77-C77</f>
        <v>8574</v>
      </c>
      <c r="M77">
        <f>G77-D77</f>
        <v>7384</v>
      </c>
    </row>
    <row r="78" spans="1:13" hidden="1" x14ac:dyDescent="0.55000000000000004">
      <c r="B78" t="s">
        <v>260</v>
      </c>
      <c r="C78">
        <f t="shared" ref="C78:C88" si="21">E50</f>
        <v>21236</v>
      </c>
      <c r="D78">
        <f t="shared" ref="D78:D88" si="22">E35</f>
        <v>0</v>
      </c>
      <c r="F78">
        <f t="shared" ref="F78:F88" si="23">H50</f>
        <v>3680</v>
      </c>
      <c r="G78">
        <f t="shared" ref="G78:G88" si="24">H35</f>
        <v>0</v>
      </c>
      <c r="I78">
        <f t="shared" ref="I78:I88" si="25">L50</f>
        <v>6733</v>
      </c>
      <c r="J78">
        <f t="shared" ref="J78:J88" si="26">L35</f>
        <v>0</v>
      </c>
      <c r="L78">
        <f t="shared" ref="L78:L88" si="27">F78-C78</f>
        <v>-17556</v>
      </c>
      <c r="M78">
        <f t="shared" ref="M78:M88" si="28">G78-D78</f>
        <v>0</v>
      </c>
    </row>
    <row r="79" spans="1:13" hidden="1" x14ac:dyDescent="0.55000000000000004">
      <c r="B79" t="s">
        <v>195</v>
      </c>
      <c r="C79">
        <f t="shared" si="21"/>
        <v>25702</v>
      </c>
      <c r="D79">
        <f t="shared" si="22"/>
        <v>0</v>
      </c>
      <c r="F79">
        <f t="shared" si="23"/>
        <v>4360</v>
      </c>
      <c r="G79">
        <f t="shared" si="24"/>
        <v>0</v>
      </c>
      <c r="I79">
        <f t="shared" si="25"/>
        <v>7316</v>
      </c>
      <c r="J79">
        <f t="shared" si="26"/>
        <v>0</v>
      </c>
      <c r="L79">
        <f t="shared" si="27"/>
        <v>-21342</v>
      </c>
      <c r="M79">
        <f t="shared" si="28"/>
        <v>0</v>
      </c>
    </row>
    <row r="80" spans="1:13" hidden="1" x14ac:dyDescent="0.55000000000000004">
      <c r="B80" t="s">
        <v>247</v>
      </c>
      <c r="C80">
        <f t="shared" si="21"/>
        <v>18855</v>
      </c>
      <c r="D80">
        <f t="shared" si="22"/>
        <v>0</v>
      </c>
      <c r="F80">
        <f t="shared" si="23"/>
        <v>7273</v>
      </c>
      <c r="G80">
        <f t="shared" si="24"/>
        <v>0</v>
      </c>
      <c r="I80">
        <f t="shared" si="25"/>
        <v>15729</v>
      </c>
      <c r="J80">
        <f t="shared" si="26"/>
        <v>0</v>
      </c>
      <c r="L80">
        <f t="shared" si="27"/>
        <v>-11582</v>
      </c>
      <c r="M80">
        <f t="shared" si="28"/>
        <v>0</v>
      </c>
    </row>
    <row r="81" spans="1:13" hidden="1" x14ac:dyDescent="0.55000000000000004">
      <c r="B81" t="s">
        <v>248</v>
      </c>
      <c r="C81">
        <f t="shared" si="21"/>
        <v>18393</v>
      </c>
      <c r="D81">
        <f t="shared" si="22"/>
        <v>0</v>
      </c>
      <c r="F81">
        <f t="shared" si="23"/>
        <v>5476</v>
      </c>
      <c r="G81">
        <f t="shared" si="24"/>
        <v>0</v>
      </c>
      <c r="I81">
        <f t="shared" si="25"/>
        <v>13029</v>
      </c>
      <c r="J81">
        <f t="shared" si="26"/>
        <v>0</v>
      </c>
      <c r="L81">
        <f t="shared" si="27"/>
        <v>-12917</v>
      </c>
      <c r="M81">
        <f t="shared" si="28"/>
        <v>0</v>
      </c>
    </row>
    <row r="82" spans="1:13" hidden="1" x14ac:dyDescent="0.55000000000000004">
      <c r="B82" t="s">
        <v>249</v>
      </c>
      <c r="C82">
        <f t="shared" si="21"/>
        <v>3990</v>
      </c>
      <c r="D82">
        <f t="shared" si="22"/>
        <v>0</v>
      </c>
      <c r="F82">
        <f t="shared" si="23"/>
        <v>16783</v>
      </c>
      <c r="G82">
        <f t="shared" si="24"/>
        <v>0</v>
      </c>
      <c r="I82">
        <f t="shared" si="25"/>
        <v>28629</v>
      </c>
      <c r="J82">
        <f t="shared" si="26"/>
        <v>0</v>
      </c>
      <c r="L82">
        <f t="shared" si="27"/>
        <v>12793</v>
      </c>
      <c r="M82">
        <f t="shared" si="28"/>
        <v>0</v>
      </c>
    </row>
    <row r="83" spans="1:13" hidden="1" x14ac:dyDescent="0.55000000000000004">
      <c r="B83" t="s">
        <v>250</v>
      </c>
      <c r="C83">
        <f t="shared" si="21"/>
        <v>608</v>
      </c>
      <c r="D83">
        <f t="shared" si="22"/>
        <v>0</v>
      </c>
      <c r="F83">
        <f t="shared" si="23"/>
        <v>18568</v>
      </c>
      <c r="G83">
        <f t="shared" si="24"/>
        <v>0</v>
      </c>
      <c r="I83">
        <f t="shared" si="25"/>
        <v>27728</v>
      </c>
      <c r="J83">
        <f t="shared" si="26"/>
        <v>0</v>
      </c>
      <c r="L83">
        <f t="shared" si="27"/>
        <v>17960</v>
      </c>
      <c r="M83">
        <f t="shared" si="28"/>
        <v>0</v>
      </c>
    </row>
    <row r="84" spans="1:13" hidden="1" x14ac:dyDescent="0.55000000000000004">
      <c r="B84" t="s">
        <v>251</v>
      </c>
      <c r="C84">
        <f t="shared" si="21"/>
        <v>313</v>
      </c>
      <c r="D84">
        <f t="shared" si="22"/>
        <v>0</v>
      </c>
      <c r="F84">
        <f t="shared" si="23"/>
        <v>19805</v>
      </c>
      <c r="G84">
        <f t="shared" si="24"/>
        <v>0</v>
      </c>
      <c r="I84">
        <f t="shared" si="25"/>
        <v>28231</v>
      </c>
      <c r="J84">
        <f t="shared" si="26"/>
        <v>0</v>
      </c>
      <c r="L84">
        <f t="shared" si="27"/>
        <v>19492</v>
      </c>
      <c r="M84">
        <f t="shared" si="28"/>
        <v>0</v>
      </c>
    </row>
    <row r="85" spans="1:13" hidden="1" x14ac:dyDescent="0.55000000000000004">
      <c r="B85" t="s">
        <v>252</v>
      </c>
      <c r="C85">
        <f t="shared" si="21"/>
        <v>543</v>
      </c>
      <c r="D85">
        <f t="shared" si="22"/>
        <v>0</v>
      </c>
      <c r="F85">
        <f t="shared" si="23"/>
        <v>16835</v>
      </c>
      <c r="G85">
        <f t="shared" si="24"/>
        <v>0</v>
      </c>
      <c r="I85">
        <f t="shared" si="25"/>
        <v>25831</v>
      </c>
      <c r="J85">
        <f t="shared" si="26"/>
        <v>0</v>
      </c>
      <c r="L85">
        <f t="shared" si="27"/>
        <v>16292</v>
      </c>
      <c r="M85">
        <f t="shared" si="28"/>
        <v>0</v>
      </c>
    </row>
    <row r="86" spans="1:13" hidden="1" x14ac:dyDescent="0.55000000000000004">
      <c r="B86" t="s">
        <v>253</v>
      </c>
      <c r="C86">
        <f t="shared" si="21"/>
        <v>1006</v>
      </c>
      <c r="D86">
        <f t="shared" si="22"/>
        <v>0</v>
      </c>
      <c r="F86">
        <f t="shared" si="23"/>
        <v>14963</v>
      </c>
      <c r="G86">
        <f t="shared" si="24"/>
        <v>0</v>
      </c>
      <c r="I86">
        <f t="shared" si="25"/>
        <v>24830</v>
      </c>
      <c r="J86">
        <f t="shared" si="26"/>
        <v>0</v>
      </c>
      <c r="L86">
        <f t="shared" si="27"/>
        <v>13957</v>
      </c>
      <c r="M86">
        <f t="shared" si="28"/>
        <v>0</v>
      </c>
    </row>
    <row r="87" spans="1:13" hidden="1" x14ac:dyDescent="0.55000000000000004">
      <c r="B87" t="s">
        <v>254</v>
      </c>
      <c r="C87">
        <f t="shared" si="21"/>
        <v>1469</v>
      </c>
      <c r="D87">
        <f t="shared" si="22"/>
        <v>0</v>
      </c>
      <c r="F87">
        <f t="shared" si="23"/>
        <v>11553</v>
      </c>
      <c r="G87">
        <f t="shared" si="24"/>
        <v>0</v>
      </c>
      <c r="I87">
        <f t="shared" si="25"/>
        <v>20258</v>
      </c>
      <c r="J87">
        <f t="shared" si="26"/>
        <v>0</v>
      </c>
      <c r="L87">
        <f t="shared" si="27"/>
        <v>10084</v>
      </c>
      <c r="M87">
        <f t="shared" si="28"/>
        <v>0</v>
      </c>
    </row>
    <row r="88" spans="1:13" hidden="1" x14ac:dyDescent="0.55000000000000004">
      <c r="B88" t="s">
        <v>255</v>
      </c>
      <c r="C88">
        <f t="shared" si="21"/>
        <v>207</v>
      </c>
      <c r="D88">
        <f t="shared" si="22"/>
        <v>0</v>
      </c>
      <c r="F88">
        <f t="shared" si="23"/>
        <v>4229</v>
      </c>
      <c r="G88">
        <f t="shared" si="24"/>
        <v>0</v>
      </c>
      <c r="I88">
        <f t="shared" si="25"/>
        <v>6043</v>
      </c>
      <c r="J88">
        <f t="shared" si="26"/>
        <v>0</v>
      </c>
      <c r="L88">
        <f t="shared" si="27"/>
        <v>4022</v>
      </c>
      <c r="M88">
        <f t="shared" si="28"/>
        <v>0</v>
      </c>
    </row>
    <row r="89" spans="1:13" x14ac:dyDescent="0.55000000000000004">
      <c r="K89" t="s">
        <v>313</v>
      </c>
      <c r="L89">
        <f>SUM(L77:L88)</f>
        <v>39777</v>
      </c>
    </row>
    <row r="91" spans="1:13" x14ac:dyDescent="0.55000000000000004">
      <c r="A91" t="s">
        <v>311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topLeftCell="AQ22" workbookViewId="0">
      <selection activeCell="BE7" sqref="BE7:BE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214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215</v>
      </c>
      <c r="C7" s="6" t="str">
        <f>TEXT(B7,"aaaa")</f>
        <v>火曜日</v>
      </c>
      <c r="D7" s="6"/>
      <c r="E7" s="6" t="str">
        <f>IF(OR(C7="土曜日",C7="日曜日",D7="〇"),"〇","")</f>
        <v/>
      </c>
      <c r="F7" s="6" t="s">
        <v>297</v>
      </c>
      <c r="G7" s="6" t="s">
        <v>299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0.89729999999999999</v>
      </c>
      <c r="R7" s="3">
        <v>0.56999999999999995</v>
      </c>
      <c r="S7" s="3">
        <f>IF($E7="〇",R7*基本シート!$E$2,R7*VLOOKUP(LEFT(S$6,FIND("(",S$6)-1),基本シート!$B$6:$C$29,2,FALSE))</f>
        <v>17.0487</v>
      </c>
      <c r="T7" s="3">
        <v>0.09</v>
      </c>
      <c r="U7" s="3">
        <f>IF($E7="〇",T7*基本シート!$E$2,T7*VLOOKUP(LEFT(U$6,FIND("(",U$6)-1),基本シート!$B$6:$C$29,2,FALSE))</f>
        <v>2.6919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0.73959999999999992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0.75</v>
      </c>
      <c r="BE7" s="3">
        <f t="shared" ref="BE7:BE36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216</v>
      </c>
      <c r="C8" s="6" t="str">
        <f t="shared" ref="C8:C38" si="9">TEXT(B8,"aaaa")</f>
        <v>水曜日</v>
      </c>
      <c r="D8" s="6"/>
      <c r="E8" s="6" t="str">
        <f t="shared" ref="E8:E38" si="10">IF(OR(C8="土曜日",C8="日曜日",D8="〇"),"〇","")</f>
        <v/>
      </c>
      <c r="F8" s="6" t="s">
        <v>297</v>
      </c>
      <c r="G8" s="6" t="s">
        <v>298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4.1874000000000002</v>
      </c>
      <c r="N8" s="3">
        <v>0.22</v>
      </c>
      <c r="O8" s="3">
        <f>IF($E8="〇",N8*基本シート!$E$2,N8*VLOOKUP(LEFT(O$6,FIND("(",O$6)-1),基本シート!$B$6:$C$29,2,FALSE))</f>
        <v>6.5802000000000005</v>
      </c>
      <c r="P8" s="3">
        <v>0.37</v>
      </c>
      <c r="Q8" s="3">
        <f>IF($E8="〇",P8*基本シート!$E$2,P8*VLOOKUP(LEFT(Q$6,FIND("(",Q$6)-1),基本シート!$B$6:$C$29,2,FALSE))</f>
        <v>11.066699999999999</v>
      </c>
      <c r="R8" s="3">
        <v>0.35</v>
      </c>
      <c r="S8" s="3">
        <f>IF($E8="〇",R8*基本シート!$E$2,R8*VLOOKUP(LEFT(S$6,FIND("(",S$6)-1),基本シート!$B$6:$C$29,2,FALSE))</f>
        <v>10.468499999999999</v>
      </c>
      <c r="T8" s="3">
        <v>0.08</v>
      </c>
      <c r="U8" s="3">
        <f>IF($E8="〇",T8*基本シート!$E$2,T8*VLOOKUP(LEFT(U$6,FIND("(",U$6)-1),基本シート!$B$6:$C$29,2,FALSE))</f>
        <v>2.3928000000000003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0.59820000000000007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6" si="13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6" si="14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217</v>
      </c>
      <c r="C9" s="6" t="str">
        <f t="shared" si="9"/>
        <v>木曜日</v>
      </c>
      <c r="D9" s="6"/>
      <c r="E9" s="6" t="str">
        <f t="shared" si="10"/>
        <v/>
      </c>
      <c r="F9" s="6" t="s">
        <v>297</v>
      </c>
      <c r="G9" s="6" t="s">
        <v>298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5.0847000000000007</v>
      </c>
      <c r="P9" s="3">
        <v>0.43</v>
      </c>
      <c r="Q9" s="3">
        <f>IF($E9="〇",P9*基本シート!$E$2,P9*VLOOKUP(LEFT(Q$6,FIND("(",Q$6)-1),基本シート!$B$6:$C$29,2,FALSE))</f>
        <v>12.8613</v>
      </c>
      <c r="R9" s="3">
        <v>0.28999999999999998</v>
      </c>
      <c r="S9" s="3">
        <f>IF($E9="〇",R9*基本シート!$E$2,R9*VLOOKUP(LEFT(S$6,FIND("(",S$6)-1),基本シート!$B$6:$C$29,2,FALSE))</f>
        <v>8.6738999999999997</v>
      </c>
      <c r="T9" s="3">
        <v>0.26</v>
      </c>
      <c r="U9" s="3">
        <f>IF($E9="〇",T9*基本シート!$E$2,T9*VLOOKUP(LEFT(U$6,FIND("(",U$6)-1),基本シート!$B$6:$C$29,2,FALSE))</f>
        <v>7.7766000000000002</v>
      </c>
      <c r="V9" s="3">
        <v>0.06</v>
      </c>
      <c r="W9" s="3">
        <f>IF($E9="〇",V9*基本シート!$E$2,V9*VLOOKUP(LEFT(W$6,FIND("(",W$6)-1),基本シート!$B$6:$C$29,2,FALSE))</f>
        <v>2.2187999999999999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3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4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218</v>
      </c>
      <c r="C10" s="6" t="str">
        <f t="shared" si="9"/>
        <v>金曜日</v>
      </c>
      <c r="D10" s="6"/>
      <c r="E10" s="6" t="str">
        <f t="shared" si="10"/>
        <v/>
      </c>
      <c r="F10" s="6" t="s">
        <v>298</v>
      </c>
      <c r="G10" s="6" t="s">
        <v>297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6.5802000000000005</v>
      </c>
      <c r="V10" s="3">
        <v>0.15</v>
      </c>
      <c r="W10" s="3">
        <f>IF($E10="〇",V10*基本シート!$E$2,V10*VLOOKUP(LEFT(W$6,FIND("(",W$6)-1),基本シート!$B$6:$C$29,2,FALSE))</f>
        <v>5.5469999999999997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0.59820000000000007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3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4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219</v>
      </c>
      <c r="C11" s="6" t="str">
        <f t="shared" si="9"/>
        <v>土曜日</v>
      </c>
      <c r="D11" s="6"/>
      <c r="E11" s="6" t="str">
        <f t="shared" si="10"/>
        <v>〇</v>
      </c>
      <c r="F11" s="6" t="s">
        <v>297</v>
      </c>
      <c r="G11" s="6" t="s">
        <v>299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0.03</v>
      </c>
      <c r="AQ11" s="3">
        <f>IF($E11="〇",AP11*基本シート!$E$2,AP11*VLOOKUP(LEFT(AQ$6,FIND("(",AQ$6)-1),基本シート!$B$6:$C$29,2,FALSE))</f>
        <v>0.89729999999999999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0.01</v>
      </c>
      <c r="AU11" s="3">
        <f>IF($E11="〇",AT11*基本シート!$E$2,AT11*VLOOKUP(LEFT(AU$6,FIND("(",AU$6)-1),基本シート!$B$6:$C$29,2,FALSE))</f>
        <v>0.29910000000000003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3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4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220</v>
      </c>
      <c r="C12" s="6" t="str">
        <f t="shared" si="9"/>
        <v>日曜日</v>
      </c>
      <c r="D12" s="6"/>
      <c r="E12" s="6" t="str">
        <f t="shared" si="10"/>
        <v>〇</v>
      </c>
      <c r="F12" s="6" t="s">
        <v>297</v>
      </c>
      <c r="G12" s="6" t="s">
        <v>297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2.6919</v>
      </c>
      <c r="P12" s="3">
        <v>0.23</v>
      </c>
      <c r="Q12" s="3">
        <f>IF($E12="〇",P12*基本シート!$E$2,P12*VLOOKUP(LEFT(Q$6,FIND("(",Q$6)-1),基本シート!$B$6:$C$29,2,FALSE))</f>
        <v>6.8793000000000006</v>
      </c>
      <c r="R12" s="3">
        <v>0.22</v>
      </c>
      <c r="S12" s="3">
        <f>IF($E12="〇",R12*基本シート!$E$2,R12*VLOOKUP(LEFT(S$6,FIND("(",S$6)-1),基本シート!$B$6:$C$29,2,FALSE))</f>
        <v>6.5802000000000005</v>
      </c>
      <c r="T12" s="3">
        <v>0.14000000000000001</v>
      </c>
      <c r="U12" s="3">
        <f>IF($E12="〇",T12*基本シート!$E$2,T12*VLOOKUP(LEFT(U$6,FIND("(",U$6)-1),基本シート!$B$6:$C$29,2,FALSE))</f>
        <v>4.1874000000000002</v>
      </c>
      <c r="V12" s="3">
        <v>0.17</v>
      </c>
      <c r="W12" s="3">
        <f>IF($E12="〇",V12*基本シート!$E$2,V12*VLOOKUP(LEFT(W$6,FIND("(",W$6)-1),基本シート!$B$6:$C$29,2,FALSE))</f>
        <v>5.0847000000000007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0.29910000000000003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0.59820000000000007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0.16</v>
      </c>
      <c r="AY12" s="3">
        <f>IF($E12="〇",AX12*基本シート!$E$2,AX12*VLOOKUP(LEFT(AY$6,FIND("(",AY$6)-1),基本シート!$B$6:$C$29,2,FALSE))</f>
        <v>4.7856000000000005</v>
      </c>
      <c r="AZ12" s="3">
        <v>0.23</v>
      </c>
      <c r="BA12" s="3">
        <f>IF($E12="〇",AZ12*基本シート!$E$2,AZ12*VLOOKUP(LEFT(BA$6,FIND("(",BA$6)-1),基本シート!$B$6:$C$29,2,FALSE))</f>
        <v>6.8793000000000006</v>
      </c>
      <c r="BB12" s="3">
        <v>0.22</v>
      </c>
      <c r="BC12" s="3">
        <f>IF($E12="〇",BB12*基本シート!$E$2,BB12*VLOOKUP(LEFT(BC$6,FIND("(",BC$6)-1),基本シート!$B$6:$C$29,2,FALSE))</f>
        <v>6.5802000000000005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2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3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4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221</v>
      </c>
      <c r="C13" s="6" t="str">
        <f t="shared" si="9"/>
        <v>月曜日</v>
      </c>
      <c r="D13" s="6"/>
      <c r="E13" s="6" t="str">
        <f t="shared" si="10"/>
        <v/>
      </c>
      <c r="F13" s="6" t="s">
        <v>298</v>
      </c>
      <c r="G13" s="6" t="s">
        <v>298</v>
      </c>
      <c r="H13" s="3">
        <v>0.21</v>
      </c>
      <c r="I13" s="3">
        <f>IF($E13="〇",H13*基本シート!$E$2,H13*VLOOKUP(LEFT(I$6,FIND("(",I$6)-1),基本シート!$B$6:$C$29,2,FALSE))</f>
        <v>6.2810999999999995</v>
      </c>
      <c r="J13" s="3">
        <v>0.23</v>
      </c>
      <c r="K13" s="3">
        <f>IF($E13="〇",J13*基本シート!$E$2,J13*VLOOKUP(LEFT(K$6,FIND("(",K$6)-1),基本シート!$B$6:$C$29,2,FALSE))</f>
        <v>6.8793000000000006</v>
      </c>
      <c r="L13" s="3">
        <v>0.22</v>
      </c>
      <c r="M13" s="3">
        <f>IF($E13="〇",L13*基本シート!$E$2,L13*VLOOKUP(LEFT(M$6,FIND("(",M$6)-1),基本シート!$B$6:$C$29,2,FALSE))</f>
        <v>6.5802000000000005</v>
      </c>
      <c r="N13" s="3">
        <v>0.22</v>
      </c>
      <c r="O13" s="3">
        <f>IF($E13="〇",N13*基本シート!$E$2,N13*VLOOKUP(LEFT(O$6,FIND("(",O$6)-1),基本シート!$B$6:$C$29,2,FALSE))</f>
        <v>6.5802000000000005</v>
      </c>
      <c r="P13" s="3">
        <v>0.68</v>
      </c>
      <c r="Q13" s="3">
        <f>IF($E13="〇",P13*基本シート!$E$2,P13*VLOOKUP(LEFT(Q$6,FIND("(",Q$6)-1),基本シート!$B$6:$C$29,2,FALSE))</f>
        <v>20.338800000000003</v>
      </c>
      <c r="R13" s="3">
        <v>0.36</v>
      </c>
      <c r="S13" s="3">
        <f>IF($E13="〇",R13*基本シート!$E$2,R13*VLOOKUP(LEFT(S$6,FIND("(",S$6)-1),基本シート!$B$6:$C$29,2,FALSE))</f>
        <v>10.7676</v>
      </c>
      <c r="T13" s="3">
        <v>0.31</v>
      </c>
      <c r="U13" s="3">
        <f>IF($E13="〇",T13*基本シート!$E$2,T13*VLOOKUP(LEFT(U$6,FIND("(",U$6)-1),基本シート!$B$6:$C$29,2,FALSE))</f>
        <v>9.2721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0.01</v>
      </c>
      <c r="AU13" s="3">
        <f>IF($E13="〇",AT13*基本シート!$E$2,AT13*VLOOKUP(LEFT(AU$6,FIND("(",AU$6)-1),基本シート!$B$6:$C$29,2,FALSE))</f>
        <v>0.36979999999999996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0.59820000000000007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3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4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222</v>
      </c>
      <c r="C14" s="6" t="str">
        <f t="shared" si="9"/>
        <v>火曜日</v>
      </c>
      <c r="D14" s="6"/>
      <c r="E14" s="6" t="str">
        <f t="shared" si="10"/>
        <v/>
      </c>
      <c r="F14" s="6" t="s">
        <v>297</v>
      </c>
      <c r="G14" s="6" t="s">
        <v>297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1.1964000000000001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0.42</v>
      </c>
      <c r="Q14" s="3">
        <f>IF($E14="〇",P14*基本シート!$E$2,P14*VLOOKUP(LEFT(Q$6,FIND("(",Q$6)-1),基本シート!$B$6:$C$29,2,FALSE))</f>
        <v>12.562199999999999</v>
      </c>
      <c r="R14" s="3">
        <v>0.25</v>
      </c>
      <c r="S14" s="3">
        <f>IF($E14="〇",R14*基本シート!$E$2,R14*VLOOKUP(LEFT(S$6,FIND("(",S$6)-1),基本シート!$B$6:$C$29,2,FALSE))</f>
        <v>7.4775</v>
      </c>
      <c r="T14" s="3">
        <v>0.14000000000000001</v>
      </c>
      <c r="U14" s="3">
        <f>IF($E14="〇",T14*基本シート!$E$2,T14*VLOOKUP(LEFT(U$6,FIND("(",U$6)-1),基本シート!$B$6:$C$29,2,FALSE))</f>
        <v>4.1874000000000002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0.02</v>
      </c>
      <c r="BA14" s="3">
        <f>IF($E14="〇",AZ14*基本シート!$E$2,AZ14*VLOOKUP(LEFT(BA$6,FIND("(",BA$6)-1),基本シート!$B$6:$C$29,2,FALSE))</f>
        <v>0.59820000000000007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3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4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223</v>
      </c>
      <c r="C15" s="6" t="str">
        <f t="shared" si="9"/>
        <v>水曜日</v>
      </c>
      <c r="D15" s="6"/>
      <c r="E15" s="6" t="str">
        <f t="shared" si="10"/>
        <v/>
      </c>
      <c r="F15" s="6" t="s">
        <v>297</v>
      </c>
      <c r="G15" s="6" t="s">
        <v>299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0.89729999999999999</v>
      </c>
      <c r="L15" s="3">
        <v>0.22</v>
      </c>
      <c r="M15" s="3">
        <f>IF($E15="〇",L15*基本シート!$E$2,L15*VLOOKUP(LEFT(M$6,FIND("(",M$6)-1),基本シート!$B$6:$C$29,2,FALSE))</f>
        <v>6.5802000000000005</v>
      </c>
      <c r="N15" s="3">
        <v>0.27</v>
      </c>
      <c r="O15" s="3">
        <f>IF($E15="〇",N15*基本シート!$E$2,N15*VLOOKUP(LEFT(O$6,FIND("(",O$6)-1),基本シート!$B$6:$C$29,2,FALSE))</f>
        <v>8.0757000000000012</v>
      </c>
      <c r="P15" s="3">
        <v>0.4</v>
      </c>
      <c r="Q15" s="3">
        <f>IF($E15="〇",P15*基本シート!$E$2,P15*VLOOKUP(LEFT(Q$6,FIND("(",Q$6)-1),基本シート!$B$6:$C$29,2,FALSE))</f>
        <v>11.964</v>
      </c>
      <c r="R15" s="3">
        <v>0.88</v>
      </c>
      <c r="S15" s="3">
        <f>IF($E15="〇",R15*基本シート!$E$2,R15*VLOOKUP(LEFT(S$6,FIND("(",S$6)-1),基本シート!$B$6:$C$29,2,FALSE))</f>
        <v>26.320800000000002</v>
      </c>
      <c r="T15" s="3">
        <v>0.15</v>
      </c>
      <c r="U15" s="3">
        <f>IF($E15="〇",T15*基本シート!$E$2,T15*VLOOKUP(LEFT(U$6,FIND("(",U$6)-1),基本シート!$B$6:$C$29,2,FALSE))</f>
        <v>4.4864999999999995</v>
      </c>
      <c r="V15" s="3">
        <v>0.01</v>
      </c>
      <c r="W15" s="3">
        <f>IF($E15="〇",V15*基本シート!$E$2,V15*VLOOKUP(LEFT(W$6,FIND("(",W$6)-1),基本シート!$B$6:$C$29,2,FALSE))</f>
        <v>0.36979999999999996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0.02</v>
      </c>
      <c r="AS15" s="3">
        <f>IF($E15="〇",AR15*基本シート!$E$2,AR15*VLOOKUP(LEFT(AS$6,FIND("(",AS$6)-1),基本シート!$B$6:$C$29,2,FALSE))</f>
        <v>0.73959999999999992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0.02</v>
      </c>
      <c r="BA15" s="3">
        <f>IF($E15="〇",AZ15*基本シート!$E$2,AZ15*VLOOKUP(LEFT(BA$6,FIND("(",BA$6)-1),基本シート!$B$6:$C$29,2,FALSE))</f>
        <v>0.59820000000000007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1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3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4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224</v>
      </c>
      <c r="C16" s="6" t="str">
        <f t="shared" si="9"/>
        <v>木曜日</v>
      </c>
      <c r="D16" s="6"/>
      <c r="E16" s="6" t="str">
        <f t="shared" si="10"/>
        <v/>
      </c>
      <c r="F16" s="6" t="s">
        <v>297</v>
      </c>
      <c r="G16" s="6" t="s">
        <v>297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11.664900000000001</v>
      </c>
      <c r="R16" s="3">
        <v>0.3</v>
      </c>
      <c r="S16" s="3">
        <f>IF($E16="〇",R16*基本シート!$E$2,R16*VLOOKUP(LEFT(S$6,FIND("(",S$6)-1),基本シート!$B$6:$C$29,2,FALSE))</f>
        <v>8.972999999999999</v>
      </c>
      <c r="T16" s="3">
        <v>0.06</v>
      </c>
      <c r="U16" s="3">
        <f>IF($E16="〇",T16*基本シート!$E$2,T16*VLOOKUP(LEFT(U$6,FIND("(",U$6)-1),基本シート!$B$6:$C$29,2,FALSE))</f>
        <v>1.7946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3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4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225</v>
      </c>
      <c r="C17" s="6" t="str">
        <f t="shared" si="9"/>
        <v>金曜日</v>
      </c>
      <c r="D17" s="6"/>
      <c r="E17" s="6" t="str">
        <f t="shared" si="10"/>
        <v/>
      </c>
      <c r="F17" s="6" t="s">
        <v>299</v>
      </c>
      <c r="G17" s="6" t="s">
        <v>299</v>
      </c>
      <c r="H17" s="3">
        <v>0.2</v>
      </c>
      <c r="I17" s="3">
        <f>IF($E17="〇",H17*基本シート!$E$2,H17*VLOOKUP(LEFT(I$6,FIND("(",I$6)-1),基本シート!$B$6:$C$29,2,FALSE))</f>
        <v>5.9820000000000002</v>
      </c>
      <c r="J17" s="3">
        <v>0.24</v>
      </c>
      <c r="K17" s="3">
        <f>IF($E17="〇",J17*基本シート!$E$2,J17*VLOOKUP(LEFT(K$6,FIND("(",K$6)-1),基本シート!$B$6:$C$29,2,FALSE))</f>
        <v>7.1783999999999999</v>
      </c>
      <c r="L17" s="3">
        <v>0.22</v>
      </c>
      <c r="M17" s="3">
        <f>IF($E17="〇",L17*基本シート!$E$2,L17*VLOOKUP(LEFT(M$6,FIND("(",M$6)-1),基本シート!$B$6:$C$29,2,FALSE))</f>
        <v>6.5802000000000005</v>
      </c>
      <c r="N17" s="3">
        <v>0.23</v>
      </c>
      <c r="O17" s="3">
        <f>IF($E17="〇",N17*基本シート!$E$2,N17*VLOOKUP(LEFT(O$6,FIND("(",O$6)-1),基本シート!$B$6:$C$29,2,FALSE))</f>
        <v>6.8793000000000006</v>
      </c>
      <c r="P17" s="3">
        <v>0.46</v>
      </c>
      <c r="Q17" s="3">
        <f>IF($E17="〇",P17*基本シート!$E$2,P17*VLOOKUP(LEFT(Q$6,FIND("(",Q$6)-1),基本シート!$B$6:$C$29,2,FALSE))</f>
        <v>13.758600000000001</v>
      </c>
      <c r="R17" s="3">
        <v>0.48</v>
      </c>
      <c r="S17" s="3">
        <f>IF($E17="〇",R17*基本シート!$E$2,R17*VLOOKUP(LEFT(S$6,FIND("(",S$6)-1),基本シート!$B$6:$C$29,2,FALSE))</f>
        <v>14.3568</v>
      </c>
      <c r="T17" s="3">
        <v>0.05</v>
      </c>
      <c r="U17" s="3">
        <f>IF($E17="〇",T17*基本シート!$E$2,T17*VLOOKUP(LEFT(U$6,FIND("(",U$6)-1),基本シート!$B$6:$C$29,2,FALSE))</f>
        <v>1.4955000000000001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1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3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4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226</v>
      </c>
      <c r="C18" s="6" t="str">
        <f t="shared" si="9"/>
        <v>土曜日</v>
      </c>
      <c r="D18" s="6"/>
      <c r="E18" s="6" t="str">
        <f t="shared" si="10"/>
        <v>〇</v>
      </c>
      <c r="F18" s="6" t="s">
        <v>299</v>
      </c>
      <c r="G18" s="6" t="s">
        <v>299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1.4955000000000001</v>
      </c>
      <c r="AR18" s="3">
        <v>0.11</v>
      </c>
      <c r="AS18" s="3">
        <f>IF($E18="〇",AR18*基本シート!$E$2,AR18*VLOOKUP(LEFT(AS$6,FIND("(",AS$6)-1),基本シート!$B$6:$C$29,2,FALSE))</f>
        <v>3.2901000000000002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3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4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227</v>
      </c>
      <c r="C19" s="6" t="str">
        <f t="shared" si="9"/>
        <v>日曜日</v>
      </c>
      <c r="D19" s="6"/>
      <c r="E19" s="6" t="str">
        <f t="shared" si="10"/>
        <v>〇</v>
      </c>
      <c r="F19" s="6" t="s">
        <v>299</v>
      </c>
      <c r="G19" s="6" t="s">
        <v>299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3.2901000000000002</v>
      </c>
      <c r="P19" s="3">
        <v>0.24</v>
      </c>
      <c r="Q19" s="3">
        <f>IF($E19="〇",P19*基本シート!$E$2,P19*VLOOKUP(LEFT(Q$6,FIND("(",Q$6)-1),基本シート!$B$6:$C$29,2,FALSE))</f>
        <v>7.1783999999999999</v>
      </c>
      <c r="R19" s="3">
        <v>0.23</v>
      </c>
      <c r="S19" s="3">
        <f>IF($E19="〇",R19*基本シート!$E$2,R19*VLOOKUP(LEFT(S$6,FIND("(",S$6)-1),基本シート!$B$6:$C$29,2,FALSE))</f>
        <v>6.8793000000000006</v>
      </c>
      <c r="T19" s="3">
        <v>7.0000000000000007E-2</v>
      </c>
      <c r="U19" s="3">
        <f>IF($E19="〇",T19*基本シート!$E$2,T19*VLOOKUP(LEFT(U$6,FIND("(",U$6)-1),基本シート!$B$6:$C$29,2,FALSE))</f>
        <v>2.0937000000000001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0.01</v>
      </c>
      <c r="Y19" s="3">
        <f>IF($E19="〇",X19*基本シート!$E$2,X19*VLOOKUP(LEFT(Y$6,FIND("(",Y$6)-1),基本シート!$B$6:$C$29,2,FALSE))</f>
        <v>0.29910000000000003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0.29910000000000003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3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4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228</v>
      </c>
      <c r="C20" s="6" t="str">
        <f t="shared" si="9"/>
        <v>月曜日</v>
      </c>
      <c r="D20" s="6" t="s">
        <v>82</v>
      </c>
      <c r="E20" s="6" t="str">
        <f t="shared" si="10"/>
        <v>〇</v>
      </c>
      <c r="F20" s="6" t="s">
        <v>299</v>
      </c>
      <c r="G20" s="6" t="s">
        <v>297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0.89729999999999999</v>
      </c>
      <c r="P20" s="3">
        <v>0.27</v>
      </c>
      <c r="Q20" s="3">
        <f>IF($E20="〇",P20*基本シート!$E$2,P20*VLOOKUP(LEFT(Q$6,FIND("(",Q$6)-1),基本シート!$B$6:$C$29,2,FALSE))</f>
        <v>8.0757000000000012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0.05</v>
      </c>
      <c r="U20" s="3">
        <f>IF($E20="〇",T20*基本シート!$E$2,T20*VLOOKUP(LEFT(U$6,FIND("(",U$6)-1),基本シート!$B$6:$C$29,2,FALSE))</f>
        <v>1.4955000000000001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3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4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229</v>
      </c>
      <c r="C21" s="6" t="str">
        <f t="shared" si="9"/>
        <v>火曜日</v>
      </c>
      <c r="D21" s="6"/>
      <c r="E21" s="6" t="str">
        <f t="shared" si="10"/>
        <v/>
      </c>
      <c r="F21" s="6" t="s">
        <v>297</v>
      </c>
      <c r="G21" s="6" t="s">
        <v>298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5.0847000000000007</v>
      </c>
      <c r="P21" s="3">
        <v>0.41</v>
      </c>
      <c r="Q21" s="3">
        <f>IF($E21="〇",P21*基本シート!$E$2,P21*VLOOKUP(LEFT(Q$6,FIND("(",Q$6)-1),基本シート!$B$6:$C$29,2,FALSE))</f>
        <v>12.2631</v>
      </c>
      <c r="R21" s="3">
        <v>0.56000000000000005</v>
      </c>
      <c r="S21" s="3">
        <f>IF($E21="〇",R21*基本シート!$E$2,R21*VLOOKUP(LEFT(S$6,FIND("(",S$6)-1),基本シート!$B$6:$C$29,2,FALSE))</f>
        <v>16.749600000000001</v>
      </c>
      <c r="T21" s="3">
        <v>0.28000000000000003</v>
      </c>
      <c r="U21" s="3">
        <f>IF($E21="〇",T21*基本シート!$E$2,T21*VLOOKUP(LEFT(U$6,FIND("(",U$6)-1),基本シート!$B$6:$C$29,2,FALSE))</f>
        <v>8.3748000000000005</v>
      </c>
      <c r="V21" s="3">
        <v>0.38</v>
      </c>
      <c r="W21" s="3">
        <f>IF($E21="〇",V21*基本シート!$E$2,V21*VLOOKUP(LEFT(W$6,FIND("(",W$6)-1),基本シート!$B$6:$C$29,2,FALSE))</f>
        <v>14.052399999999999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1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3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4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230</v>
      </c>
      <c r="C22" s="6" t="str">
        <f t="shared" si="9"/>
        <v>水曜日</v>
      </c>
      <c r="D22" s="6"/>
      <c r="E22" s="6" t="str">
        <f t="shared" si="10"/>
        <v/>
      </c>
      <c r="F22" s="6" t="s">
        <v>298</v>
      </c>
      <c r="G22" s="6" t="s">
        <v>299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3.2901000000000002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0.41</v>
      </c>
      <c r="Q22" s="3">
        <f>IF($E22="〇",P22*基本シート!$E$2,P22*VLOOKUP(LEFT(Q$6,FIND("(",Q$6)-1),基本シート!$B$6:$C$29,2,FALSE))</f>
        <v>12.2631</v>
      </c>
      <c r="R22" s="3">
        <v>0.4</v>
      </c>
      <c r="S22" s="3">
        <f>IF($E22="〇",R22*基本シート!$E$2,R22*VLOOKUP(LEFT(S$6,FIND("(",S$6)-1),基本シート!$B$6:$C$29,2,FALSE))</f>
        <v>11.964</v>
      </c>
      <c r="T22" s="3">
        <v>0.26</v>
      </c>
      <c r="U22" s="3">
        <f>IF($E22="〇",T22*基本シート!$E$2,T22*VLOOKUP(LEFT(U$6,FIND("(",U$6)-1),基本シート!$B$6:$C$29,2,FALSE))</f>
        <v>7.7766000000000002</v>
      </c>
      <c r="V22" s="3">
        <v>0.1</v>
      </c>
      <c r="W22" s="3">
        <f>IF($E22="〇",V22*基本シート!$E$2,V22*VLOOKUP(LEFT(W$6,FIND("(",W$6)-1),基本シート!$B$6:$C$29,2,FALSE))</f>
        <v>3.698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3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4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231</v>
      </c>
      <c r="C23" s="6" t="str">
        <f t="shared" si="9"/>
        <v>木曜日</v>
      </c>
      <c r="D23" s="6"/>
      <c r="E23" s="6" t="str">
        <f t="shared" si="10"/>
        <v/>
      </c>
      <c r="F23" s="6" t="s">
        <v>299</v>
      </c>
      <c r="G23" s="6" t="s">
        <v>297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1.1964000000000001</v>
      </c>
      <c r="N23" s="3">
        <v>0.24</v>
      </c>
      <c r="O23" s="3">
        <f>IF($E23="〇",N23*基本シート!$E$2,N23*VLOOKUP(LEFT(O$6,FIND("(",O$6)-1),基本シート!$B$6:$C$29,2,FALSE))</f>
        <v>7.1783999999999999</v>
      </c>
      <c r="P23" s="3">
        <v>0.4</v>
      </c>
      <c r="Q23" s="3">
        <f>IF($E23="〇",P23*基本シート!$E$2,P23*VLOOKUP(LEFT(Q$6,FIND("(",Q$6)-1),基本シート!$B$6:$C$29,2,FALSE))</f>
        <v>11.964</v>
      </c>
      <c r="R23" s="3">
        <v>0.26</v>
      </c>
      <c r="S23" s="3">
        <f>IF($E23="〇",R23*基本シート!$E$2,R23*VLOOKUP(LEFT(S$6,FIND("(",S$6)-1),基本シート!$B$6:$C$29,2,FALSE))</f>
        <v>7.7766000000000002</v>
      </c>
      <c r="T23" s="3">
        <v>0.11</v>
      </c>
      <c r="U23" s="3">
        <f>IF($E23="〇",T23*基本シート!$E$2,T23*VLOOKUP(LEFT(U$6,FIND("(",U$6)-1),基本シート!$B$6:$C$29,2,FALSE))</f>
        <v>3.2901000000000002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0.36979999999999996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0.73959999999999992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3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4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232</v>
      </c>
      <c r="C24" s="6" t="str">
        <f t="shared" si="9"/>
        <v>金曜日</v>
      </c>
      <c r="D24" s="6"/>
      <c r="E24" s="6" t="str">
        <f t="shared" si="10"/>
        <v/>
      </c>
      <c r="F24" s="6" t="s">
        <v>297</v>
      </c>
      <c r="G24" s="6" t="s">
        <v>298</v>
      </c>
      <c r="H24" s="3">
        <v>0.01</v>
      </c>
      <c r="I24" s="3">
        <f>IF($E24="〇",H24*基本シート!$E$2,H24*VLOOKUP(LEFT(I$6,FIND("(",I$6)-1),基本シート!$B$6:$C$29,2,FALSE))</f>
        <v>0.29910000000000003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6.5802000000000005</v>
      </c>
      <c r="P24" s="3">
        <v>0.41</v>
      </c>
      <c r="Q24" s="3">
        <f>IF($E24="〇",P24*基本シート!$E$2,P24*VLOOKUP(LEFT(Q$6,FIND("(",Q$6)-1),基本シート!$B$6:$C$29,2,FALSE))</f>
        <v>12.2631</v>
      </c>
      <c r="R24" s="3">
        <v>0.31</v>
      </c>
      <c r="S24" s="3">
        <f>IF($E24="〇",R24*基本シート!$E$2,R24*VLOOKUP(LEFT(S$6,FIND("(",S$6)-1),基本シート!$B$6:$C$29,2,FALSE))</f>
        <v>9.2721</v>
      </c>
      <c r="T24" s="3">
        <v>0.18</v>
      </c>
      <c r="U24" s="3">
        <f>IF($E24="〇",T24*基本シート!$E$2,T24*VLOOKUP(LEFT(U$6,FIND("(",U$6)-1),基本シート!$B$6:$C$29,2,FALSE))</f>
        <v>5.3837999999999999</v>
      </c>
      <c r="V24" s="3">
        <v>0.03</v>
      </c>
      <c r="W24" s="3">
        <f>IF($E24="〇",V24*基本シート!$E$2,V24*VLOOKUP(LEFT(W$6,FIND("(",W$6)-1),基本シート!$B$6:$C$29,2,FALSE))</f>
        <v>1.1093999999999999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3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4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233</v>
      </c>
      <c r="C25" s="6" t="str">
        <f t="shared" si="9"/>
        <v>土曜日</v>
      </c>
      <c r="D25" s="6"/>
      <c r="E25" s="6" t="str">
        <f t="shared" si="10"/>
        <v>〇</v>
      </c>
      <c r="F25" s="6" t="s">
        <v>298</v>
      </c>
      <c r="G25" s="6" t="s">
        <v>297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0.29910000000000003</v>
      </c>
      <c r="X25" s="3">
        <v>0.01</v>
      </c>
      <c r="Y25" s="3">
        <f>IF($E25="〇",X25*基本シート!$E$2,X25*VLOOKUP(LEFT(Y$6,FIND("(",Y$6)-1),基本シート!$B$6:$C$29,2,FALSE))</f>
        <v>0.29910000000000003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0.14000000000000001</v>
      </c>
      <c r="AC25" s="3">
        <f>IF($E25="〇",AB25*基本シート!$E$2,AB25*VLOOKUP(LEFT(AC$6,FIND("(",AC$6)-1),基本シート!$B$6:$C$29,2,FALSE))</f>
        <v>4.1874000000000002</v>
      </c>
      <c r="AD25" s="3">
        <v>0.1</v>
      </c>
      <c r="AE25" s="3">
        <f>IF($E25="〇",AD25*基本シート!$E$2,AD25*VLOOKUP(LEFT(AE$6,FIND("(",AE$6)-1),基本シート!$B$6:$C$29,2,FALSE))</f>
        <v>2.9910000000000001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5.6829000000000001</v>
      </c>
      <c r="AP25" s="3">
        <v>1.41</v>
      </c>
      <c r="AQ25" s="3">
        <f>IF($E25="〇",AP25*基本シート!$E$2,AP25*VLOOKUP(LEFT(AQ$6,FIND("(",AQ$6)-1),基本シート!$B$6:$C$29,2,FALSE))</f>
        <v>42.173099999999998</v>
      </c>
      <c r="AR25" s="3">
        <v>0.34</v>
      </c>
      <c r="AS25" s="3">
        <f>IF($E25="〇",AR25*基本シート!$E$2,AR25*VLOOKUP(LEFT(AS$6,FIND("(",AS$6)-1),基本シート!$B$6:$C$29,2,FALSE))</f>
        <v>10.169400000000001</v>
      </c>
      <c r="AT25" s="3">
        <v>0.28999999999999998</v>
      </c>
      <c r="AU25" s="3">
        <f>IF($E25="〇",AT25*基本シート!$E$2,AT25*VLOOKUP(LEFT(AU$6,FIND("(",AU$6)-1),基本シート!$B$6:$C$29,2,FALSE))</f>
        <v>8.6738999999999997</v>
      </c>
      <c r="AV25" s="3">
        <v>0.55000000000000004</v>
      </c>
      <c r="AW25" s="3">
        <f>IF($E25="〇",AV25*基本シート!$E$2,AV25*VLOOKUP(LEFT(AW$6,FIND("(",AW$6)-1),基本シート!$B$6:$C$29,2,FALSE))</f>
        <v>16.450500000000002</v>
      </c>
      <c r="AX25" s="3">
        <v>0.76</v>
      </c>
      <c r="AY25" s="3">
        <f>IF($E25="〇",AX25*基本シート!$E$2,AX25*VLOOKUP(LEFT(AY$6,FIND("(",AY$6)-1),基本シート!$B$6:$C$29,2,FALSE))</f>
        <v>22.7316</v>
      </c>
      <c r="AZ25" s="3">
        <v>0.45</v>
      </c>
      <c r="BA25" s="3">
        <f>IF($E25="〇",AZ25*基本シート!$E$2,AZ25*VLOOKUP(LEFT(BA$6,FIND("(",BA$6)-1),基本シート!$B$6:$C$29,2,FALSE))</f>
        <v>13.4595</v>
      </c>
      <c r="BB25" s="3">
        <v>0.26</v>
      </c>
      <c r="BC25" s="3">
        <f>IF($E25="〇",BB25*基本シート!$E$2,BB25*VLOOKUP(LEFT(BC$6,FIND("(",BC$6)-1),基本シート!$B$6:$C$29,2,FALSE))</f>
        <v>7.7766000000000002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2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4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234</v>
      </c>
      <c r="C26" s="6" t="str">
        <f t="shared" si="9"/>
        <v>日曜日</v>
      </c>
      <c r="D26" s="6"/>
      <c r="E26" s="6" t="str">
        <f t="shared" si="10"/>
        <v>〇</v>
      </c>
      <c r="F26" s="6" t="s">
        <v>299</v>
      </c>
      <c r="G26" s="6" t="s">
        <v>299</v>
      </c>
      <c r="H26" s="3">
        <v>0.25</v>
      </c>
      <c r="I26" s="3">
        <f>IF($E26="〇",H26*基本シート!$E$2,H26*VLOOKUP(LEFT(I$6,FIND("(",I$6)-1),基本シート!$B$6:$C$29,2,FALSE))</f>
        <v>7.4775</v>
      </c>
      <c r="J26" s="3">
        <v>0.24</v>
      </c>
      <c r="K26" s="3">
        <f>IF($E26="〇",J26*基本シート!$E$2,J26*VLOOKUP(LEFT(K$6,FIND("(",K$6)-1),基本シート!$B$6:$C$29,2,FALSE))</f>
        <v>7.1783999999999999</v>
      </c>
      <c r="L26" s="3">
        <v>0.24</v>
      </c>
      <c r="M26" s="3">
        <f>IF($E26="〇",L26*基本シート!$E$2,L26*VLOOKUP(LEFT(M$6,FIND("(",M$6)-1),基本シート!$B$6:$C$29,2,FALSE))</f>
        <v>7.1783999999999999</v>
      </c>
      <c r="N26" s="3">
        <v>0.3</v>
      </c>
      <c r="O26" s="3">
        <f>IF($E26="〇",N26*基本シート!$E$2,N26*VLOOKUP(LEFT(O$6,FIND("(",O$6)-1),基本シート!$B$6:$C$29,2,FALSE))</f>
        <v>8.972999999999999</v>
      </c>
      <c r="P26" s="3">
        <v>0.26</v>
      </c>
      <c r="Q26" s="3">
        <f>IF($E26="〇",P26*基本シート!$E$2,P26*VLOOKUP(LEFT(Q$6,FIND("(",Q$6)-1),基本シート!$B$6:$C$29,2,FALSE))</f>
        <v>7.7766000000000002</v>
      </c>
      <c r="R26" s="3">
        <v>0.26</v>
      </c>
      <c r="S26" s="3">
        <f>IF($E26="〇",R26*基本シート!$E$2,R26*VLOOKUP(LEFT(S$6,FIND("(",S$6)-1),基本シート!$B$6:$C$29,2,FALSE))</f>
        <v>7.7766000000000002</v>
      </c>
      <c r="T26" s="3">
        <v>0.09</v>
      </c>
      <c r="U26" s="3">
        <f>IF($E26="〇",T26*基本シート!$E$2,T26*VLOOKUP(LEFT(U$6,FIND("(",U$6)-1),基本シート!$B$6:$C$29,2,FALSE))</f>
        <v>2.6919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0.01</v>
      </c>
      <c r="AQ26" s="3">
        <f>IF($E26="〇",AP26*基本シート!$E$2,AP26*VLOOKUP(LEFT(AQ$6,FIND("(",AQ$6)-1),基本シート!$B$6:$C$29,2,FALSE))</f>
        <v>0.29910000000000003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8.3748000000000005</v>
      </c>
      <c r="AZ26" s="3">
        <v>0.42</v>
      </c>
      <c r="BA26" s="3">
        <f>IF($E26="〇",AZ26*基本シート!$E$2,AZ26*VLOOKUP(LEFT(BA$6,FIND("(",BA$6)-1),基本シート!$B$6:$C$29,2,FALSE))</f>
        <v>12.562199999999999</v>
      </c>
      <c r="BB26" s="3">
        <v>0.25</v>
      </c>
      <c r="BC26" s="3">
        <f>IF($E26="〇",BB26*基本シート!$E$2,BB26*VLOOKUP(LEFT(BC$6,FIND("(",BC$6)-1),基本シート!$B$6:$C$29,2,FALSE))</f>
        <v>7.4775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2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3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4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235</v>
      </c>
      <c r="C27" s="6" t="str">
        <f t="shared" si="9"/>
        <v>月曜日</v>
      </c>
      <c r="D27" s="6"/>
      <c r="E27" s="6" t="str">
        <f t="shared" si="10"/>
        <v/>
      </c>
      <c r="F27" s="6" t="s">
        <v>299</v>
      </c>
      <c r="G27" s="6" t="s">
        <v>297</v>
      </c>
      <c r="H27" s="3">
        <v>0.25</v>
      </c>
      <c r="I27" s="3">
        <f>IF($E27="〇",H27*基本シート!$E$2,H27*VLOOKUP(LEFT(I$6,FIND("(",I$6)-1),基本シート!$B$6:$C$29,2,FALSE))</f>
        <v>7.4775</v>
      </c>
      <c r="J27" s="3">
        <v>0.25</v>
      </c>
      <c r="K27" s="3">
        <f>IF($E27="〇",J27*基本シート!$E$2,J27*VLOOKUP(LEFT(K$6,FIND("(",K$6)-1),基本シート!$B$6:$C$29,2,FALSE))</f>
        <v>7.4775</v>
      </c>
      <c r="L27" s="3">
        <v>0.25</v>
      </c>
      <c r="M27" s="3">
        <f>IF($E27="〇",L27*基本シート!$E$2,L27*VLOOKUP(LEFT(M$6,FIND("(",M$6)-1),基本シート!$B$6:$C$29,2,FALSE))</f>
        <v>7.4775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0.44</v>
      </c>
      <c r="Q27" s="3">
        <f>IF($E27="〇",P27*基本シート!$E$2,P27*VLOOKUP(LEFT(Q$6,FIND("(",Q$6)-1),基本シート!$B$6:$C$29,2,FALSE))</f>
        <v>13.160400000000001</v>
      </c>
      <c r="R27" s="3">
        <v>0.25</v>
      </c>
      <c r="S27" s="3">
        <f>IF($E27="〇",R27*基本シート!$E$2,R27*VLOOKUP(LEFT(S$6,FIND("(",S$6)-1),基本シート!$B$6:$C$29,2,FALSE))</f>
        <v>7.4775</v>
      </c>
      <c r="T27" s="3">
        <v>0.14000000000000001</v>
      </c>
      <c r="U27" s="3">
        <f>IF($E27="〇",T27*基本シート!$E$2,T27*VLOOKUP(LEFT(U$6,FIND("(",U$6)-1),基本シート!$B$6:$C$29,2,FALSE))</f>
        <v>4.1874000000000002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0.73959999999999992</v>
      </c>
      <c r="AP27" s="3">
        <v>0.27</v>
      </c>
      <c r="AQ27" s="3">
        <f>IF($E27="〇",AP27*基本シート!$E$2,AP27*VLOOKUP(LEFT(AQ$6,FIND("(",AQ$6)-1),基本シート!$B$6:$C$29,2,FALSE))</f>
        <v>9.9846000000000004</v>
      </c>
      <c r="AR27" s="3">
        <v>0.04</v>
      </c>
      <c r="AS27" s="3">
        <f>IF($E27="〇",AR27*基本シート!$E$2,AR27*VLOOKUP(LEFT(AS$6,FIND("(",AS$6)-1),基本シート!$B$6:$C$29,2,FALSE))</f>
        <v>1.4791999999999998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0.59</v>
      </c>
      <c r="AW27" s="3">
        <f>IF($E27="〇",AV27*基本シート!$E$2,AV27*VLOOKUP(LEFT(AW$6,FIND("(",AW$6)-1),基本シート!$B$6:$C$29,2,FALSE))</f>
        <v>21.818199999999997</v>
      </c>
      <c r="AX27" s="3">
        <v>0.4</v>
      </c>
      <c r="AY27" s="3">
        <f>IF($E27="〇",AX27*基本シート!$E$2,AX27*VLOOKUP(LEFT(AY$6,FIND("(",AY$6)-1),基本シート!$B$6:$C$29,2,FALSE))</f>
        <v>11.964</v>
      </c>
      <c r="AZ27" s="3">
        <v>0.23</v>
      </c>
      <c r="BA27" s="3">
        <f>IF($E27="〇",AZ27*基本シート!$E$2,AZ27*VLOOKUP(LEFT(BA$6,FIND("(",BA$6)-1),基本シート!$B$6:$C$29,2,FALSE))</f>
        <v>6.8793000000000006</v>
      </c>
      <c r="BB27" s="3">
        <v>0.24</v>
      </c>
      <c r="BC27" s="3">
        <f>IF($E27="〇",BB27*基本シート!$E$2,BB27*VLOOKUP(LEFT(BC$6,FIND("(",BC$6)-1),基本シート!$B$6:$C$29,2,FALSE))</f>
        <v>7.1783999999999999</v>
      </c>
      <c r="BD27" s="3">
        <f t="shared" si="7"/>
        <v>5.1000000000000005</v>
      </c>
      <c r="BE27" s="3">
        <f t="shared" si="8"/>
        <v>170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4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236</v>
      </c>
      <c r="C28" s="6" t="str">
        <f t="shared" si="9"/>
        <v>火曜日</v>
      </c>
      <c r="D28" s="6"/>
      <c r="E28" s="6" t="str">
        <f t="shared" si="10"/>
        <v/>
      </c>
      <c r="F28" s="6" t="s">
        <v>297</v>
      </c>
      <c r="G28" s="6" t="s">
        <v>298</v>
      </c>
      <c r="H28" s="3">
        <v>0.28000000000000003</v>
      </c>
      <c r="I28" s="3">
        <f>IF($E28="〇",H28*基本シート!$E$2,H28*VLOOKUP(LEFT(I$6,FIND("(",I$6)-1),基本シート!$B$6:$C$29,2,FALSE))</f>
        <v>8.3748000000000005</v>
      </c>
      <c r="J28" s="3">
        <v>0.26</v>
      </c>
      <c r="K28" s="3">
        <f>IF($E28="〇",J28*基本シート!$E$2,J28*VLOOKUP(LEFT(K$6,FIND("(",K$6)-1),基本シート!$B$6:$C$29,2,FALSE))</f>
        <v>7.7766000000000002</v>
      </c>
      <c r="L28" s="3">
        <v>0.23</v>
      </c>
      <c r="M28" s="3">
        <f>IF($E28="〇",L28*基本シート!$E$2,L28*VLOOKUP(LEFT(M$6,FIND("(",M$6)-1),基本シート!$B$6:$C$29,2,FALSE))</f>
        <v>6.8793000000000006</v>
      </c>
      <c r="N28" s="3">
        <v>0.23</v>
      </c>
      <c r="O28" s="3">
        <f>IF($E28="〇",N28*基本シート!$E$2,N28*VLOOKUP(LEFT(O$6,FIND("(",O$6)-1),基本シート!$B$6:$C$29,2,FALSE))</f>
        <v>6.8793000000000006</v>
      </c>
      <c r="P28" s="3">
        <v>0.42</v>
      </c>
      <c r="Q28" s="3">
        <f>IF($E28="〇",P28*基本シート!$E$2,P28*VLOOKUP(LEFT(Q$6,FIND("(",Q$6)-1),基本シート!$B$6:$C$29,2,FALSE))</f>
        <v>12.562199999999999</v>
      </c>
      <c r="R28" s="3">
        <v>0.24</v>
      </c>
      <c r="S28" s="3">
        <f>IF($E28="〇",R28*基本シート!$E$2,R28*VLOOKUP(LEFT(S$6,FIND("(",S$6)-1),基本シート!$B$6:$C$29,2,FALSE))</f>
        <v>7.1783999999999999</v>
      </c>
      <c r="T28" s="3">
        <v>0.5</v>
      </c>
      <c r="U28" s="3">
        <f>IF($E28="〇",T28*基本シート!$E$2,T28*VLOOKUP(LEFT(U$6,FIND("(",U$6)-1),基本シート!$B$6:$C$29,2,FALSE))</f>
        <v>14.955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0.02</v>
      </c>
      <c r="BA28" s="3">
        <f>IF($E28="〇",AZ28*基本シート!$E$2,AZ28*VLOOKUP(LEFT(BA$6,FIND("(",BA$6)-1),基本シート!$B$6:$C$29,2,FALSE))</f>
        <v>0.59820000000000007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3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4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237</v>
      </c>
      <c r="C29" s="6" t="str">
        <f t="shared" si="9"/>
        <v>水曜日</v>
      </c>
      <c r="D29" s="6"/>
      <c r="E29" s="6" t="str">
        <f t="shared" si="10"/>
        <v/>
      </c>
      <c r="F29" s="6" t="s">
        <v>298</v>
      </c>
      <c r="G29" s="6" t="s">
        <v>298</v>
      </c>
      <c r="H29" s="3">
        <v>0.01</v>
      </c>
      <c r="I29" s="3">
        <f>IF($E29="〇",H29*基本シート!$E$2,H29*VLOOKUP(LEFT(I$6,FIND("(",I$6)-1),基本シート!$B$6:$C$29,2,FALSE))</f>
        <v>0.29910000000000003</v>
      </c>
      <c r="J29" s="3">
        <v>0.09</v>
      </c>
      <c r="K29" s="3">
        <f>IF($E29="〇",J29*基本シート!$E$2,J29*VLOOKUP(LEFT(K$6,FIND("(",K$6)-1),基本シート!$B$6:$C$29,2,FALSE))</f>
        <v>2.6919</v>
      </c>
      <c r="L29" s="3">
        <v>0.22</v>
      </c>
      <c r="M29" s="3">
        <f>IF($E29="〇",L29*基本シート!$E$2,L29*VLOOKUP(LEFT(M$6,FIND("(",M$6)-1),基本シート!$B$6:$C$29,2,FALSE))</f>
        <v>6.5802000000000005</v>
      </c>
      <c r="N29" s="3">
        <v>0.23</v>
      </c>
      <c r="O29" s="3">
        <f>IF($E29="〇",N29*基本シート!$E$2,N29*VLOOKUP(LEFT(O$6,FIND("(",O$6)-1),基本シート!$B$6:$C$29,2,FALSE))</f>
        <v>6.8793000000000006</v>
      </c>
      <c r="P29" s="3">
        <v>0.39</v>
      </c>
      <c r="Q29" s="3">
        <f>IF($E29="〇",P29*基本シート!$E$2,P29*VLOOKUP(LEFT(Q$6,FIND("(",Q$6)-1),基本シート!$B$6:$C$29,2,FALSE))</f>
        <v>11.664900000000001</v>
      </c>
      <c r="R29" s="3">
        <v>0.55000000000000004</v>
      </c>
      <c r="S29" s="3">
        <f>IF($E29="〇",R29*基本シート!$E$2,R29*VLOOKUP(LEFT(S$6,FIND("(",S$6)-1),基本シート!$B$6:$C$29,2,FALSE))</f>
        <v>16.450500000000002</v>
      </c>
      <c r="T29" s="3">
        <v>0.18</v>
      </c>
      <c r="U29" s="3">
        <f>IF($E29="〇",T29*基本シート!$E$2,T29*VLOOKUP(LEFT(U$6,FIND("(",U$6)-1),基本シート!$B$6:$C$29,2,FALSE))</f>
        <v>5.3837999999999999</v>
      </c>
      <c r="V29" s="3">
        <v>0.14000000000000001</v>
      </c>
      <c r="W29" s="3">
        <f>IF($E29="〇",V29*基本シート!$E$2,V29*VLOOKUP(LEFT(W$6,FIND("(",W$6)-1),基本シート!$B$6:$C$29,2,FALSE))</f>
        <v>5.1772</v>
      </c>
      <c r="X29" s="3">
        <v>0.03</v>
      </c>
      <c r="Y29" s="3">
        <f>IF($E29="〇",X29*基本シート!$E$2,X29*VLOOKUP(LEFT(Y$6,FIND("(",Y$6)-1),基本シート!$B$6:$C$29,2,FALSE))</f>
        <v>1.1093999999999999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0.3</v>
      </c>
      <c r="AW29" s="3">
        <f>IF($E29="〇",AV29*基本シート!$E$2,AV29*VLOOKUP(LEFT(AW$6,FIND("(",AW$6)-1),基本シート!$B$6:$C$29,2,FALSE))</f>
        <v>11.093999999999999</v>
      </c>
      <c r="AX29" s="3">
        <v>0.66</v>
      </c>
      <c r="AY29" s="3">
        <f>IF($E29="〇",AX29*基本シート!$E$2,AX29*VLOOKUP(LEFT(AY$6,FIND("(",AY$6)-1),基本シート!$B$6:$C$29,2,FALSE))</f>
        <v>19.740600000000001</v>
      </c>
      <c r="AZ29" s="3">
        <v>0.39</v>
      </c>
      <c r="BA29" s="3">
        <f>IF($E29="〇",AZ29*基本シート!$E$2,AZ29*VLOOKUP(LEFT(BA$6,FIND("(",BA$6)-1),基本シート!$B$6:$C$29,2,FALSE))</f>
        <v>11.664900000000001</v>
      </c>
      <c r="BB29" s="3">
        <v>0.24</v>
      </c>
      <c r="BC29" s="3">
        <f>IF($E29="〇",BB29*基本シート!$E$2,BB29*VLOOKUP(LEFT(BC$6,FIND("(",BC$6)-1),基本シート!$B$6:$C$29,2,FALSE))</f>
        <v>7.1783999999999999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2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3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4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238</v>
      </c>
      <c r="C30" s="6" t="str">
        <f t="shared" si="9"/>
        <v>木曜日</v>
      </c>
      <c r="D30" s="6"/>
      <c r="E30" s="6" t="str">
        <f t="shared" si="10"/>
        <v/>
      </c>
      <c r="F30" s="6" t="s">
        <v>299</v>
      </c>
      <c r="G30" s="6" t="s">
        <v>297</v>
      </c>
      <c r="H30" s="3">
        <v>0.22</v>
      </c>
      <c r="I30" s="3">
        <f>IF($E30="〇",H30*基本シート!$E$2,H30*VLOOKUP(LEFT(I$6,FIND("(",I$6)-1),基本シート!$B$6:$C$29,2,FALSE))</f>
        <v>6.5802000000000005</v>
      </c>
      <c r="J30" s="3">
        <v>0.21</v>
      </c>
      <c r="K30" s="3">
        <f>IF($E30="〇",J30*基本シート!$E$2,J30*VLOOKUP(LEFT(K$6,FIND("(",K$6)-1),基本シート!$B$6:$C$29,2,FALSE))</f>
        <v>6.2810999999999995</v>
      </c>
      <c r="L30" s="3">
        <v>0.21</v>
      </c>
      <c r="M30" s="3">
        <f>IF($E30="〇",L30*基本シート!$E$2,L30*VLOOKUP(LEFT(M$6,FIND("(",M$6)-1),基本シート!$B$6:$C$29,2,FALSE))</f>
        <v>6.2810999999999995</v>
      </c>
      <c r="N30" s="3">
        <v>0.23</v>
      </c>
      <c r="O30" s="3">
        <f>IF($E30="〇",N30*基本シート!$E$2,N30*VLOOKUP(LEFT(O$6,FIND("(",O$6)-1),基本シート!$B$6:$C$29,2,FALSE))</f>
        <v>6.8793000000000006</v>
      </c>
      <c r="P30" s="3">
        <v>0.4</v>
      </c>
      <c r="Q30" s="3">
        <f>IF($E30="〇",P30*基本シート!$E$2,P30*VLOOKUP(LEFT(Q$6,FIND("(",Q$6)-1),基本シート!$B$6:$C$29,2,FALSE))</f>
        <v>11.964</v>
      </c>
      <c r="R30" s="3">
        <v>0.23</v>
      </c>
      <c r="S30" s="3">
        <f>IF($E30="〇",R30*基本シート!$E$2,R30*VLOOKUP(LEFT(S$6,FIND("(",S$6)-1),基本シート!$B$6:$C$29,2,FALSE))</f>
        <v>6.8793000000000006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0.36979999999999996</v>
      </c>
      <c r="Z30" s="3">
        <v>0.01</v>
      </c>
      <c r="AA30" s="3">
        <f>IF($E30="〇",Z30*基本シート!$E$2,Z30*VLOOKUP(LEFT(AA$6,FIND("(",AA$6)-1),基本シート!$B$6:$C$29,2,FALSE))</f>
        <v>0.36979999999999996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0.02</v>
      </c>
      <c r="AU30" s="3">
        <f>IF($E30="〇",AT30*基本シート!$E$2,AT30*VLOOKUP(LEFT(AU$6,FIND("(",AU$6)-1),基本シート!$B$6:$C$29,2,FALSE))</f>
        <v>0.73959999999999992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0.32</v>
      </c>
      <c r="BA30" s="3">
        <f>IF($E30="〇",AZ30*基本シート!$E$2,AZ30*VLOOKUP(LEFT(BA$6,FIND("(",BA$6)-1),基本シート!$B$6:$C$29,2,FALSE))</f>
        <v>9.571200000000001</v>
      </c>
      <c r="BB30" s="3">
        <v>0.24</v>
      </c>
      <c r="BC30" s="3">
        <f>IF($E30="〇",BB30*基本シート!$E$2,BB30*VLOOKUP(LEFT(BC$6,FIND("(",BC$6)-1),基本シート!$B$6:$C$29,2,FALSE))</f>
        <v>7.1783999999999999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2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3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4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239</v>
      </c>
      <c r="C31" s="6" t="str">
        <f t="shared" si="9"/>
        <v>金曜日</v>
      </c>
      <c r="D31" s="6"/>
      <c r="E31" s="6" t="str">
        <f t="shared" si="10"/>
        <v/>
      </c>
      <c r="F31" s="6" t="s">
        <v>299</v>
      </c>
      <c r="G31" s="6" t="s">
        <v>299</v>
      </c>
      <c r="H31" s="3">
        <v>0.24</v>
      </c>
      <c r="I31" s="3">
        <f>IF($E31="〇",H31*基本シート!$E$2,H31*VLOOKUP(LEFT(I$6,FIND("(",I$6)-1),基本シート!$B$6:$C$29,2,FALSE))</f>
        <v>7.1783999999999999</v>
      </c>
      <c r="J31" s="3">
        <v>0.24</v>
      </c>
      <c r="K31" s="3">
        <f>IF($E31="〇",J31*基本シート!$E$2,J31*VLOOKUP(LEFT(K$6,FIND("(",K$6)-1),基本シート!$B$6:$C$29,2,FALSE))</f>
        <v>7.1783999999999999</v>
      </c>
      <c r="L31" s="3">
        <v>0.22</v>
      </c>
      <c r="M31" s="3">
        <f>IF($E31="〇",L31*基本シート!$E$2,L31*VLOOKUP(LEFT(M$6,FIND("(",M$6)-1),基本シート!$B$6:$C$29,2,FALSE))</f>
        <v>6.5802000000000005</v>
      </c>
      <c r="N31" s="3">
        <v>0.24</v>
      </c>
      <c r="O31" s="3">
        <f>IF($E31="〇",N31*基本シート!$E$2,N31*VLOOKUP(LEFT(O$6,FIND("(",O$6)-1),基本シート!$B$6:$C$29,2,FALSE))</f>
        <v>7.1783999999999999</v>
      </c>
      <c r="P31" s="3">
        <v>0.39</v>
      </c>
      <c r="Q31" s="3">
        <f>IF($E31="〇",P31*基本シート!$E$2,P31*VLOOKUP(LEFT(Q$6,FIND("(",Q$6)-1),基本シート!$B$6:$C$29,2,FALSE))</f>
        <v>11.664900000000001</v>
      </c>
      <c r="R31" s="3">
        <v>0.25</v>
      </c>
      <c r="S31" s="3">
        <f>IF($E31="〇",R31*基本シート!$E$2,R31*VLOOKUP(LEFT(S$6,FIND("(",S$6)-1),基本シート!$B$6:$C$29,2,FALSE))</f>
        <v>7.4775</v>
      </c>
      <c r="T31" s="3">
        <v>0.34</v>
      </c>
      <c r="U31" s="3">
        <f>IF($E31="〇",T31*基本シート!$E$2,T31*VLOOKUP(LEFT(U$6,FIND("(",U$6)-1),基本シート!$B$6:$C$29,2,FALSE))</f>
        <v>10.169400000000001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0.01</v>
      </c>
      <c r="AW31" s="3">
        <f>IF($E31="〇",AV31*基本シート!$E$2,AV31*VLOOKUP(LEFT(AW$6,FIND("(",AW$6)-1),基本シート!$B$6:$C$29,2,FALSE))</f>
        <v>0.36979999999999996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3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4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240</v>
      </c>
      <c r="C32" s="6" t="str">
        <f t="shared" si="9"/>
        <v>土曜日</v>
      </c>
      <c r="D32" s="6"/>
      <c r="E32" s="6" t="str">
        <f t="shared" si="10"/>
        <v>〇</v>
      </c>
      <c r="F32" s="6" t="s">
        <v>299</v>
      </c>
      <c r="G32" s="6" t="s">
        <v>299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4.4864999999999995</v>
      </c>
      <c r="L32" s="3">
        <v>0.24</v>
      </c>
      <c r="M32" s="3">
        <f>IF($E32="〇",L32*基本シート!$E$2,L32*VLOOKUP(LEFT(M$6,FIND("(",M$6)-1),基本シート!$B$6:$C$29,2,FALSE))</f>
        <v>7.1783999999999999</v>
      </c>
      <c r="N32" s="3">
        <v>0.25</v>
      </c>
      <c r="O32" s="3">
        <f>IF($E32="〇",N32*基本シート!$E$2,N32*VLOOKUP(LEFT(O$6,FIND("(",O$6)-1),基本シート!$B$6:$C$29,2,FALSE))</f>
        <v>7.4775</v>
      </c>
      <c r="P32" s="3">
        <v>0.25</v>
      </c>
      <c r="Q32" s="3">
        <f>IF($E32="〇",P32*基本シート!$E$2,P32*VLOOKUP(LEFT(Q$6,FIND("(",Q$6)-1),基本シート!$B$6:$C$29,2,FALSE))</f>
        <v>7.4775</v>
      </c>
      <c r="R32" s="3">
        <v>0.25</v>
      </c>
      <c r="S32" s="3">
        <f>IF($E32="〇",R32*基本シート!$E$2,R32*VLOOKUP(LEFT(S$6,FIND("(",S$6)-1),基本シート!$B$6:$C$29,2,FALSE))</f>
        <v>7.4775</v>
      </c>
      <c r="T32" s="3">
        <v>0.06</v>
      </c>
      <c r="U32" s="3">
        <f>IF($E32="〇",T32*基本シート!$E$2,T32*VLOOKUP(LEFT(U$6,FIND("(",U$6)-1),基本シート!$B$6:$C$29,2,FALSE))</f>
        <v>1.7946</v>
      </c>
      <c r="V32" s="3">
        <v>0.01</v>
      </c>
      <c r="W32" s="3">
        <f>IF($E32="〇",V32*基本シート!$E$2,V32*VLOOKUP(LEFT(W$6,FIND("(",W$6)-1),基本シート!$B$6:$C$29,2,FALSE))</f>
        <v>0.29910000000000003</v>
      </c>
      <c r="X32" s="3">
        <v>0.01</v>
      </c>
      <c r="Y32" s="3">
        <f>IF($E32="〇",X32*基本シート!$E$2,X32*VLOOKUP(LEFT(Y$6,FIND("(",Y$6)-1),基本シート!$B$6:$C$29,2,FALSE))</f>
        <v>0.29910000000000003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3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4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241</v>
      </c>
      <c r="C33" s="6" t="str">
        <f t="shared" si="9"/>
        <v>日曜日</v>
      </c>
      <c r="D33" s="6"/>
      <c r="E33" s="6" t="str">
        <f t="shared" si="10"/>
        <v>〇</v>
      </c>
      <c r="F33" s="6" t="s">
        <v>297</v>
      </c>
      <c r="G33" s="6" t="s">
        <v>297</v>
      </c>
      <c r="H33" s="3">
        <v>0.16</v>
      </c>
      <c r="I33" s="3">
        <f>IF($E33="〇",H33*基本シート!$E$2,H33*VLOOKUP(LEFT(I$6,FIND("(",I$6)-1),基本シート!$B$6:$C$29,2,FALSE))</f>
        <v>4.7856000000000005</v>
      </c>
      <c r="J33" s="3">
        <v>0.28000000000000003</v>
      </c>
      <c r="K33" s="3">
        <f>IF($E33="〇",J33*基本シート!$E$2,J33*VLOOKUP(LEFT(K$6,FIND("(",K$6)-1),基本シート!$B$6:$C$29,2,FALSE))</f>
        <v>8.3748000000000005</v>
      </c>
      <c r="L33" s="3">
        <v>0.26</v>
      </c>
      <c r="M33" s="3">
        <f>IF($E33="〇",L33*基本シート!$E$2,L33*VLOOKUP(LEFT(M$6,FIND("(",M$6)-1),基本シート!$B$6:$C$29,2,FALSE))</f>
        <v>7.7766000000000002</v>
      </c>
      <c r="N33" s="3">
        <v>0.26</v>
      </c>
      <c r="O33" s="3">
        <f>IF($E33="〇",N33*基本シート!$E$2,N33*VLOOKUP(LEFT(O$6,FIND("(",O$6)-1),基本シート!$B$6:$C$29,2,FALSE))</f>
        <v>7.7766000000000002</v>
      </c>
      <c r="P33" s="3">
        <v>0.24</v>
      </c>
      <c r="Q33" s="3">
        <f>IF($E33="〇",P33*基本シート!$E$2,P33*VLOOKUP(LEFT(Q$6,FIND("(",Q$6)-1),基本シート!$B$6:$C$29,2,FALSE))</f>
        <v>7.1783999999999999</v>
      </c>
      <c r="R33" s="3">
        <v>0.24</v>
      </c>
      <c r="S33" s="3">
        <f>IF($E33="〇",R33*基本シート!$E$2,R33*VLOOKUP(LEFT(S$6,FIND("(",S$6)-1),基本シート!$B$6:$C$29,2,FALSE))</f>
        <v>7.1783999999999999</v>
      </c>
      <c r="T33" s="3">
        <v>0.53</v>
      </c>
      <c r="U33" s="3">
        <f>IF($E33="〇",T33*基本シート!$E$2,T33*VLOOKUP(LEFT(U$6,FIND("(",U$6)-1),基本シート!$B$6:$C$29,2,FALSE))</f>
        <v>15.852300000000001</v>
      </c>
      <c r="V33" s="3">
        <v>0.61</v>
      </c>
      <c r="W33" s="3">
        <f>IF($E33="〇",V33*基本シート!$E$2,V33*VLOOKUP(LEFT(W$6,FIND("(",W$6)-1),基本シート!$B$6:$C$29,2,FALSE))</f>
        <v>18.245100000000001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7.0000000000000007E-2</v>
      </c>
      <c r="AQ33" s="3">
        <f>IF($E33="〇",AP33*基本シート!$E$2,AP33*VLOOKUP(LEFT(AQ$6,FIND("(",AQ$6)-1),基本シート!$B$6:$C$29,2,FALSE))</f>
        <v>2.0937000000000001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0.03</v>
      </c>
      <c r="AY33" s="3">
        <f>IF($E33="〇",AX33*基本シート!$E$2,AX33*VLOOKUP(LEFT(AY$6,FIND("(",AY$6)-1),基本シート!$B$6:$C$29,2,FALSE))</f>
        <v>0.89729999999999999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3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4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242</v>
      </c>
      <c r="C34" s="6" t="str">
        <f t="shared" si="9"/>
        <v>月曜日</v>
      </c>
      <c r="D34" s="6"/>
      <c r="E34" s="6" t="str">
        <f t="shared" si="10"/>
        <v/>
      </c>
      <c r="F34" s="6" t="s">
        <v>297</v>
      </c>
      <c r="G34" s="6" t="s">
        <v>299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4.1874000000000002</v>
      </c>
      <c r="N34" s="3">
        <v>0.22</v>
      </c>
      <c r="O34" s="3">
        <f>IF($E34="〇",N34*基本シート!$E$2,N34*VLOOKUP(LEFT(O$6,FIND("(",O$6)-1),基本シート!$B$6:$C$29,2,FALSE))</f>
        <v>6.5802000000000005</v>
      </c>
      <c r="P34" s="3">
        <v>0.4</v>
      </c>
      <c r="Q34" s="3">
        <f>IF($E34="〇",P34*基本シート!$E$2,P34*VLOOKUP(LEFT(Q$6,FIND("(",Q$6)-1),基本シート!$B$6:$C$29,2,FALSE))</f>
        <v>11.964</v>
      </c>
      <c r="R34" s="3">
        <v>0.26</v>
      </c>
      <c r="S34" s="3">
        <f>IF($E34="〇",R34*基本シート!$E$2,R34*VLOOKUP(LEFT(S$6,FIND("(",S$6)-1),基本シート!$B$6:$C$29,2,FALSE))</f>
        <v>7.7766000000000002</v>
      </c>
      <c r="T34" s="3">
        <v>0.34</v>
      </c>
      <c r="U34" s="3">
        <f>IF($E34="〇",T34*基本シート!$E$2,T34*VLOOKUP(LEFT(U$6,FIND("(",U$6)-1),基本シート!$B$6:$C$29,2,FALSE))</f>
        <v>10.169400000000001</v>
      </c>
      <c r="V34" s="3">
        <v>0.02</v>
      </c>
      <c r="W34" s="3">
        <f>IF($E34="〇",V34*基本シート!$E$2,V34*VLOOKUP(LEFT(W$6,FIND("(",W$6)-1),基本シート!$B$6:$C$29,2,FALSE))</f>
        <v>0.73959999999999992</v>
      </c>
      <c r="X34" s="3">
        <v>0.16</v>
      </c>
      <c r="Y34" s="3">
        <f>IF($E34="〇",X34*基本シート!$E$2,X34*VLOOKUP(LEFT(Y$6,FIND("(",Y$6)-1),基本シート!$B$6:$C$29,2,FALSE))</f>
        <v>5.9167999999999994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0.36979999999999996</v>
      </c>
      <c r="AJ34" s="3">
        <v>0.01</v>
      </c>
      <c r="AK34" s="3">
        <f>IF($E34="〇",AJ34*基本シート!$E$2,AJ34*VLOOKUP(LEFT(AK$6,FIND("(",AK$6)-1),基本シート!$B$6:$C$29,2,FALSE))</f>
        <v>0.36979999999999996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0.53</v>
      </c>
      <c r="AU34" s="3">
        <f>IF($E34="〇",AT34*基本シート!$E$2,AT34*VLOOKUP(LEFT(AU$6,FIND("(",AU$6)-1),基本シート!$B$6:$C$29,2,FALSE))</f>
        <v>19.599399999999999</v>
      </c>
      <c r="AV34" s="3">
        <v>0.67</v>
      </c>
      <c r="AW34" s="3">
        <f>IF($E34="〇",AV34*基本シート!$E$2,AV34*VLOOKUP(LEFT(AW$6,FIND("(",AW$6)-1),基本シート!$B$6:$C$29,2,FALSE))</f>
        <v>24.776599999999998</v>
      </c>
      <c r="AX34" s="3">
        <v>0.34</v>
      </c>
      <c r="AY34" s="3">
        <f>IF($E34="〇",AX34*基本シート!$E$2,AX34*VLOOKUP(LEFT(AY$6,FIND("(",AY$6)-1),基本シート!$B$6:$C$29,2,FALSE))</f>
        <v>10.169400000000001</v>
      </c>
      <c r="AZ34" s="3">
        <v>0.24</v>
      </c>
      <c r="BA34" s="3">
        <f>IF($E34="〇",AZ34*基本シート!$E$2,AZ34*VLOOKUP(LEFT(BA$6,FIND("(",BA$6)-1),基本シート!$B$6:$C$29,2,FALSE))</f>
        <v>7.1783999999999999</v>
      </c>
      <c r="BB34" s="3">
        <v>0.24</v>
      </c>
      <c r="BC34" s="3">
        <f>IF($E34="〇",BB34*基本シート!$E$2,BB34*VLOOKUP(LEFT(BC$6,FIND("(",BC$6)-1),基本シート!$B$6:$C$29,2,FALSE))</f>
        <v>7.1783999999999999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2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4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243</v>
      </c>
      <c r="C35" s="6" t="str">
        <f t="shared" si="9"/>
        <v>火曜日</v>
      </c>
      <c r="D35" s="6"/>
      <c r="E35" s="6" t="str">
        <f t="shared" si="10"/>
        <v/>
      </c>
      <c r="F35" s="6" t="s">
        <v>299</v>
      </c>
      <c r="G35" s="6" t="s">
        <v>297</v>
      </c>
      <c r="H35" s="3">
        <v>0.23</v>
      </c>
      <c r="I35" s="3">
        <f>IF($E35="〇",H35*基本シート!$E$2,H35*VLOOKUP(LEFT(I$6,FIND("(",I$6)-1),基本シート!$B$6:$C$29,2,FALSE))</f>
        <v>6.8793000000000006</v>
      </c>
      <c r="J35" s="3">
        <v>0.24</v>
      </c>
      <c r="K35" s="3">
        <f>IF($E35="〇",J35*基本シート!$E$2,J35*VLOOKUP(LEFT(K$6,FIND("(",K$6)-1),基本シート!$B$6:$C$29,2,FALSE))</f>
        <v>7.1783999999999999</v>
      </c>
      <c r="L35" s="3">
        <v>0.23</v>
      </c>
      <c r="M35" s="3">
        <f>IF($E35="〇",L35*基本シート!$E$2,L35*VLOOKUP(LEFT(M$6,FIND("(",M$6)-1),基本シート!$B$6:$C$29,2,FALSE))</f>
        <v>6.8793000000000006</v>
      </c>
      <c r="N35" s="3">
        <v>0.25</v>
      </c>
      <c r="O35" s="3">
        <f>IF($E35="〇",N35*基本シート!$E$2,N35*VLOOKUP(LEFT(O$6,FIND("(",O$6)-1),基本シート!$B$6:$C$29,2,FALSE))</f>
        <v>7.4775</v>
      </c>
      <c r="P35" s="3">
        <v>0.4</v>
      </c>
      <c r="Q35" s="3">
        <f>IF($E35="〇",P35*基本シート!$E$2,P35*VLOOKUP(LEFT(Q$6,FIND("(",Q$6)-1),基本シート!$B$6:$C$29,2,FALSE))</f>
        <v>11.964</v>
      </c>
      <c r="R35" s="3">
        <v>0.33</v>
      </c>
      <c r="S35" s="3">
        <f>IF($E35="〇",R35*基本シート!$E$2,R35*VLOOKUP(LEFT(S$6,FIND("(",S$6)-1),基本シート!$B$6:$C$29,2,FALSE))</f>
        <v>9.8703000000000003</v>
      </c>
      <c r="T35" s="3">
        <v>0.48</v>
      </c>
      <c r="U35" s="3">
        <f>IF($E35="〇",T35*基本シート!$E$2,T35*VLOOKUP(LEFT(U$6,FIND("(",U$6)-1),基本シート!$B$6:$C$29,2,FALSE))</f>
        <v>14.3568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0.01</v>
      </c>
      <c r="AU35" s="3">
        <f>IF($E35="〇",AT35*基本シート!$E$2,AT35*VLOOKUP(LEFT(AU$6,FIND("(",AU$6)-1),基本シート!$B$6:$C$29,2,FALSE))</f>
        <v>0.36979999999999996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3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4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244</v>
      </c>
      <c r="C36" s="6" t="str">
        <f t="shared" si="9"/>
        <v>水曜日</v>
      </c>
      <c r="D36" s="6"/>
      <c r="E36" s="6" t="str">
        <f t="shared" si="10"/>
        <v/>
      </c>
      <c r="F36" s="6" t="s">
        <v>298</v>
      </c>
      <c r="G36" s="6" t="s">
        <v>299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2.0937000000000001</v>
      </c>
      <c r="L36" s="3">
        <v>0.23</v>
      </c>
      <c r="M36" s="3">
        <f>IF($E36="〇",L36*基本シート!$E$2,L36*VLOOKUP(LEFT(M$6,FIND("(",M$6)-1),基本シート!$B$6:$C$29,2,FALSE))</f>
        <v>6.8793000000000006</v>
      </c>
      <c r="N36" s="3">
        <v>0.23</v>
      </c>
      <c r="O36" s="3">
        <f>IF($E36="〇",N36*基本シート!$E$2,N36*VLOOKUP(LEFT(O$6,FIND("(",O$6)-1),基本シート!$B$6:$C$29,2,FALSE))</f>
        <v>6.8793000000000006</v>
      </c>
      <c r="P36" s="3">
        <v>0.39</v>
      </c>
      <c r="Q36" s="3">
        <f>IF($E36="〇",P36*基本シート!$E$2,P36*VLOOKUP(LEFT(Q$6,FIND("(",Q$6)-1),基本シート!$B$6:$C$29,2,FALSE))</f>
        <v>11.664900000000001</v>
      </c>
      <c r="R36" s="3">
        <v>0.41</v>
      </c>
      <c r="S36" s="3">
        <f>IF($E36="〇",R36*基本シート!$E$2,R36*VLOOKUP(LEFT(S$6,FIND("(",S$6)-1),基本シート!$B$6:$C$29,2,FALSE))</f>
        <v>12.2631</v>
      </c>
      <c r="T36" s="3">
        <v>0.32</v>
      </c>
      <c r="U36" s="3">
        <f>IF($E36="〇",T36*基本シート!$E$2,T36*VLOOKUP(LEFT(U$6,FIND("(",U$6)-1),基本シート!$B$6:$C$29,2,FALSE))</f>
        <v>9.571200000000001</v>
      </c>
      <c r="V36" s="3">
        <v>0.09</v>
      </c>
      <c r="W36" s="3">
        <f>IF($E36="〇",V36*基本シート!$E$2,V36*VLOOKUP(LEFT(W$6,FIND("(",W$6)-1),基本シート!$B$6:$C$29,2,FALSE))</f>
        <v>3.3281999999999994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0.36979999999999996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0.15</v>
      </c>
      <c r="AY36" s="3">
        <f>IF($E36="〇",AX36*基本シート!$E$2,AX36*VLOOKUP(LEFT(AY$6,FIND("(",AY$6)-1),基本シート!$B$6:$C$29,2,FALSE))</f>
        <v>4.4864999999999995</v>
      </c>
      <c r="AZ36" s="3">
        <v>0.25</v>
      </c>
      <c r="BA36" s="3">
        <f>IF($E36="〇",AZ36*基本シート!$E$2,AZ36*VLOOKUP(LEFT(BA$6,FIND("(",BA$6)-1),基本シート!$B$6:$C$29,2,FALSE))</f>
        <v>7.4775</v>
      </c>
      <c r="BB36" s="3">
        <v>0.31</v>
      </c>
      <c r="BC36" s="3">
        <f>IF($E36="〇",BB36*基本シート!$E$2,BB36*VLOOKUP(LEFT(BC$6,FIND("(",BC$6)-1),基本シート!$B$6:$C$29,2,FALSE))</f>
        <v>9.2721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2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3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4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245</v>
      </c>
      <c r="C37" s="6" t="str">
        <f t="shared" si="9"/>
        <v>木曜日</v>
      </c>
      <c r="D37" s="6"/>
      <c r="E37" s="6"/>
      <c r="F37" s="6" t="s">
        <v>299</v>
      </c>
      <c r="G37" s="6" t="s">
        <v>299</v>
      </c>
      <c r="H37" s="3">
        <v>0.25</v>
      </c>
      <c r="I37" s="3">
        <f>IF($E37="〇",H37*基本シート!$E$2,H37*VLOOKUP(LEFT(I$6,FIND("(",I$6)-1),基本シート!$B$6:$C$29,2,FALSE))</f>
        <v>7.4775</v>
      </c>
      <c r="J37" s="3">
        <v>0.23</v>
      </c>
      <c r="K37" s="3">
        <f>IF($E37="〇",J37*基本シート!$E$2,J37*VLOOKUP(LEFT(K$6,FIND("(",K$6)-1),基本シート!$B$6:$C$29,2,FALSE))</f>
        <v>6.8793000000000006</v>
      </c>
      <c r="L37" s="3">
        <v>0.23</v>
      </c>
      <c r="M37" s="3">
        <f>IF($E37="〇",L37*基本シート!$E$2,L37*VLOOKUP(LEFT(M$6,FIND("(",M$6)-1),基本シート!$B$6:$C$29,2,FALSE))</f>
        <v>6.8793000000000006</v>
      </c>
      <c r="N37" s="3">
        <v>0.24</v>
      </c>
      <c r="O37" s="3">
        <f>IF($E37="〇",N37*基本シート!$E$2,N37*VLOOKUP(LEFT(O$6,FIND("(",O$6)-1),基本シート!$B$6:$C$29,2,FALSE))</f>
        <v>7.1783999999999999</v>
      </c>
      <c r="P37" s="3">
        <v>0.4</v>
      </c>
      <c r="Q37" s="3">
        <f>IF($E37="〇",P37*基本シート!$E$2,P37*VLOOKUP(LEFT(Q$6,FIND("(",Q$6)-1),基本シート!$B$6:$C$29,2,FALSE))</f>
        <v>11.964</v>
      </c>
      <c r="R37" s="3">
        <v>0.49</v>
      </c>
      <c r="S37" s="3">
        <f>IF($E37="〇",R37*基本シート!$E$2,R37*VLOOKUP(LEFT(S$6,FIND("(",S$6)-1),基本シート!$B$6:$C$29,2,FALSE))</f>
        <v>14.655899999999999</v>
      </c>
      <c r="T37" s="3">
        <v>0.16</v>
      </c>
      <c r="U37" s="3">
        <f>IF($E37="〇",T37*基本シート!$E$2,T37*VLOOKUP(LEFT(U$6,FIND("(",U$6)-1),基本シート!$B$6:$C$29,2,FALSE))</f>
        <v>4.7856000000000005</v>
      </c>
      <c r="V37" s="3">
        <v>0.01</v>
      </c>
      <c r="W37" s="3">
        <f>IF($E37="〇",V37*基本シート!$E$2,V37*VLOOKUP(LEFT(W$6,FIND("(",W$6)-1),基本シート!$B$6:$C$29,2,FALSE))</f>
        <v>0.36979999999999996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0.01</v>
      </c>
      <c r="AA37" s="3">
        <f>IF($E37="〇",Z37*基本シート!$E$2,Z37*VLOOKUP(LEFT(AA$6,FIND("(",AA$6)-1),基本シート!$B$6:$C$29,2,FALSE))</f>
        <v>0.36979999999999996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0.36979999999999996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0.36979999999999996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0.28999999999999998</v>
      </c>
      <c r="BA37" s="3">
        <f>IF($E37="〇",AZ37*基本シート!$E$2,AZ37*VLOOKUP(LEFT(BA$6,FIND("(",BA$6)-1),基本シート!$B$6:$C$29,2,FALSE))</f>
        <v>8.6738999999999997</v>
      </c>
      <c r="BB37" s="3">
        <v>0.24</v>
      </c>
      <c r="BC37" s="3">
        <f>IF($E37="〇",BB37*基本シート!$E$2,BB37*VLOOKUP(LEFT(BC$6,FIND("(",BC$6)-1),基本シート!$B$6:$C$29,2,FALSE))</f>
        <v>7.1783999999999999</v>
      </c>
      <c r="BD37" s="3">
        <f t="shared" si="7"/>
        <v>2.6199999999999983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0.04</v>
      </c>
      <c r="CU37" s="3"/>
      <c r="CV37" s="3">
        <v>1.91</v>
      </c>
      <c r="CW37" s="3"/>
      <c r="CX37" s="3">
        <v>5.55</v>
      </c>
      <c r="CY37" s="3"/>
      <c r="CZ37" s="3">
        <v>6.52</v>
      </c>
      <c r="DA37" s="3"/>
      <c r="DB37" s="3">
        <v>5.79</v>
      </c>
      <c r="DC37" s="3"/>
      <c r="DD37" s="3">
        <v>3.96</v>
      </c>
      <c r="DE37" s="3"/>
      <c r="DF37" s="3">
        <v>2.98</v>
      </c>
      <c r="DG37" s="3"/>
      <c r="DH37" s="3">
        <v>1.4</v>
      </c>
      <c r="DI37" s="3"/>
      <c r="DJ37" s="3">
        <v>0.05</v>
      </c>
      <c r="DK37" s="3"/>
      <c r="DL37" s="3">
        <v>0.01</v>
      </c>
      <c r="DM37" s="3"/>
      <c r="DN37" s="3">
        <v>0.01</v>
      </c>
      <c r="DO37" s="3"/>
      <c r="DP37" s="3">
        <v>0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/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2.06</v>
      </c>
      <c r="I38" s="3">
        <f t="shared" ref="I38:M38" si="15">SUM(I7:I36)</f>
        <v>61.614599999999996</v>
      </c>
      <c r="J38" s="3">
        <f t="shared" si="15"/>
        <v>2.5299999999999998</v>
      </c>
      <c r="K38" s="3">
        <f t="shared" si="15"/>
        <v>75.672299999999993</v>
      </c>
      <c r="L38" s="3">
        <f t="shared" si="15"/>
        <v>3.4600000000000004</v>
      </c>
      <c r="M38" s="3">
        <f t="shared" si="15"/>
        <v>103.48860000000001</v>
      </c>
      <c r="N38" s="3">
        <f>SUM(N7:N37)</f>
        <v>5.34</v>
      </c>
      <c r="O38" s="3">
        <f t="shared" ref="O38:BZ38" si="16">SUM(O7:O37)</f>
        <v>159.71940000000001</v>
      </c>
      <c r="P38" s="3">
        <f t="shared" si="16"/>
        <v>9.9300000000000033</v>
      </c>
      <c r="Q38" s="3">
        <f t="shared" si="16"/>
        <v>297.00630000000001</v>
      </c>
      <c r="R38" s="3">
        <f t="shared" si="16"/>
        <v>9.4500000000000011</v>
      </c>
      <c r="S38" s="3">
        <f t="shared" si="16"/>
        <v>282.64949999999999</v>
      </c>
      <c r="T38" s="3"/>
      <c r="U38" s="3">
        <f t="shared" si="16"/>
        <v>180.05819999999997</v>
      </c>
      <c r="V38" s="3"/>
      <c r="W38" s="3">
        <f t="shared" si="16"/>
        <v>63.512900000000002</v>
      </c>
      <c r="X38" s="3"/>
      <c r="Y38" s="3">
        <f t="shared" si="16"/>
        <v>10.6698</v>
      </c>
      <c r="Z38" s="3"/>
      <c r="AA38" s="3">
        <f t="shared" si="16"/>
        <v>1.3377999999999999</v>
      </c>
      <c r="AB38" s="3"/>
      <c r="AC38" s="3">
        <f t="shared" si="16"/>
        <v>4.1874000000000002</v>
      </c>
      <c r="AD38" s="3"/>
      <c r="AE38" s="3">
        <f t="shared" si="16"/>
        <v>3.2901000000000002</v>
      </c>
      <c r="AF38" s="3"/>
      <c r="AG38" s="3">
        <f t="shared" si="16"/>
        <v>0.36979999999999996</v>
      </c>
      <c r="AH38" s="3"/>
      <c r="AI38" s="3">
        <f t="shared" si="16"/>
        <v>0.36979999999999996</v>
      </c>
      <c r="AJ38" s="3"/>
      <c r="AK38" s="3">
        <f t="shared" si="16"/>
        <v>0.66890000000000005</v>
      </c>
      <c r="AL38" s="3"/>
      <c r="AM38" s="3">
        <f t="shared" si="16"/>
        <v>0</v>
      </c>
      <c r="AN38" s="3"/>
      <c r="AO38" s="3">
        <f t="shared" si="16"/>
        <v>8.3585000000000012</v>
      </c>
      <c r="AP38" s="3"/>
      <c r="AQ38" s="3">
        <f t="shared" si="16"/>
        <v>62.348899999999986</v>
      </c>
      <c r="AR38" s="3"/>
      <c r="AS38" s="3">
        <f t="shared" si="16"/>
        <v>23.531100000000013</v>
      </c>
      <c r="AT38" s="3"/>
      <c r="AU38" s="3">
        <f t="shared" si="16"/>
        <v>89.219599999999986</v>
      </c>
      <c r="AV38" s="3"/>
      <c r="AW38" s="3">
        <f t="shared" si="16"/>
        <v>77.8536</v>
      </c>
      <c r="AX38" s="3"/>
      <c r="AY38" s="3">
        <f t="shared" si="16"/>
        <v>87.636299999999991</v>
      </c>
      <c r="AZ38" s="3"/>
      <c r="BA38" s="3">
        <f t="shared" si="16"/>
        <v>90.926400000000001</v>
      </c>
      <c r="BB38" s="3">
        <f t="shared" si="16"/>
        <v>2.2699999999999996</v>
      </c>
      <c r="BC38" s="3">
        <f t="shared" si="16"/>
        <v>67.895700000000005</v>
      </c>
      <c r="BD38" s="3">
        <f t="shared" si="16"/>
        <v>57.93</v>
      </c>
      <c r="BE38" s="3">
        <f t="shared" si="16"/>
        <v>1694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6.39</v>
      </c>
      <c r="BM38" s="3">
        <f t="shared" si="16"/>
        <v>42.16</v>
      </c>
      <c r="BN38" s="3">
        <f t="shared" si="16"/>
        <v>94.4</v>
      </c>
      <c r="BO38" s="3">
        <f t="shared" si="16"/>
        <v>122.77999999999999</v>
      </c>
      <c r="BP38" s="3">
        <f t="shared" si="16"/>
        <v>136.89000000000001</v>
      </c>
      <c r="BQ38" s="3">
        <f t="shared" si="16"/>
        <v>132.77000000000001</v>
      </c>
      <c r="BR38" s="3">
        <f t="shared" si="16"/>
        <v>117.87999999999998</v>
      </c>
      <c r="BS38" s="3">
        <f t="shared" si="16"/>
        <v>102.84000000000002</v>
      </c>
      <c r="BT38" s="3">
        <f t="shared" si="16"/>
        <v>75.790000000000006</v>
      </c>
      <c r="BU38" s="3">
        <f t="shared" si="16"/>
        <v>36.950000000000003</v>
      </c>
      <c r="BV38" s="3">
        <f t="shared" si="16"/>
        <v>5.6799999999999988</v>
      </c>
      <c r="BW38" s="3">
        <f t="shared" si="16"/>
        <v>0.03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0.10999999999999999</v>
      </c>
      <c r="CE38" s="3">
        <f t="shared" si="17"/>
        <v>1.7599999999999998</v>
      </c>
      <c r="CF38" s="3">
        <f t="shared" si="17"/>
        <v>0.08</v>
      </c>
      <c r="CG38" s="3">
        <f t="shared" si="17"/>
        <v>1.28</v>
      </c>
      <c r="CH38" s="3">
        <f t="shared" si="17"/>
        <v>0.08</v>
      </c>
      <c r="CI38" s="3">
        <f t="shared" si="17"/>
        <v>1.28</v>
      </c>
      <c r="CJ38" s="3">
        <f t="shared" si="17"/>
        <v>0.04</v>
      </c>
      <c r="CK38" s="3">
        <f t="shared" si="17"/>
        <v>0.64</v>
      </c>
      <c r="CL38" s="3">
        <f t="shared" si="17"/>
        <v>0.04</v>
      </c>
      <c r="CM38" s="3">
        <f t="shared" si="17"/>
        <v>0.64</v>
      </c>
      <c r="CN38" s="3">
        <f t="shared" si="17"/>
        <v>0.02</v>
      </c>
      <c r="CO38" s="3">
        <f t="shared" si="17"/>
        <v>0.32</v>
      </c>
      <c r="CP38" s="3">
        <f t="shared" si="17"/>
        <v>0.04</v>
      </c>
      <c r="CQ38" s="3">
        <f t="shared" si="17"/>
        <v>0.64</v>
      </c>
      <c r="CR38" s="3">
        <f t="shared" si="17"/>
        <v>0.22000000000000006</v>
      </c>
      <c r="CS38" s="3">
        <f t="shared" si="17"/>
        <v>3.3600000000000008</v>
      </c>
      <c r="CT38" s="3">
        <f t="shared" si="17"/>
        <v>5.2399999999999975</v>
      </c>
      <c r="CU38" s="3">
        <f t="shared" si="17"/>
        <v>83.19999999999996</v>
      </c>
      <c r="CV38" s="3">
        <f t="shared" si="17"/>
        <v>68.769999999999982</v>
      </c>
      <c r="CW38" s="3">
        <f t="shared" si="17"/>
        <v>1069.7599999999998</v>
      </c>
      <c r="CX38" s="3">
        <f t="shared" si="17"/>
        <v>110.09</v>
      </c>
      <c r="CY38" s="3">
        <f t="shared" si="17"/>
        <v>1672.64</v>
      </c>
      <c r="CZ38" s="3">
        <f t="shared" si="17"/>
        <v>113.24</v>
      </c>
      <c r="DA38" s="3">
        <f t="shared" si="17"/>
        <v>1707.52</v>
      </c>
      <c r="DB38" s="3">
        <f t="shared" si="17"/>
        <v>104.48000000000002</v>
      </c>
      <c r="DC38" s="3">
        <f t="shared" si="17"/>
        <v>1579.0400000000002</v>
      </c>
      <c r="DD38" s="3">
        <f t="shared" si="17"/>
        <v>92.63</v>
      </c>
      <c r="DE38" s="3">
        <f t="shared" si="17"/>
        <v>1418.72</v>
      </c>
      <c r="DF38" s="3">
        <f t="shared" si="17"/>
        <v>68.310000000000016</v>
      </c>
      <c r="DG38" s="3">
        <f t="shared" si="17"/>
        <v>1045.2800000000002</v>
      </c>
      <c r="DH38" s="3">
        <f t="shared" si="17"/>
        <v>30.440000000000005</v>
      </c>
      <c r="DI38" s="3">
        <f t="shared" si="17"/>
        <v>464.6400000000001</v>
      </c>
      <c r="DJ38" s="3">
        <f t="shared" si="17"/>
        <v>2.82</v>
      </c>
      <c r="DK38" s="3">
        <f t="shared" si="17"/>
        <v>44.32</v>
      </c>
      <c r="DL38" s="3">
        <f t="shared" si="17"/>
        <v>0.20000000000000004</v>
      </c>
      <c r="DM38" s="3">
        <f t="shared" si="17"/>
        <v>3.0400000000000005</v>
      </c>
      <c r="DN38" s="3">
        <f t="shared" si="17"/>
        <v>0.27000000000000007</v>
      </c>
      <c r="DO38" s="3">
        <f t="shared" si="17"/>
        <v>4.160000000000001</v>
      </c>
      <c r="DP38" s="3">
        <f t="shared" si="17"/>
        <v>0.24000000000000007</v>
      </c>
      <c r="DQ38" s="3">
        <f t="shared" si="17"/>
        <v>3.8400000000000012</v>
      </c>
      <c r="DR38" s="3">
        <f t="shared" si="17"/>
        <v>0.15</v>
      </c>
      <c r="DS38" s="3">
        <f t="shared" si="17"/>
        <v>2.2399999999999998</v>
      </c>
      <c r="DT38" s="3">
        <f t="shared" si="17"/>
        <v>0.23000000000000007</v>
      </c>
      <c r="DU38" s="3">
        <f t="shared" si="17"/>
        <v>3.5200000000000009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569.81999999999994</v>
      </c>
      <c r="EA38" s="3">
        <f t="shared" si="17"/>
        <v>9114</v>
      </c>
      <c r="EB38" s="3">
        <f t="shared" si="17"/>
        <v>0.26</v>
      </c>
      <c r="EC38" s="3">
        <f t="shared" si="17"/>
        <v>0.32000000000000006</v>
      </c>
      <c r="ED38" s="3">
        <f t="shared" si="17"/>
        <v>0.45000000000000007</v>
      </c>
      <c r="EE38" s="3">
        <f t="shared" si="17"/>
        <v>0.59000000000000019</v>
      </c>
      <c r="EF38" s="3">
        <f t="shared" si="17"/>
        <v>0.88000000000000023</v>
      </c>
      <c r="EG38" s="3">
        <f t="shared" si="17"/>
        <v>0.82000000000000017</v>
      </c>
      <c r="EH38" s="3">
        <f t="shared" si="17"/>
        <v>2.6599999999999997</v>
      </c>
      <c r="EI38" s="3">
        <f t="shared" si="17"/>
        <v>33.96</v>
      </c>
      <c r="EJ38" s="3">
        <f t="shared" si="17"/>
        <v>80.989999999999995</v>
      </c>
      <c r="EK38" s="3">
        <f t="shared" si="17"/>
        <v>45.22</v>
      </c>
      <c r="EL38" s="3">
        <f t="shared" si="17"/>
        <v>19.210000000000004</v>
      </c>
      <c r="EM38" s="3">
        <f t="shared" ref="EM38:GX38" si="18">SUM(EM7:EM37)</f>
        <v>11.81</v>
      </c>
      <c r="EN38" s="3">
        <f t="shared" si="18"/>
        <v>5.5099999999999989</v>
      </c>
      <c r="EO38" s="3">
        <f t="shared" si="18"/>
        <v>2.7399999999999998</v>
      </c>
      <c r="EP38" s="3">
        <f t="shared" si="18"/>
        <v>1.38</v>
      </c>
      <c r="EQ38" s="3">
        <f t="shared" si="18"/>
        <v>0.01</v>
      </c>
      <c r="ER38" s="3">
        <f t="shared" si="18"/>
        <v>0</v>
      </c>
      <c r="ES38" s="3">
        <f t="shared" si="18"/>
        <v>0.04</v>
      </c>
      <c r="ET38" s="3">
        <f t="shared" si="18"/>
        <v>0.04</v>
      </c>
      <c r="EU38" s="3">
        <f t="shared" si="18"/>
        <v>7.0000000000000007E-2</v>
      </c>
      <c r="EV38" s="3">
        <f t="shared" si="18"/>
        <v>0.08</v>
      </c>
      <c r="EW38" s="3">
        <f t="shared" si="18"/>
        <v>0.11</v>
      </c>
      <c r="EX38" s="3">
        <f t="shared" si="18"/>
        <v>0.25</v>
      </c>
      <c r="EY38" s="3">
        <f t="shared" si="18"/>
        <v>0.28000000000000003</v>
      </c>
      <c r="EZ38" s="3">
        <f t="shared" si="18"/>
        <v>200.61</v>
      </c>
      <c r="FA38" s="3">
        <f t="shared" si="18"/>
        <v>4.57</v>
      </c>
      <c r="FB38" s="3">
        <f t="shared" si="18"/>
        <v>3.8100000000000005</v>
      </c>
      <c r="FC38" s="3">
        <f t="shared" si="18"/>
        <v>2.8399999999999994</v>
      </c>
      <c r="FD38" s="3">
        <f t="shared" si="18"/>
        <v>1.6300000000000001</v>
      </c>
      <c r="FE38" s="3">
        <f t="shared" si="18"/>
        <v>1.0999999999999999</v>
      </c>
      <c r="FF38" s="3">
        <f t="shared" si="18"/>
        <v>0.89</v>
      </c>
      <c r="FG38" s="3">
        <f t="shared" si="18"/>
        <v>0.28000000000000003</v>
      </c>
      <c r="FH38" s="3">
        <f t="shared" si="18"/>
        <v>0.15</v>
      </c>
      <c r="FI38" s="3">
        <f t="shared" si="18"/>
        <v>0</v>
      </c>
      <c r="FJ38" s="3">
        <f t="shared" si="18"/>
        <v>0</v>
      </c>
      <c r="FK38" s="3">
        <f t="shared" si="18"/>
        <v>0.24000000000000002</v>
      </c>
      <c r="FL38" s="3">
        <f t="shared" si="18"/>
        <v>0.01</v>
      </c>
      <c r="FM38" s="3">
        <f t="shared" si="18"/>
        <v>0.04</v>
      </c>
      <c r="FN38" s="3">
        <f t="shared" si="18"/>
        <v>0.10999999999999999</v>
      </c>
      <c r="FO38" s="3">
        <f t="shared" si="18"/>
        <v>7.0000000000000007E-2</v>
      </c>
      <c r="FP38" s="3">
        <f t="shared" si="18"/>
        <v>1.4000000000000001</v>
      </c>
      <c r="FQ38" s="3">
        <f t="shared" si="18"/>
        <v>25.2</v>
      </c>
      <c r="FR38" s="3">
        <f t="shared" si="18"/>
        <v>45.15</v>
      </c>
      <c r="FS38" s="3">
        <f t="shared" si="18"/>
        <v>19.78</v>
      </c>
      <c r="FT38" s="3">
        <f t="shared" si="18"/>
        <v>13.309999999999999</v>
      </c>
      <c r="FU38" s="3">
        <f t="shared" si="18"/>
        <v>14.66</v>
      </c>
      <c r="FV38" s="3">
        <f t="shared" si="18"/>
        <v>14.410000000000002</v>
      </c>
      <c r="FW38" s="3">
        <f t="shared" si="18"/>
        <v>7.28</v>
      </c>
      <c r="FX38" s="3">
        <f t="shared" si="18"/>
        <v>5.07</v>
      </c>
      <c r="FY38" s="3">
        <f t="shared" si="18"/>
        <v>156.39000000000004</v>
      </c>
      <c r="FZ38" s="3">
        <f t="shared" si="18"/>
        <v>6.5100000000000016</v>
      </c>
      <c r="GA38" s="3">
        <f t="shared" si="18"/>
        <v>6.1700000000000026</v>
      </c>
      <c r="GB38" s="3">
        <f t="shared" si="18"/>
        <v>6.0000000000000027</v>
      </c>
      <c r="GC38" s="3">
        <f t="shared" si="18"/>
        <v>6.3400000000000007</v>
      </c>
      <c r="GD38" s="3">
        <f t="shared" si="18"/>
        <v>10.110000000000001</v>
      </c>
      <c r="GE38" s="3">
        <f t="shared" si="18"/>
        <v>9.5000000000000018</v>
      </c>
      <c r="GF38" s="3">
        <f t="shared" si="18"/>
        <v>9.99</v>
      </c>
      <c r="GG38" s="3">
        <f t="shared" si="18"/>
        <v>10.010000000000003</v>
      </c>
      <c r="GH38" s="3">
        <f t="shared" si="18"/>
        <v>8.4699999999999989</v>
      </c>
      <c r="GI38" s="3">
        <f t="shared" si="18"/>
        <v>8.8299999999999983</v>
      </c>
      <c r="GJ38" s="3">
        <f t="shared" si="18"/>
        <v>7.9700000000000006</v>
      </c>
      <c r="GK38" s="3">
        <f t="shared" si="18"/>
        <v>7.8400000000000025</v>
      </c>
      <c r="GL38" s="3">
        <f t="shared" si="18"/>
        <v>7.9399999999999995</v>
      </c>
      <c r="GM38" s="3">
        <f t="shared" si="18"/>
        <v>7.5900000000000016</v>
      </c>
      <c r="GN38" s="3">
        <f t="shared" si="18"/>
        <v>6.19</v>
      </c>
      <c r="GO38" s="3">
        <f t="shared" si="18"/>
        <v>7.9000000000000012</v>
      </c>
      <c r="GP38" s="3">
        <f t="shared" si="18"/>
        <v>28.330000000000002</v>
      </c>
      <c r="GQ38" s="3">
        <f t="shared" si="18"/>
        <v>46.93</v>
      </c>
      <c r="GR38" s="3">
        <f t="shared" si="18"/>
        <v>20.200000000000003</v>
      </c>
      <c r="GS38" s="3">
        <f t="shared" si="18"/>
        <v>15.469999999999999</v>
      </c>
      <c r="GT38" s="3">
        <f t="shared" si="18"/>
        <v>16.650000000000002</v>
      </c>
      <c r="GU38" s="3">
        <f t="shared" si="18"/>
        <v>17</v>
      </c>
      <c r="GV38" s="3">
        <f t="shared" si="18"/>
        <v>9.8800000000000043</v>
      </c>
      <c r="GW38" s="3">
        <f t="shared" si="18"/>
        <v>6.919999999999999</v>
      </c>
      <c r="GX38" s="3">
        <f t="shared" si="18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topLeftCell="A8" workbookViewId="0">
      <selection activeCell="BF38" sqref="BF38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132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300</v>
      </c>
      <c r="G7" s="6" t="s">
        <v>300</v>
      </c>
      <c r="H7" s="3">
        <v>0.23</v>
      </c>
      <c r="I7" s="3">
        <f>IF($E7="〇",H7*基本シート!$E$2,H7*VLOOKUP(LEFT(I$6,FIND("(",I$6)-1),基本シート!$B$6:$C$29,2,FALSE))</f>
        <v>6.8793000000000006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0.23</v>
      </c>
      <c r="M7" s="3">
        <f>IF($E7="〇",L7*基本シート!$E$2,L7*VLOOKUP(LEFT(M$6,FIND("(",M$6)-1),基本シート!$B$6:$C$29,2,FALSE))</f>
        <v>6.8793000000000006</v>
      </c>
      <c r="N7" s="3">
        <v>0.24</v>
      </c>
      <c r="O7" s="3">
        <f>IF($E7="〇",N7*基本シート!$E$2,N7*VLOOKUP(LEFT(O$6,FIND("(",O$6)-1),基本シート!$B$6:$C$29,2,FALSE))</f>
        <v>7.1783999999999999</v>
      </c>
      <c r="P7" s="3">
        <v>0.38</v>
      </c>
      <c r="Q7" s="3">
        <f>IF($E7="〇",P7*基本シート!$E$2,P7*VLOOKUP(LEFT(Q$6,FIND("(",Q$6)-1),基本シート!$B$6:$C$29,2,FALSE))</f>
        <v>11.3658</v>
      </c>
      <c r="R7" s="3">
        <v>0.31</v>
      </c>
      <c r="S7" s="3">
        <f>IF($E7="〇",R7*基本シート!$E$2,R7*VLOOKUP(LEFT(S$6,FIND("(",S$6)-1),基本シート!$B$6:$C$29,2,FALSE))</f>
        <v>9.2721</v>
      </c>
      <c r="T7" s="3">
        <v>0.86</v>
      </c>
      <c r="U7" s="3">
        <f>IF($E7="〇",T7*基本シート!$E$2,T7*VLOOKUP(LEFT(U$6,FIND("(",U$6)-1),基本シート!$B$6:$C$29,2,FALSE))</f>
        <v>25.7226</v>
      </c>
      <c r="V7" s="3">
        <v>0.1</v>
      </c>
      <c r="W7" s="3">
        <f>IF($E7="〇",V7*基本シート!$E$2,V7*VLOOKUP(LEFT(W$6,FIND("(",W$6)-1),基本シート!$B$6:$C$29,2,FALSE))</f>
        <v>3.698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133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301</v>
      </c>
      <c r="G8" s="6" t="s">
        <v>302</v>
      </c>
      <c r="H8" s="3">
        <v>0.2</v>
      </c>
      <c r="I8" s="3">
        <f>IF($E8="〇",H8*基本シート!$E$2,H8*VLOOKUP(LEFT(I$6,FIND("(",I$6)-1),基本シート!$B$6:$C$29,2,FALSE))</f>
        <v>5.9820000000000002</v>
      </c>
      <c r="J8" s="3">
        <v>0.26</v>
      </c>
      <c r="K8" s="3">
        <f>IF($E8="〇",J8*基本シート!$E$2,J8*VLOOKUP(LEFT(K$6,FIND("(",K$6)-1),基本シート!$B$6:$C$29,2,FALSE))</f>
        <v>7.7766000000000002</v>
      </c>
      <c r="L8" s="3">
        <v>0.23</v>
      </c>
      <c r="M8" s="3">
        <f>IF($E8="〇",L8*基本シート!$E$2,L8*VLOOKUP(LEFT(M$6,FIND("(",M$6)-1),基本シート!$B$6:$C$29,2,FALSE))</f>
        <v>6.8793000000000006</v>
      </c>
      <c r="N8" s="3">
        <v>0.24</v>
      </c>
      <c r="O8" s="3">
        <f>IF($E8="〇",N8*基本シート!$E$2,N8*VLOOKUP(LEFT(O$6,FIND("(",O$6)-1),基本シート!$B$6:$C$29,2,FALSE))</f>
        <v>7.1783999999999999</v>
      </c>
      <c r="P8" s="3">
        <v>0.22</v>
      </c>
      <c r="Q8" s="3">
        <f>IF($E8="〇",P8*基本シート!$E$2,P8*VLOOKUP(LEFT(Q$6,FIND("(",Q$6)-1),基本シート!$B$6:$C$29,2,FALSE))</f>
        <v>6.5802000000000005</v>
      </c>
      <c r="R8" s="3">
        <v>0.23</v>
      </c>
      <c r="S8" s="3">
        <f>IF($E8="〇",R8*基本シート!$E$2,R8*VLOOKUP(LEFT(S$6,FIND("(",S$6)-1),基本シート!$B$6:$C$29,2,FALSE))</f>
        <v>6.8793000000000006</v>
      </c>
      <c r="T8" s="3">
        <v>0.21</v>
      </c>
      <c r="U8" s="3">
        <f>IF($E8="〇",T8*基本シート!$E$2,T8*VLOOKUP(LEFT(U$6,FIND("(",U$6)-1),基本シート!$B$6:$C$29,2,FALSE))</f>
        <v>6.2810999999999995</v>
      </c>
      <c r="V8" s="3">
        <v>0.86</v>
      </c>
      <c r="W8" s="3">
        <f>IF($E8="〇",V8*基本シート!$E$2,V8*VLOOKUP(LEFT(W$6,FIND("(",W$6)-1),基本シート!$B$6:$C$29,2,FALSE))</f>
        <v>25.7226</v>
      </c>
      <c r="X8" s="3">
        <v>0.2</v>
      </c>
      <c r="Y8" s="3">
        <f>IF($E8="〇",X8*基本シート!$E$2,X8*VLOOKUP(LEFT(Y$6,FIND("(",Y$6)-1),基本シート!$B$6:$C$29,2,FALSE))</f>
        <v>5.9820000000000002</v>
      </c>
      <c r="Z8" s="3">
        <v>7.0000000000000007E-2</v>
      </c>
      <c r="AA8" s="3">
        <f>IF($E8="〇",Z8*基本シート!$E$2,Z8*VLOOKUP(LEFT(AA$6,FIND("(",AA$6)-1),基本シート!$B$6:$C$29,2,FALSE))</f>
        <v>2.0937000000000001</v>
      </c>
      <c r="AB8" s="3">
        <v>0.01</v>
      </c>
      <c r="AC8" s="3">
        <f>IF($E8="〇",AB8*基本シート!$E$2,AB8*VLOOKUP(LEFT(AC$6,FIND("(",AC$6)-1),基本シート!$B$6:$C$29,2,FALSE))</f>
        <v>0.29910000000000003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0.01</v>
      </c>
      <c r="AG8" s="3">
        <f>IF($E8="〇",AF8*基本シート!$E$2,AF8*VLOOKUP(LEFT(AG$6,FIND("(",AG$6)-1),基本シート!$B$6:$C$29,2,FALSE))</f>
        <v>0.29910000000000003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0.44</v>
      </c>
      <c r="AQ8" s="3">
        <f>IF($E8="〇",AP8*基本シート!$E$2,AP8*VLOOKUP(LEFT(AQ$6,FIND("(",AQ$6)-1),基本シート!$B$6:$C$29,2,FALSE))</f>
        <v>13.160400000000001</v>
      </c>
      <c r="AR8" s="3">
        <v>0.78</v>
      </c>
      <c r="AS8" s="3">
        <f>IF($E8="〇",AR8*基本シート!$E$2,AR8*VLOOKUP(LEFT(AS$6,FIND("(",AS$6)-1),基本シート!$B$6:$C$29,2,FALSE))</f>
        <v>23.329800000000002</v>
      </c>
      <c r="AT8" s="3">
        <v>0.3</v>
      </c>
      <c r="AU8" s="3">
        <f>IF($E8="〇",AT8*基本シート!$E$2,AT8*VLOOKUP(LEFT(AU$6,FIND("(",AU$6)-1),基本シート!$B$6:$C$29,2,FALSE))</f>
        <v>8.972999999999999</v>
      </c>
      <c r="AV8" s="3">
        <v>0.65</v>
      </c>
      <c r="AW8" s="3">
        <f>IF($E8="〇",AV8*基本シート!$E$2,AV8*VLOOKUP(LEFT(AW$6,FIND("(",AW$6)-1),基本シート!$B$6:$C$29,2,FALSE))</f>
        <v>19.441500000000001</v>
      </c>
      <c r="AX8" s="3">
        <v>0.28999999999999998</v>
      </c>
      <c r="AY8" s="3">
        <f>IF($E8="〇",AX8*基本シート!$E$2,AX8*VLOOKUP(LEFT(AY$6,FIND("(",AY$6)-1),基本シート!$B$6:$C$29,2,FALSE))</f>
        <v>8.6738999999999997</v>
      </c>
      <c r="AZ8" s="3">
        <v>0.36</v>
      </c>
      <c r="BA8" s="3">
        <f>IF($E8="〇",AZ8*基本シート!$E$2,AZ8*VLOOKUP(LEFT(BA$6,FIND("(",BA$6)-1),基本シート!$B$6:$C$29,2,FALSE))</f>
        <v>10.7676</v>
      </c>
      <c r="BB8" s="3">
        <v>0.31</v>
      </c>
      <c r="BC8" s="3">
        <f>IF($E8="〇",BB8*基本シート!$E$2,BB8*VLOOKUP(LEFT(BC$6,FIND("(",BC$6)-1),基本シート!$B$6:$C$29,2,FALSE))</f>
        <v>9.2721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2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4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134</v>
      </c>
      <c r="C9" s="6" t="str">
        <f t="shared" si="9"/>
        <v>日曜日</v>
      </c>
      <c r="D9" s="6"/>
      <c r="E9" s="6" t="str">
        <f t="shared" si="10"/>
        <v>〇</v>
      </c>
      <c r="F9" s="6" t="s">
        <v>302</v>
      </c>
      <c r="G9" s="6" t="s">
        <v>302</v>
      </c>
      <c r="H9" s="3">
        <v>0.28000000000000003</v>
      </c>
      <c r="I9" s="3">
        <f>IF($E9="〇",H9*基本シート!$E$2,H9*VLOOKUP(LEFT(I$6,FIND("(",I$6)-1),基本シート!$B$6:$C$29,2,FALSE))</f>
        <v>8.3748000000000005</v>
      </c>
      <c r="J9" s="3">
        <v>0.26</v>
      </c>
      <c r="K9" s="3">
        <f>IF($E9="〇",J9*基本シート!$E$2,J9*VLOOKUP(LEFT(K$6,FIND("(",K$6)-1),基本シート!$B$6:$C$29,2,FALSE))</f>
        <v>7.7766000000000002</v>
      </c>
      <c r="L9" s="3">
        <v>0.31</v>
      </c>
      <c r="M9" s="3">
        <f>IF($E9="〇",L9*基本シート!$E$2,L9*VLOOKUP(LEFT(M$6,FIND("(",M$6)-1),基本シート!$B$6:$C$29,2,FALSE))</f>
        <v>9.2721</v>
      </c>
      <c r="N9" s="3">
        <v>0.25</v>
      </c>
      <c r="O9" s="3">
        <f>IF($E9="〇",N9*基本シート!$E$2,N9*VLOOKUP(LEFT(O$6,FIND("(",O$6)-1),基本シート!$B$6:$C$29,2,FALSE))</f>
        <v>7.4775</v>
      </c>
      <c r="P9" s="3">
        <v>0.24</v>
      </c>
      <c r="Q9" s="3">
        <f>IF($E9="〇",P9*基本シート!$E$2,P9*VLOOKUP(LEFT(Q$6,FIND("(",Q$6)-1),基本シート!$B$6:$C$29,2,FALSE))</f>
        <v>7.1783999999999999</v>
      </c>
      <c r="R9" s="3">
        <v>0.24</v>
      </c>
      <c r="S9" s="3">
        <f>IF($E9="〇",R9*基本シート!$E$2,R9*VLOOKUP(LEFT(S$6,FIND("(",S$6)-1),基本シート!$B$6:$C$29,2,FALSE))</f>
        <v>7.1783999999999999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0.29910000000000003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0.29910000000000003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28.4145</v>
      </c>
      <c r="AX9" s="3">
        <v>0.71</v>
      </c>
      <c r="AY9" s="3">
        <f>IF($E9="〇",AX9*基本シート!$E$2,AX9*VLOOKUP(LEFT(AY$6,FIND("(",AY$6)-1),基本シート!$B$6:$C$29,2,FALSE))</f>
        <v>21.2361</v>
      </c>
      <c r="AZ9" s="3">
        <v>0.51</v>
      </c>
      <c r="BA9" s="3">
        <f>IF($E9="〇",AZ9*基本シート!$E$2,AZ9*VLOOKUP(LEFT(BA$6,FIND("(",BA$6)-1),基本シート!$B$6:$C$29,2,FALSE))</f>
        <v>15.254100000000001</v>
      </c>
      <c r="BB9" s="3">
        <v>0.52</v>
      </c>
      <c r="BC9" s="3">
        <f>IF($E9="〇",BB9*基本シート!$E$2,BB9*VLOOKUP(LEFT(BC$6,FIND("(",BC$6)-1),基本シート!$B$6:$C$29,2,FALSE))</f>
        <v>15.5532</v>
      </c>
      <c r="BD9" s="3">
        <f>SUM(H9,J9,L9,N9,P9,R9,T9,V9,X9,Z9,AB9,AD9,AF9,AH9,AJ9,AL9,AN9,AP9,AR9,AT9,AV9,AX9,AZ9,BB9)</f>
        <v>4.43</v>
      </c>
      <c r="BE9" s="3">
        <f t="shared" si="8"/>
        <v>133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2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3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4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si="9"/>
        <v>月曜日</v>
      </c>
      <c r="D10" s="6" t="s">
        <v>82</v>
      </c>
      <c r="E10" s="6" t="str">
        <f t="shared" si="10"/>
        <v>〇</v>
      </c>
      <c r="F10" s="6" t="s">
        <v>302</v>
      </c>
      <c r="G10" s="6" t="s">
        <v>301</v>
      </c>
      <c r="H10" s="3">
        <v>0.56000000000000005</v>
      </c>
      <c r="I10" s="3">
        <f>IF($E10="〇",H10*基本シート!$E$2,H10*VLOOKUP(LEFT(I$6,FIND("(",I$6)-1),基本シート!$B$6:$C$29,2,FALSE))</f>
        <v>16.749600000000001</v>
      </c>
      <c r="J10" s="3">
        <v>0.55000000000000004</v>
      </c>
      <c r="K10" s="3">
        <f>IF($E10="〇",J10*基本シート!$E$2,J10*VLOOKUP(LEFT(K$6,FIND("(",K$6)-1),基本シート!$B$6:$C$29,2,FALSE))</f>
        <v>16.450500000000002</v>
      </c>
      <c r="L10" s="3">
        <v>0.53</v>
      </c>
      <c r="M10" s="3">
        <f>IF($E10="〇",L10*基本シート!$E$2,L10*VLOOKUP(LEFT(M$6,FIND("(",M$6)-1),基本シート!$B$6:$C$29,2,FALSE))</f>
        <v>15.852300000000001</v>
      </c>
      <c r="N10" s="3">
        <v>0.54</v>
      </c>
      <c r="O10" s="3">
        <f>IF($E10="〇",N10*基本シート!$E$2,N10*VLOOKUP(LEFT(O$6,FIND("(",O$6)-1),基本シート!$B$6:$C$29,2,FALSE))</f>
        <v>16.151400000000002</v>
      </c>
      <c r="P10" s="3">
        <v>0.52</v>
      </c>
      <c r="Q10" s="3">
        <f>IF($E10="〇",P10*基本シート!$E$2,P10*VLOOKUP(LEFT(Q$6,FIND("(",Q$6)-1),基本シート!$B$6:$C$29,2,FALSE))</f>
        <v>15.5532</v>
      </c>
      <c r="R10" s="3">
        <v>0.49</v>
      </c>
      <c r="S10" s="3">
        <f>IF($E10="〇",R10*基本シート!$E$2,R10*VLOOKUP(LEFT(S$6,FIND("(",S$6)-1),基本シート!$B$6:$C$29,2,FALSE))</f>
        <v>14.655899999999999</v>
      </c>
      <c r="T10" s="3">
        <v>0.99</v>
      </c>
      <c r="U10" s="3">
        <f>IF($E10="〇",T10*基本シート!$E$2,T10*VLOOKUP(LEFT(U$6,FIND("(",U$6)-1),基本シート!$B$6:$C$29,2,FALSE))</f>
        <v>29.610900000000001</v>
      </c>
      <c r="V10" s="3">
        <v>0.27</v>
      </c>
      <c r="W10" s="3">
        <f>IF($E10="〇",V10*基本シート!$E$2,V10*VLOOKUP(LEFT(W$6,FIND("(",W$6)-1),基本シート!$B$6:$C$29,2,FALSE))</f>
        <v>8.0757000000000012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0.59820000000000007</v>
      </c>
      <c r="AP10" s="3">
        <v>0.12</v>
      </c>
      <c r="AQ10" s="3">
        <f>IF($E10="〇",AP10*基本シート!$E$2,AP10*VLOOKUP(LEFT(AQ$6,FIND("(",AQ$6)-1),基本シート!$B$6:$C$29,2,FALSE))</f>
        <v>3.5891999999999999</v>
      </c>
      <c r="AR10" s="3">
        <v>0.33</v>
      </c>
      <c r="AS10" s="3">
        <f>IF($E10="〇",AR10*基本シート!$E$2,AR10*VLOOKUP(LEFT(AS$6,FIND("(",AS$6)-1),基本シート!$B$6:$C$29,2,FALSE))</f>
        <v>9.8703000000000003</v>
      </c>
      <c r="AT10" s="3">
        <v>1.47</v>
      </c>
      <c r="AU10" s="3">
        <f>IF($E10="〇",AT10*基本シート!$E$2,AT10*VLOOKUP(LEFT(AU$6,FIND("(",AU$6)-1),基本シート!$B$6:$C$29,2,FALSE))</f>
        <v>43.967700000000001</v>
      </c>
      <c r="AV10" s="3">
        <v>0.75</v>
      </c>
      <c r="AW10" s="3">
        <f>IF($E10="〇",AV10*基本シート!$E$2,AV10*VLOOKUP(LEFT(AW$6,FIND("(",AW$6)-1),基本シート!$B$6:$C$29,2,FALSE))</f>
        <v>22.432500000000001</v>
      </c>
      <c r="AX10" s="3">
        <v>0.48</v>
      </c>
      <c r="AY10" s="3">
        <f>IF($E10="〇",AX10*基本シート!$E$2,AX10*VLOOKUP(LEFT(AY$6,FIND("(",AY$6)-1),基本シート!$B$6:$C$29,2,FALSE))</f>
        <v>14.3568</v>
      </c>
      <c r="AZ10" s="3">
        <v>0.42</v>
      </c>
      <c r="BA10" s="3">
        <f>IF($E10="〇",AZ10*基本シート!$E$2,AZ10*VLOOKUP(LEFT(BA$6,FIND("(",BA$6)-1),基本シート!$B$6:$C$29,2,FALSE))</f>
        <v>12.562199999999999</v>
      </c>
      <c r="BB10" s="3">
        <v>0.44</v>
      </c>
      <c r="BC10" s="3">
        <f>IF($E10="〇",BB10*基本シート!$E$2,BB10*VLOOKUP(LEFT(BC$6,FIND("(",BC$6)-1),基本シート!$B$6:$C$29,2,FALSE))</f>
        <v>13.160400000000001</v>
      </c>
      <c r="BD10" s="3">
        <f t="shared" si="7"/>
        <v>8.48</v>
      </c>
      <c r="BE10" s="3">
        <f t="shared" si="8"/>
        <v>254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2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4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火曜日</v>
      </c>
      <c r="D11" s="6"/>
      <c r="E11" s="6" t="str">
        <f t="shared" si="10"/>
        <v/>
      </c>
      <c r="F11" s="6" t="s">
        <v>302</v>
      </c>
      <c r="G11" s="6" t="s">
        <v>300</v>
      </c>
      <c r="H11" s="3">
        <v>0.42</v>
      </c>
      <c r="I11" s="3">
        <f>IF($E11="〇",H11*基本シート!$E$2,H11*VLOOKUP(LEFT(I$6,FIND("(",I$6)-1),基本シート!$B$6:$C$29,2,FALSE))</f>
        <v>12.562199999999999</v>
      </c>
      <c r="J11" s="3">
        <v>0.41</v>
      </c>
      <c r="K11" s="3">
        <f>IF($E11="〇",J11*基本シート!$E$2,J11*VLOOKUP(LEFT(K$6,FIND("(",K$6)-1),基本シート!$B$6:$C$29,2,FALSE))</f>
        <v>12.2631</v>
      </c>
      <c r="L11" s="3">
        <v>0.41</v>
      </c>
      <c r="M11" s="3">
        <f>IF($E11="〇",L11*基本シート!$E$2,L11*VLOOKUP(LEFT(M$6,FIND("(",M$6)-1),基本シート!$B$6:$C$29,2,FALSE))</f>
        <v>12.2631</v>
      </c>
      <c r="N11" s="3">
        <v>0.42</v>
      </c>
      <c r="O11" s="3">
        <f>IF($E11="〇",N11*基本シート!$E$2,N11*VLOOKUP(LEFT(O$6,FIND("(",O$6)-1),基本シート!$B$6:$C$29,2,FALSE))</f>
        <v>12.562199999999999</v>
      </c>
      <c r="P11" s="3">
        <v>0.56999999999999995</v>
      </c>
      <c r="Q11" s="3">
        <f>IF($E11="〇",P11*基本シート!$E$2,P11*VLOOKUP(LEFT(Q$6,FIND("(",Q$6)-1),基本シート!$B$6:$C$29,2,FALSE))</f>
        <v>17.0487</v>
      </c>
      <c r="R11" s="3">
        <v>0.51</v>
      </c>
      <c r="S11" s="3">
        <f>IF($E11="〇",R11*基本シート!$E$2,R11*VLOOKUP(LEFT(S$6,FIND("(",S$6)-1),基本シート!$B$6:$C$29,2,FALSE))</f>
        <v>15.254100000000001</v>
      </c>
      <c r="T11" s="3">
        <v>0.44</v>
      </c>
      <c r="U11" s="3">
        <f>IF($E11="〇",T11*基本シート!$E$2,T11*VLOOKUP(LEFT(U$6,FIND("(",U$6)-1),基本シート!$B$6:$C$29,2,FALSE))</f>
        <v>13.160400000000001</v>
      </c>
      <c r="V11" s="3">
        <v>0.01</v>
      </c>
      <c r="W11" s="3">
        <f>IF($E11="〇",V11*基本シート!$E$2,V11*VLOOKUP(LEFT(W$6,FIND("(",W$6)-1),基本シート!$B$6:$C$29,2,FALSE))</f>
        <v>0.36979999999999996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0.02</v>
      </c>
      <c r="AQ11" s="3">
        <f>IF($E11="〇",AP11*基本シート!$E$2,AP11*VLOOKUP(LEFT(AQ$6,FIND("(",AQ$6)-1),基本シート!$B$6:$C$29,2,FALSE))</f>
        <v>0.73959999999999992</v>
      </c>
      <c r="AR11" s="3">
        <v>0.85</v>
      </c>
      <c r="AS11" s="3">
        <f>IF($E11="〇",AR11*基本シート!$E$2,AR11*VLOOKUP(LEFT(AS$6,FIND("(",AS$6)-1),基本シート!$B$6:$C$29,2,FALSE))</f>
        <v>31.432999999999996</v>
      </c>
      <c r="AT11" s="3">
        <v>0.91</v>
      </c>
      <c r="AU11" s="3">
        <f>IF($E11="〇",AT11*基本シート!$E$2,AT11*VLOOKUP(LEFT(AU$6,FIND("(",AU$6)-1),基本シート!$B$6:$C$29,2,FALSE))</f>
        <v>33.651800000000001</v>
      </c>
      <c r="AV11" s="3">
        <v>0.86</v>
      </c>
      <c r="AW11" s="3">
        <f>IF($E11="〇",AV11*基本シート!$E$2,AV11*VLOOKUP(LEFT(AW$6,FIND("(",AW$6)-1),基本シート!$B$6:$C$29,2,FALSE))</f>
        <v>31.802799999999998</v>
      </c>
      <c r="AX11" s="3">
        <v>0.5</v>
      </c>
      <c r="AY11" s="3">
        <f>IF($E11="〇",AX11*基本シート!$E$2,AX11*VLOOKUP(LEFT(AY$6,FIND("(",AY$6)-1),基本シート!$B$6:$C$29,2,FALSE))</f>
        <v>14.955</v>
      </c>
      <c r="AZ11" s="3">
        <v>0.47</v>
      </c>
      <c r="BA11" s="3">
        <f>IF($E11="〇",AZ11*基本シート!$E$2,AZ11*VLOOKUP(LEFT(BA$6,FIND("(",BA$6)-1),基本シート!$B$6:$C$29,2,FALSE))</f>
        <v>14.057699999999999</v>
      </c>
      <c r="BB11" s="3">
        <v>0.49</v>
      </c>
      <c r="BC11" s="3">
        <f>IF($E11="〇",BB11*基本シート!$E$2,BB11*VLOOKUP(LEFT(BC$6,FIND("(",BC$6)-1),基本シート!$B$6:$C$29,2,FALSE))</f>
        <v>14.655899999999999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2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4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水曜日</v>
      </c>
      <c r="D12" s="6"/>
      <c r="E12" s="6" t="str">
        <f t="shared" si="10"/>
        <v/>
      </c>
      <c r="F12" s="6" t="s">
        <v>300</v>
      </c>
      <c r="G12" s="6" t="s">
        <v>301</v>
      </c>
      <c r="H12" s="3">
        <v>0.5</v>
      </c>
      <c r="I12" s="3">
        <f>IF($E12="〇",H12*基本シート!$E$2,H12*VLOOKUP(LEFT(I$6,FIND("(",I$6)-1),基本シート!$B$6:$C$29,2,FALSE))</f>
        <v>14.955</v>
      </c>
      <c r="J12" s="3">
        <v>0.47</v>
      </c>
      <c r="K12" s="3">
        <f>IF($E12="〇",J12*基本シート!$E$2,J12*VLOOKUP(LEFT(K$6,FIND("(",K$6)-1),基本シート!$B$6:$C$29,2,FALSE))</f>
        <v>14.057699999999999</v>
      </c>
      <c r="L12" s="3">
        <v>0.46</v>
      </c>
      <c r="M12" s="3">
        <f>IF($E12="〇",L12*基本シート!$E$2,L12*VLOOKUP(LEFT(M$6,FIND("(",M$6)-1),基本シート!$B$6:$C$29,2,FALSE))</f>
        <v>13.758600000000001</v>
      </c>
      <c r="N12" s="3">
        <v>0.5</v>
      </c>
      <c r="O12" s="3">
        <f>IF($E12="〇",N12*基本シート!$E$2,N12*VLOOKUP(LEFT(O$6,FIND("(",O$6)-1),基本シート!$B$6:$C$29,2,FALSE))</f>
        <v>14.955</v>
      </c>
      <c r="P12" s="3">
        <v>0.65</v>
      </c>
      <c r="Q12" s="3">
        <f>IF($E12="〇",P12*基本シート!$E$2,P12*VLOOKUP(LEFT(Q$6,FIND("(",Q$6)-1),基本シート!$B$6:$C$29,2,FALSE))</f>
        <v>19.441500000000001</v>
      </c>
      <c r="R12" s="3">
        <v>0.6</v>
      </c>
      <c r="S12" s="3">
        <f>IF($E12="〇",R12*基本シート!$E$2,R12*VLOOKUP(LEFT(S$6,FIND("(",S$6)-1),基本シート!$B$6:$C$29,2,FALSE))</f>
        <v>17.945999999999998</v>
      </c>
      <c r="T12" s="3">
        <v>0.51</v>
      </c>
      <c r="U12" s="3">
        <f>IF($E12="〇",T12*基本シート!$E$2,T12*VLOOKUP(LEFT(U$6,FIND("(",U$6)-1),基本シート!$B$6:$C$29,2,FALSE))</f>
        <v>15.254100000000001</v>
      </c>
      <c r="V12" s="3">
        <v>0.2</v>
      </c>
      <c r="W12" s="3">
        <f>IF($E12="〇",V12*基本シート!$E$2,V12*VLOOKUP(LEFT(W$6,FIND("(",W$6)-1),基本シート!$B$6:$C$29,2,FALSE))</f>
        <v>7.3959999999999999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0.36979999999999996</v>
      </c>
      <c r="AP12" s="3">
        <v>0.01</v>
      </c>
      <c r="AQ12" s="3">
        <f>IF($E12="〇",AP12*基本シート!$E$2,AP12*VLOOKUP(LEFT(AQ$6,FIND("(",AQ$6)-1),基本シート!$B$6:$C$29,2,FALSE))</f>
        <v>0.36979999999999996</v>
      </c>
      <c r="AR12" s="3">
        <v>0.97</v>
      </c>
      <c r="AS12" s="3">
        <f>IF($E12="〇",AR12*基本シート!$E$2,AR12*VLOOKUP(LEFT(AS$6,FIND("(",AS$6)-1),基本シート!$B$6:$C$29,2,FALSE))</f>
        <v>35.870599999999996</v>
      </c>
      <c r="AT12" s="3">
        <v>1.72</v>
      </c>
      <c r="AU12" s="3">
        <f>IF($E12="〇",AT12*基本シート!$E$2,AT12*VLOOKUP(LEFT(AU$6,FIND("(",AU$6)-1),基本シート!$B$6:$C$29,2,FALSE))</f>
        <v>63.605599999999995</v>
      </c>
      <c r="AV12" s="3">
        <v>0.81</v>
      </c>
      <c r="AW12" s="3">
        <f>IF($E12="〇",AV12*基本シート!$E$2,AV12*VLOOKUP(LEFT(AW$6,FIND("(",AW$6)-1),基本シート!$B$6:$C$29,2,FALSE))</f>
        <v>29.953800000000001</v>
      </c>
      <c r="AX12" s="3">
        <v>0.92</v>
      </c>
      <c r="AY12" s="3">
        <f>IF($E12="〇",AX12*基本シート!$E$2,AX12*VLOOKUP(LEFT(AY$6,FIND("(",AY$6)-1),基本シート!$B$6:$C$29,2,FALSE))</f>
        <v>27.517200000000003</v>
      </c>
      <c r="AZ12" s="3">
        <v>0.59</v>
      </c>
      <c r="BA12" s="3">
        <f>IF($E12="〇",AZ12*基本シート!$E$2,AZ12*VLOOKUP(LEFT(BA$6,FIND("(",BA$6)-1),基本シート!$B$6:$C$29,2,FALSE))</f>
        <v>17.646899999999999</v>
      </c>
      <c r="BB12" s="3">
        <v>0.51</v>
      </c>
      <c r="BC12" s="3">
        <f>IF($E12="〇",BB12*基本シート!$E$2,BB12*VLOOKUP(LEFT(BC$6,FIND("(",BC$6)-1),基本シート!$B$6:$C$29,2,FALSE))</f>
        <v>15.254100000000001</v>
      </c>
      <c r="BD12" s="3">
        <f t="shared" si="7"/>
        <v>9.44</v>
      </c>
      <c r="BE12" s="3">
        <f t="shared" si="8"/>
        <v>309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2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4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木曜日</v>
      </c>
      <c r="D13" s="6"/>
      <c r="E13" s="6" t="str">
        <f t="shared" si="10"/>
        <v/>
      </c>
      <c r="F13" s="6" t="s">
        <v>301</v>
      </c>
      <c r="G13" s="6" t="s">
        <v>302</v>
      </c>
      <c r="H13" s="3">
        <v>0.52</v>
      </c>
      <c r="I13" s="3">
        <f>IF($E13="〇",H13*基本シート!$E$2,H13*VLOOKUP(LEFT(I$6,FIND("(",I$6)-1),基本シート!$B$6:$C$29,2,FALSE))</f>
        <v>15.5532</v>
      </c>
      <c r="J13" s="3">
        <v>0.46</v>
      </c>
      <c r="K13" s="3">
        <f>IF($E13="〇",J13*基本シート!$E$2,J13*VLOOKUP(LEFT(K$6,FIND("(",K$6)-1),基本シート!$B$6:$C$29,2,FALSE))</f>
        <v>13.758600000000001</v>
      </c>
      <c r="L13" s="3">
        <v>0.49</v>
      </c>
      <c r="M13" s="3">
        <f>IF($E13="〇",L13*基本シート!$E$2,L13*VLOOKUP(LEFT(M$6,FIND("(",M$6)-1),基本シート!$B$6:$C$29,2,FALSE))</f>
        <v>14.655899999999999</v>
      </c>
      <c r="N13" s="3">
        <v>0.5</v>
      </c>
      <c r="O13" s="3">
        <f>IF($E13="〇",N13*基本シート!$E$2,N13*VLOOKUP(LEFT(O$6,FIND("(",O$6)-1),基本シート!$B$6:$C$29,2,FALSE))</f>
        <v>14.955</v>
      </c>
      <c r="P13" s="3">
        <v>0.68</v>
      </c>
      <c r="Q13" s="3">
        <f>IF($E13="〇",P13*基本シート!$E$2,P13*VLOOKUP(LEFT(Q$6,FIND("(",Q$6)-1),基本シート!$B$6:$C$29,2,FALSE))</f>
        <v>20.338800000000003</v>
      </c>
      <c r="R13" s="3">
        <v>0.83</v>
      </c>
      <c r="S13" s="3">
        <f>IF($E13="〇",R13*基本シート!$E$2,R13*VLOOKUP(LEFT(S$6,FIND("(",S$6)-1),基本シート!$B$6:$C$29,2,FALSE))</f>
        <v>24.825299999999999</v>
      </c>
      <c r="T13" s="3">
        <v>0.54</v>
      </c>
      <c r="U13" s="3">
        <f>IF($E13="〇",T13*基本シート!$E$2,T13*VLOOKUP(LEFT(U$6,FIND("(",U$6)-1),基本シート!$B$6:$C$29,2,FALSE))</f>
        <v>16.151400000000002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0.02</v>
      </c>
      <c r="Y13" s="3">
        <f>IF($E13="〇",X13*基本シート!$E$2,X13*VLOOKUP(LEFT(Y$6,FIND("(",Y$6)-1),基本シート!$B$6:$C$29,2,FALSE))</f>
        <v>0.73959999999999992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0.36979999999999996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22.557799999999997</v>
      </c>
      <c r="AT13" s="3">
        <v>1.65</v>
      </c>
      <c r="AU13" s="3">
        <f>IF($E13="〇",AT13*基本シート!$E$2,AT13*VLOOKUP(LEFT(AU$6,FIND("(",AU$6)-1),基本シート!$B$6:$C$29,2,FALSE))</f>
        <v>61.016999999999989</v>
      </c>
      <c r="AV13" s="3">
        <v>0.56999999999999995</v>
      </c>
      <c r="AW13" s="3">
        <f>IF($E13="〇",AV13*基本シート!$E$2,AV13*VLOOKUP(LEFT(AW$6,FIND("(",AW$6)-1),基本シート!$B$6:$C$29,2,FALSE))</f>
        <v>21.078599999999998</v>
      </c>
      <c r="AX13" s="3">
        <v>0.8</v>
      </c>
      <c r="AY13" s="3">
        <f>IF($E13="〇",AX13*基本シート!$E$2,AX13*VLOOKUP(LEFT(AY$6,FIND("(",AY$6)-1),基本シート!$B$6:$C$29,2,FALSE))</f>
        <v>23.928000000000001</v>
      </c>
      <c r="AZ13" s="3">
        <v>0.91</v>
      </c>
      <c r="BA13" s="3">
        <f>IF($E13="〇",AZ13*基本シート!$E$2,AZ13*VLOOKUP(LEFT(BA$6,FIND("(",BA$6)-1),基本シート!$B$6:$C$29,2,FALSE))</f>
        <v>27.2181</v>
      </c>
      <c r="BB13" s="3">
        <v>0.59</v>
      </c>
      <c r="BC13" s="3">
        <f>IF($E13="〇",BB13*基本シート!$E$2,BB13*VLOOKUP(LEFT(BC$6,FIND("(",BC$6)-1),基本シート!$B$6:$C$29,2,FALSE))</f>
        <v>17.646899999999999</v>
      </c>
      <c r="BD13" s="3">
        <f t="shared" si="7"/>
        <v>9.4599999999999973</v>
      </c>
      <c r="BE13" s="3">
        <f t="shared" si="8"/>
        <v>305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2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4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金曜日</v>
      </c>
      <c r="D14" s="6"/>
      <c r="E14" s="6" t="str">
        <f t="shared" si="10"/>
        <v/>
      </c>
      <c r="F14" s="6" t="s">
        <v>300</v>
      </c>
      <c r="G14" s="6" t="s">
        <v>302</v>
      </c>
      <c r="H14" s="3">
        <v>0.55000000000000004</v>
      </c>
      <c r="I14" s="3">
        <f>IF($E14="〇",H14*基本シート!$E$2,H14*VLOOKUP(LEFT(I$6,FIND("(",I$6)-1),基本シート!$B$6:$C$29,2,FALSE))</f>
        <v>16.450500000000002</v>
      </c>
      <c r="J14" s="3">
        <v>0.56000000000000005</v>
      </c>
      <c r="K14" s="3">
        <f>IF($E14="〇",J14*基本シート!$E$2,J14*VLOOKUP(LEFT(K$6,FIND("(",K$6)-1),基本シート!$B$6:$C$29,2,FALSE))</f>
        <v>16.749600000000001</v>
      </c>
      <c r="L14" s="3">
        <v>0.56000000000000005</v>
      </c>
      <c r="M14" s="3">
        <f>IF($E14="〇",L14*基本シート!$E$2,L14*VLOOKUP(LEFT(M$6,FIND("(",M$6)-1),基本シート!$B$6:$C$29,2,FALSE))</f>
        <v>16.749600000000001</v>
      </c>
      <c r="N14" s="3">
        <v>0.52</v>
      </c>
      <c r="O14" s="3">
        <f>IF($E14="〇",N14*基本シート!$E$2,N14*VLOOKUP(LEFT(O$6,FIND("(",O$6)-1),基本シート!$B$6:$C$29,2,FALSE))</f>
        <v>15.5532</v>
      </c>
      <c r="P14" s="3">
        <v>0.8</v>
      </c>
      <c r="Q14" s="3">
        <f>IF($E14="〇",P14*基本シート!$E$2,P14*VLOOKUP(LEFT(Q$6,FIND("(",Q$6)-1),基本シート!$B$6:$C$29,2,FALSE))</f>
        <v>23.928000000000001</v>
      </c>
      <c r="R14" s="3">
        <v>0.57999999999999996</v>
      </c>
      <c r="S14" s="3">
        <f>IF($E14="〇",R14*基本シート!$E$2,R14*VLOOKUP(LEFT(S$6,FIND("(",S$6)-1),基本シート!$B$6:$C$29,2,FALSE))</f>
        <v>17.347799999999999</v>
      </c>
      <c r="T14" s="3">
        <v>0.56000000000000005</v>
      </c>
      <c r="U14" s="3">
        <f>IF($E14="〇",T14*基本シート!$E$2,T14*VLOOKUP(LEFT(U$6,FIND("(",U$6)-1),基本シート!$B$6:$C$29,2,FALSE))</f>
        <v>16.749600000000001</v>
      </c>
      <c r="V14" s="3">
        <v>0.04</v>
      </c>
      <c r="W14" s="3">
        <f>IF($E14="〇",V14*基本シート!$E$2,V14*VLOOKUP(LEFT(W$6,FIND("(",W$6)-1),基本シート!$B$6:$C$29,2,FALSE))</f>
        <v>1.4791999999999998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0.73959999999999992</v>
      </c>
      <c r="AR14" s="3">
        <v>0.82</v>
      </c>
      <c r="AS14" s="3">
        <f>IF($E14="〇",AR14*基本シート!$E$2,AR14*VLOOKUP(LEFT(AS$6,FIND("(",AS$6)-1),基本シート!$B$6:$C$29,2,FALSE))</f>
        <v>30.323599999999995</v>
      </c>
      <c r="AT14" s="3">
        <v>1.7</v>
      </c>
      <c r="AU14" s="3">
        <f>IF($E14="〇",AT14*基本シート!$E$2,AT14*VLOOKUP(LEFT(AU$6,FIND("(",AU$6)-1),基本シート!$B$6:$C$29,2,FALSE))</f>
        <v>62.865999999999993</v>
      </c>
      <c r="AV14" s="3">
        <v>0.62</v>
      </c>
      <c r="AW14" s="3">
        <f>IF($E14="〇",AV14*基本シート!$E$2,AV14*VLOOKUP(LEFT(AW$6,FIND("(",AW$6)-1),基本シート!$B$6:$C$29,2,FALSE))</f>
        <v>22.927599999999998</v>
      </c>
      <c r="AX14" s="3">
        <v>0.57999999999999996</v>
      </c>
      <c r="AY14" s="3">
        <f>IF($E14="〇",AX14*基本シート!$E$2,AX14*VLOOKUP(LEFT(AY$6,FIND("(",AY$6)-1),基本シート!$B$6:$C$29,2,FALSE))</f>
        <v>17.347799999999999</v>
      </c>
      <c r="AZ14" s="3">
        <v>0.56999999999999995</v>
      </c>
      <c r="BA14" s="3">
        <f>IF($E14="〇",AZ14*基本シート!$E$2,AZ14*VLOOKUP(LEFT(BA$6,FIND("(",BA$6)-1),基本シート!$B$6:$C$29,2,FALSE))</f>
        <v>17.0487</v>
      </c>
      <c r="BB14" s="3">
        <v>0.52</v>
      </c>
      <c r="BC14" s="3">
        <f>IF($E14="〇",BB14*基本シート!$E$2,BB14*VLOOKUP(LEFT(BC$6,FIND("(",BC$6)-1),基本シート!$B$6:$C$29,2,FALSE))</f>
        <v>15.5532</v>
      </c>
      <c r="BD14" s="3">
        <f t="shared" si="7"/>
        <v>9</v>
      </c>
      <c r="BE14" s="3">
        <f t="shared" si="8"/>
        <v>292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2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4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土曜日</v>
      </c>
      <c r="D15" s="6"/>
      <c r="E15" s="6" t="str">
        <f t="shared" si="10"/>
        <v>〇</v>
      </c>
      <c r="F15" s="6" t="s">
        <v>300</v>
      </c>
      <c r="G15" s="6" t="s">
        <v>302</v>
      </c>
      <c r="H15" s="3">
        <v>0.59</v>
      </c>
      <c r="I15" s="3">
        <f>IF($E15="〇",H15*基本シート!$E$2,H15*VLOOKUP(LEFT(I$6,FIND("(",I$6)-1),基本シート!$B$6:$C$29,2,FALSE))</f>
        <v>17.646899999999999</v>
      </c>
      <c r="J15" s="3">
        <v>0.53</v>
      </c>
      <c r="K15" s="3">
        <f>IF($E15="〇",J15*基本シート!$E$2,J15*VLOOKUP(LEFT(K$6,FIND("(",K$6)-1),基本シート!$B$6:$C$29,2,FALSE))</f>
        <v>15.852300000000001</v>
      </c>
      <c r="L15" s="3">
        <v>0.59</v>
      </c>
      <c r="M15" s="3">
        <f>IF($E15="〇",L15*基本シート!$E$2,L15*VLOOKUP(LEFT(M$6,FIND("(",M$6)-1),基本シート!$B$6:$C$29,2,FALSE))</f>
        <v>17.646899999999999</v>
      </c>
      <c r="N15" s="3">
        <v>0.56000000000000005</v>
      </c>
      <c r="O15" s="3">
        <f>IF($E15="〇",N15*基本シート!$E$2,N15*VLOOKUP(LEFT(O$6,FIND("(",O$6)-1),基本シート!$B$6:$C$29,2,FALSE))</f>
        <v>16.749600000000001</v>
      </c>
      <c r="P15" s="3">
        <v>0.57999999999999996</v>
      </c>
      <c r="Q15" s="3">
        <f>IF($E15="〇",P15*基本シート!$E$2,P15*VLOOKUP(LEFT(Q$6,FIND("(",Q$6)-1),基本シート!$B$6:$C$29,2,FALSE))</f>
        <v>17.347799999999999</v>
      </c>
      <c r="R15" s="3">
        <v>0.56999999999999995</v>
      </c>
      <c r="S15" s="3">
        <f>IF($E15="〇",R15*基本シート!$E$2,R15*VLOOKUP(LEFT(S$6,FIND("(",S$6)-1),基本シート!$B$6:$C$29,2,FALSE))</f>
        <v>17.0487</v>
      </c>
      <c r="T15" s="3">
        <v>0.53</v>
      </c>
      <c r="U15" s="3">
        <f>IF($E15="〇",T15*基本シート!$E$2,T15*VLOOKUP(LEFT(U$6,FIND("(",U$6)-1),基本シート!$B$6:$C$29,2,FALSE))</f>
        <v>15.852300000000001</v>
      </c>
      <c r="V15" s="3">
        <v>0.53</v>
      </c>
      <c r="W15" s="3">
        <f>IF($E15="〇",V15*基本シート!$E$2,V15*VLOOKUP(LEFT(W$6,FIND("(",W$6)-1),基本シート!$B$6:$C$29,2,FALSE))</f>
        <v>15.852300000000001</v>
      </c>
      <c r="X15" s="3">
        <v>0.08</v>
      </c>
      <c r="Y15" s="3">
        <f>IF($E15="〇",X15*基本シート!$E$2,X15*VLOOKUP(LEFT(Y$6,FIND("(",Y$6)-1),基本シート!$B$6:$C$29,2,FALSE))</f>
        <v>2.3928000000000003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0.14000000000000001</v>
      </c>
      <c r="AS15" s="3">
        <f>IF($E15="〇",AR15*基本シート!$E$2,AR15*VLOOKUP(LEFT(AS$6,FIND("(",AS$6)-1),基本シート!$B$6:$C$29,2,FALSE))</f>
        <v>4.1874000000000002</v>
      </c>
      <c r="AT15" s="3">
        <v>2.02</v>
      </c>
      <c r="AU15" s="3">
        <f>IF($E15="〇",AT15*基本シート!$E$2,AT15*VLOOKUP(LEFT(AU$6,FIND("(",AU$6)-1),基本シート!$B$6:$C$29,2,FALSE))</f>
        <v>60.418199999999999</v>
      </c>
      <c r="AV15" s="3">
        <v>0.83</v>
      </c>
      <c r="AW15" s="3">
        <f>IF($E15="〇",AV15*基本シート!$E$2,AV15*VLOOKUP(LEFT(AW$6,FIND("(",AW$6)-1),基本シート!$B$6:$C$29,2,FALSE))</f>
        <v>24.825299999999999</v>
      </c>
      <c r="AX15" s="3">
        <v>0.6</v>
      </c>
      <c r="AY15" s="3">
        <f>IF($E15="〇",AX15*基本シート!$E$2,AX15*VLOOKUP(LEFT(AY$6,FIND("(",AY$6)-1),基本シート!$B$6:$C$29,2,FALSE))</f>
        <v>17.945999999999998</v>
      </c>
      <c r="AZ15" s="3">
        <v>0.53</v>
      </c>
      <c r="BA15" s="3">
        <f>IF($E15="〇",AZ15*基本シート!$E$2,AZ15*VLOOKUP(LEFT(BA$6,FIND("(",BA$6)-1),基本シート!$B$6:$C$29,2,FALSE))</f>
        <v>15.852300000000001</v>
      </c>
      <c r="BB15" s="3">
        <v>0.55000000000000004</v>
      </c>
      <c r="BC15" s="3">
        <f>IF($E15="〇",BB15*基本シート!$E$2,BB15*VLOOKUP(LEFT(BC$6,FIND("(",BC$6)-1),基本シート!$B$6:$C$29,2,FALSE))</f>
        <v>16.450500000000002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2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4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日曜日</v>
      </c>
      <c r="D16" s="6"/>
      <c r="E16" s="6" t="str">
        <f t="shared" si="10"/>
        <v>〇</v>
      </c>
      <c r="F16" s="6" t="s">
        <v>302</v>
      </c>
      <c r="G16" s="6" t="s">
        <v>300</v>
      </c>
      <c r="H16" s="3">
        <v>0.52</v>
      </c>
      <c r="I16" s="3">
        <f>IF($E16="〇",H16*基本シート!$E$2,H16*VLOOKUP(LEFT(I$6,FIND("(",I$6)-1),基本シート!$B$6:$C$29,2,FALSE))</f>
        <v>15.5532</v>
      </c>
      <c r="J16" s="3">
        <v>0.52</v>
      </c>
      <c r="K16" s="3">
        <f>IF($E16="〇",J16*基本シート!$E$2,J16*VLOOKUP(LEFT(K$6,FIND("(",K$6)-1),基本シート!$B$6:$C$29,2,FALSE))</f>
        <v>15.5532</v>
      </c>
      <c r="L16" s="3">
        <v>0.52</v>
      </c>
      <c r="M16" s="3">
        <f>IF($E16="〇",L16*基本シート!$E$2,L16*VLOOKUP(LEFT(M$6,FIND("(",M$6)-1),基本シート!$B$6:$C$29,2,FALSE))</f>
        <v>15.5532</v>
      </c>
      <c r="N16" s="3">
        <v>0.49</v>
      </c>
      <c r="O16" s="3">
        <f>IF($E16="〇",N16*基本シート!$E$2,N16*VLOOKUP(LEFT(O$6,FIND("(",O$6)-1),基本シート!$B$6:$C$29,2,FALSE))</f>
        <v>14.655899999999999</v>
      </c>
      <c r="P16" s="3">
        <v>0.56000000000000005</v>
      </c>
      <c r="Q16" s="3">
        <f>IF($E16="〇",P16*基本シート!$E$2,P16*VLOOKUP(LEFT(Q$6,FIND("(",Q$6)-1),基本シート!$B$6:$C$29,2,FALSE))</f>
        <v>16.749600000000001</v>
      </c>
      <c r="R16" s="3">
        <v>0.54</v>
      </c>
      <c r="S16" s="3">
        <f>IF($E16="〇",R16*基本シート!$E$2,R16*VLOOKUP(LEFT(S$6,FIND("(",S$6)-1),基本シート!$B$6:$C$29,2,FALSE))</f>
        <v>16.151400000000002</v>
      </c>
      <c r="T16" s="3">
        <v>0.48</v>
      </c>
      <c r="U16" s="3">
        <f>IF($E16="〇",T16*基本シート!$E$2,T16*VLOOKUP(LEFT(U$6,FIND("(",U$6)-1),基本シート!$B$6:$C$29,2,FALSE))</f>
        <v>14.3568</v>
      </c>
      <c r="V16" s="3">
        <v>0.03</v>
      </c>
      <c r="W16" s="3">
        <f>IF($E16="〇",V16*基本シート!$E$2,V16*VLOOKUP(LEFT(W$6,FIND("(",W$6)-1),基本シート!$B$6:$C$29,2,FALSE))</f>
        <v>0.89729999999999999</v>
      </c>
      <c r="X16" s="3">
        <v>0.01</v>
      </c>
      <c r="Y16" s="3">
        <f>IF($E16="〇",X16*基本シート!$E$2,X16*VLOOKUP(LEFT(Y$6,FIND("(",Y$6)-1),基本シート!$B$6:$C$29,2,FALSE))</f>
        <v>0.29910000000000003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0.59820000000000007</v>
      </c>
      <c r="AP16" s="3">
        <v>7.0000000000000007E-2</v>
      </c>
      <c r="AQ16" s="3">
        <f>IF($E16="〇",AP16*基本シート!$E$2,AP16*VLOOKUP(LEFT(AQ$6,FIND("(",AQ$6)-1),基本シート!$B$6:$C$29,2,FALSE))</f>
        <v>2.0937000000000001</v>
      </c>
      <c r="AR16" s="3">
        <v>0.69</v>
      </c>
      <c r="AS16" s="3">
        <f>IF($E16="〇",AR16*基本シート!$E$2,AR16*VLOOKUP(LEFT(AS$6,FIND("(",AS$6)-1),基本シート!$B$6:$C$29,2,FALSE))</f>
        <v>20.637899999999998</v>
      </c>
      <c r="AT16" s="3">
        <v>1.63</v>
      </c>
      <c r="AU16" s="3">
        <f>IF($E16="〇",AT16*基本シート!$E$2,AT16*VLOOKUP(LEFT(AU$6,FIND("(",AU$6)-1),基本シート!$B$6:$C$29,2,FALSE))</f>
        <v>48.753299999999996</v>
      </c>
      <c r="AV16" s="3">
        <v>0.62</v>
      </c>
      <c r="AW16" s="3">
        <f>IF($E16="〇",AV16*基本シート!$E$2,AV16*VLOOKUP(LEFT(AW$6,FIND("(",AW$6)-1),基本シート!$B$6:$C$29,2,FALSE))</f>
        <v>18.5442</v>
      </c>
      <c r="AX16" s="3">
        <v>0.6</v>
      </c>
      <c r="AY16" s="3">
        <f>IF($E16="〇",AX16*基本シート!$E$2,AX16*VLOOKUP(LEFT(AY$6,FIND("(",AY$6)-1),基本シート!$B$6:$C$29,2,FALSE))</f>
        <v>17.945999999999998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0.5</v>
      </c>
      <c r="BC16" s="3">
        <f>IF($E16="〇",BB16*基本シート!$E$2,BB16*VLOOKUP(LEFT(BC$6,FIND("(",BC$6)-1),基本シート!$B$6:$C$29,2,FALSE))</f>
        <v>14.955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2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4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月曜日</v>
      </c>
      <c r="D17" s="6"/>
      <c r="E17" s="6" t="str">
        <f t="shared" si="10"/>
        <v/>
      </c>
      <c r="F17" s="6" t="s">
        <v>302</v>
      </c>
      <c r="G17" s="6" t="s">
        <v>302</v>
      </c>
      <c r="H17" s="3">
        <v>0.46</v>
      </c>
      <c r="I17" s="3">
        <f>IF($E17="〇",H17*基本シート!$E$2,H17*VLOOKUP(LEFT(I$6,FIND("(",I$6)-1),基本シート!$B$6:$C$29,2,FALSE))</f>
        <v>13.758600000000001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0.46</v>
      </c>
      <c r="M17" s="3">
        <f>IF($E17="〇",L17*基本シート!$E$2,L17*VLOOKUP(LEFT(M$6,FIND("(",M$6)-1),基本シート!$B$6:$C$29,2,FALSE))</f>
        <v>13.758600000000001</v>
      </c>
      <c r="N17" s="3">
        <v>0.52</v>
      </c>
      <c r="O17" s="3">
        <f>IF($E17="〇",N17*基本シート!$E$2,N17*VLOOKUP(LEFT(O$6,FIND("(",O$6)-1),基本シート!$B$6:$C$29,2,FALSE))</f>
        <v>15.5532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0.53</v>
      </c>
      <c r="S17" s="3">
        <f>IF($E17="〇",R17*基本シート!$E$2,R17*VLOOKUP(LEFT(S$6,FIND("(",S$6)-1),基本シート!$B$6:$C$29,2,FALSE))</f>
        <v>15.852300000000001</v>
      </c>
      <c r="T17" s="3">
        <v>0.78</v>
      </c>
      <c r="U17" s="3">
        <f>IF($E17="〇",T17*基本シート!$E$2,T17*VLOOKUP(LEFT(U$6,FIND("(",U$6)-1),基本シート!$B$6:$C$29,2,FALSE))</f>
        <v>23.329800000000002</v>
      </c>
      <c r="V17" s="3">
        <v>0.11</v>
      </c>
      <c r="W17" s="3">
        <f>IF($E17="〇",V17*基本シート!$E$2,V17*VLOOKUP(LEFT(W$6,FIND("(",W$6)-1),基本シート!$B$6:$C$29,2,FALSE))</f>
        <v>4.0678000000000001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1.1093999999999999</v>
      </c>
      <c r="AR17" s="3">
        <v>0.44</v>
      </c>
      <c r="AS17" s="3">
        <f>IF($E17="〇",AR17*基本シート!$E$2,AR17*VLOOKUP(LEFT(AS$6,FIND("(",AS$6)-1),基本シート!$B$6:$C$29,2,FALSE))</f>
        <v>16.2712</v>
      </c>
      <c r="AT17" s="3">
        <v>1.08</v>
      </c>
      <c r="AU17" s="3">
        <f>IF($E17="〇",AT17*基本シート!$E$2,AT17*VLOOKUP(LEFT(AU$6,FIND("(",AU$6)-1),基本シート!$B$6:$C$29,2,FALSE))</f>
        <v>39.938400000000001</v>
      </c>
      <c r="AV17" s="3">
        <v>0.74</v>
      </c>
      <c r="AW17" s="3">
        <f>IF($E17="〇",AV17*基本シート!$E$2,AV17*VLOOKUP(LEFT(AW$6,FIND("(",AW$6)-1),基本シート!$B$6:$C$29,2,FALSE))</f>
        <v>27.365199999999998</v>
      </c>
      <c r="AX17" s="3">
        <v>0.5</v>
      </c>
      <c r="AY17" s="3">
        <f>IF($E17="〇",AX17*基本シート!$E$2,AX17*VLOOKUP(LEFT(AY$6,FIND("(",AY$6)-1),基本シート!$B$6:$C$29,2,FALSE))</f>
        <v>14.955</v>
      </c>
      <c r="AZ17" s="3">
        <v>0.47</v>
      </c>
      <c r="BA17" s="3">
        <f>IF($E17="〇",AZ17*基本シート!$E$2,AZ17*VLOOKUP(LEFT(BA$6,FIND("(",BA$6)-1),基本シート!$B$6:$C$29,2,FALSE))</f>
        <v>14.057699999999999</v>
      </c>
      <c r="BB17" s="3">
        <v>0.49</v>
      </c>
      <c r="BC17" s="3">
        <f>IF($E17="〇",BB17*基本シート!$E$2,BB17*VLOOKUP(LEFT(BC$6,FIND("(",BC$6)-1),基本シート!$B$6:$C$29,2,FALSE))</f>
        <v>14.655899999999999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2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4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火曜日</v>
      </c>
      <c r="D18" s="6"/>
      <c r="E18" s="6" t="str">
        <f t="shared" si="10"/>
        <v/>
      </c>
      <c r="F18" s="6" t="s">
        <v>300</v>
      </c>
      <c r="G18" s="6" t="s">
        <v>301</v>
      </c>
      <c r="H18" s="3">
        <v>0.51</v>
      </c>
      <c r="I18" s="3">
        <f>IF($E18="〇",H18*基本シート!$E$2,H18*VLOOKUP(LEFT(I$6,FIND("(",I$6)-1),基本シート!$B$6:$C$29,2,FALSE))</f>
        <v>15.254100000000001</v>
      </c>
      <c r="J18" s="3">
        <v>0.51</v>
      </c>
      <c r="K18" s="3">
        <f>IF($E18="〇",J18*基本シート!$E$2,J18*VLOOKUP(LEFT(K$6,FIND("(",K$6)-1),基本シート!$B$6:$C$29,2,FALSE))</f>
        <v>15.254100000000001</v>
      </c>
      <c r="L18" s="3">
        <v>0.5</v>
      </c>
      <c r="M18" s="3">
        <f>IF($E18="〇",L18*基本シート!$E$2,L18*VLOOKUP(LEFT(M$6,FIND("(",M$6)-1),基本シート!$B$6:$C$29,2,FALSE))</f>
        <v>14.955</v>
      </c>
      <c r="N18" s="3">
        <v>0.53</v>
      </c>
      <c r="O18" s="3">
        <f>IF($E18="〇",N18*基本シート!$E$2,N18*VLOOKUP(LEFT(O$6,FIND("(",O$6)-1),基本シート!$B$6:$C$29,2,FALSE))</f>
        <v>15.852300000000001</v>
      </c>
      <c r="P18" s="3">
        <v>0.72</v>
      </c>
      <c r="Q18" s="3">
        <f>IF($E18="〇",P18*基本シート!$E$2,P18*VLOOKUP(LEFT(Q$6,FIND("(",Q$6)-1),基本シート!$B$6:$C$29,2,FALSE))</f>
        <v>21.5352</v>
      </c>
      <c r="R18" s="3">
        <v>0.63</v>
      </c>
      <c r="S18" s="3">
        <f>IF($E18="〇",R18*基本シート!$E$2,R18*VLOOKUP(LEFT(S$6,FIND("(",S$6)-1),基本シート!$B$6:$C$29,2,FALSE))</f>
        <v>18.843299999999999</v>
      </c>
      <c r="T18" s="3">
        <v>0.63</v>
      </c>
      <c r="U18" s="3">
        <f>IF($E18="〇",T18*基本シート!$E$2,T18*VLOOKUP(LEFT(U$6,FIND("(",U$6)-1),基本シート!$B$6:$C$29,2,FALSE))</f>
        <v>18.843299999999999</v>
      </c>
      <c r="V18" s="3">
        <v>0.05</v>
      </c>
      <c r="W18" s="3">
        <f>IF($E18="〇",V18*基本シート!$E$2,V18*VLOOKUP(LEFT(W$6,FIND("(",W$6)-1),基本シート!$B$6:$C$29,2,FALSE))</f>
        <v>1.849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1.32</v>
      </c>
      <c r="AS18" s="3">
        <f>IF($E18="〇",AR18*基本シート!$E$2,AR18*VLOOKUP(LEFT(AS$6,FIND("(",AS$6)-1),基本シート!$B$6:$C$29,2,FALSE))</f>
        <v>48.813600000000001</v>
      </c>
      <c r="AT18" s="3">
        <v>1.49</v>
      </c>
      <c r="AU18" s="3">
        <f>IF($E18="〇",AT18*基本シート!$E$2,AT18*VLOOKUP(LEFT(AU$6,FIND("(",AU$6)-1),基本シート!$B$6:$C$29,2,FALSE))</f>
        <v>55.100199999999994</v>
      </c>
      <c r="AV18" s="3">
        <v>1.06</v>
      </c>
      <c r="AW18" s="3">
        <f>IF($E18="〇",AV18*基本シート!$E$2,AV18*VLOOKUP(LEFT(AW$6,FIND("(",AW$6)-1),基本シート!$B$6:$C$29,2,FALSE))</f>
        <v>39.198799999999999</v>
      </c>
      <c r="AX18" s="3">
        <v>0.55000000000000004</v>
      </c>
      <c r="AY18" s="3">
        <f>IF($E18="〇",AX18*基本シート!$E$2,AX18*VLOOKUP(LEFT(AY$6,FIND("(",AY$6)-1),基本シート!$B$6:$C$29,2,FALSE))</f>
        <v>16.450500000000002</v>
      </c>
      <c r="AZ18" s="3">
        <v>0.47</v>
      </c>
      <c r="BA18" s="3">
        <f>IF($E18="〇",AZ18*基本シート!$E$2,AZ18*VLOOKUP(LEFT(BA$6,FIND("(",BA$6)-1),基本シート!$B$6:$C$29,2,FALSE))</f>
        <v>14.057699999999999</v>
      </c>
      <c r="BB18" s="3">
        <v>0.48</v>
      </c>
      <c r="BC18" s="3">
        <f>IF($E18="〇",BB18*基本シート!$E$2,BB18*VLOOKUP(LEFT(BC$6,FIND("(",BC$6)-1),基本シート!$B$6:$C$29,2,FALSE))</f>
        <v>14.3568</v>
      </c>
      <c r="BD18" s="3">
        <f t="shared" si="7"/>
        <v>9.4700000000000006</v>
      </c>
      <c r="BE18" s="3">
        <f t="shared" si="8"/>
        <v>311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2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4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水曜日</v>
      </c>
      <c r="D19" s="6"/>
      <c r="E19" s="6" t="str">
        <f t="shared" si="10"/>
        <v/>
      </c>
      <c r="F19" s="6" t="s">
        <v>302</v>
      </c>
      <c r="G19" s="6" t="s">
        <v>302</v>
      </c>
      <c r="H19" s="3">
        <v>0.49</v>
      </c>
      <c r="I19" s="3">
        <f>IF($E19="〇",H19*基本シート!$E$2,H19*VLOOKUP(LEFT(I$6,FIND("(",I$6)-1),基本シート!$B$6:$C$29,2,FALSE))</f>
        <v>14.655899999999999</v>
      </c>
      <c r="J19" s="3">
        <v>0.47</v>
      </c>
      <c r="K19" s="3">
        <f>IF($E19="〇",J19*基本シート!$E$2,J19*VLOOKUP(LEFT(K$6,FIND("(",K$6)-1),基本シート!$B$6:$C$29,2,FALSE))</f>
        <v>14.057699999999999</v>
      </c>
      <c r="L19" s="3">
        <v>0.49</v>
      </c>
      <c r="M19" s="3">
        <f>IF($E19="〇",L19*基本シート!$E$2,L19*VLOOKUP(LEFT(M$6,FIND("(",M$6)-1),基本シート!$B$6:$C$29,2,FALSE))</f>
        <v>14.655899999999999</v>
      </c>
      <c r="N19" s="3">
        <v>0.47</v>
      </c>
      <c r="O19" s="3">
        <f>IF($E19="〇",N19*基本シート!$E$2,N19*VLOOKUP(LEFT(O$6,FIND("(",O$6)-1),基本シート!$B$6:$C$29,2,FALSE))</f>
        <v>14.057699999999999</v>
      </c>
      <c r="P19" s="3">
        <v>0.66</v>
      </c>
      <c r="Q19" s="3">
        <f>IF($E19="〇",P19*基本シート!$E$2,P19*VLOOKUP(LEFT(Q$6,FIND("(",Q$6)-1),基本シート!$B$6:$C$29,2,FALSE))</f>
        <v>19.740600000000001</v>
      </c>
      <c r="R19" s="3">
        <v>0.57999999999999996</v>
      </c>
      <c r="S19" s="3">
        <f>IF($E19="〇",R19*基本シート!$E$2,R19*VLOOKUP(LEFT(S$6,FIND("(",S$6)-1),基本シート!$B$6:$C$29,2,FALSE))</f>
        <v>17.347799999999999</v>
      </c>
      <c r="T19" s="3">
        <v>0.68</v>
      </c>
      <c r="U19" s="3">
        <f>IF($E19="〇",T19*基本シート!$E$2,T19*VLOOKUP(LEFT(U$6,FIND("(",U$6)-1),基本シート!$B$6:$C$29,2,FALSE))</f>
        <v>20.338800000000003</v>
      </c>
      <c r="V19" s="3">
        <v>0.02</v>
      </c>
      <c r="W19" s="3">
        <f>IF($E19="〇",V19*基本シート!$E$2,V19*VLOOKUP(LEFT(W$6,FIND("(",W$6)-1),基本シート!$B$6:$C$29,2,FALSE))</f>
        <v>0.73959999999999992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0.82</v>
      </c>
      <c r="AS19" s="3">
        <f>IF($E19="〇",AR19*基本シート!$E$2,AR19*VLOOKUP(LEFT(AS$6,FIND("(",AS$6)-1),基本シート!$B$6:$C$29,2,FALSE))</f>
        <v>30.323599999999995</v>
      </c>
      <c r="AT19" s="3">
        <v>1.81</v>
      </c>
      <c r="AU19" s="3">
        <f>IF($E19="〇",AT19*基本シート!$E$2,AT19*VLOOKUP(LEFT(AU$6,FIND("(",AU$6)-1),基本シート!$B$6:$C$29,2,FALSE))</f>
        <v>66.933799999999991</v>
      </c>
      <c r="AV19" s="3">
        <v>0.83</v>
      </c>
      <c r="AW19" s="3">
        <f>IF($E19="〇",AV19*基本シート!$E$2,AV19*VLOOKUP(LEFT(AW$6,FIND("(",AW$6)-1),基本シート!$B$6:$C$29,2,FALSE))</f>
        <v>30.693399999999997</v>
      </c>
      <c r="AX19" s="3">
        <v>0.97</v>
      </c>
      <c r="AY19" s="3">
        <f>IF($E19="〇",AX19*基本シート!$E$2,AX19*VLOOKUP(LEFT(AY$6,FIND("(",AY$6)-1),基本シート!$B$6:$C$29,2,FALSE))</f>
        <v>29.012699999999999</v>
      </c>
      <c r="AZ19" s="3">
        <v>0.61</v>
      </c>
      <c r="BA19" s="3">
        <f>IF($E19="〇",AZ19*基本シート!$E$2,AZ19*VLOOKUP(LEFT(BA$6,FIND("(",BA$6)-1),基本シート!$B$6:$C$29,2,FALSE))</f>
        <v>18.245100000000001</v>
      </c>
      <c r="BB19" s="3">
        <v>0.57999999999999996</v>
      </c>
      <c r="BC19" s="3">
        <f>IF($E19="〇",BB19*基本シート!$E$2,BB19*VLOOKUP(LEFT(BC$6,FIND("(",BC$6)-1),基本シート!$B$6:$C$29,2,FALSE))</f>
        <v>17.347799999999999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2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4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木曜日</v>
      </c>
      <c r="D20" s="6"/>
      <c r="E20" s="6" t="str">
        <f t="shared" si="10"/>
        <v/>
      </c>
      <c r="F20" s="6" t="s">
        <v>302</v>
      </c>
      <c r="G20" s="6" t="s">
        <v>300</v>
      </c>
      <c r="H20" s="3">
        <v>0.54</v>
      </c>
      <c r="I20" s="3">
        <f>IF($E20="〇",H20*基本シート!$E$2,H20*VLOOKUP(LEFT(I$6,FIND("(",I$6)-1),基本シート!$B$6:$C$29,2,FALSE))</f>
        <v>16.151400000000002</v>
      </c>
      <c r="J20" s="3">
        <v>0.48</v>
      </c>
      <c r="K20" s="3">
        <f>IF($E20="〇",J20*基本シート!$E$2,J20*VLOOKUP(LEFT(K$6,FIND("(",K$6)-1),基本シート!$B$6:$C$29,2,FALSE))</f>
        <v>14.3568</v>
      </c>
      <c r="L20" s="3">
        <v>0.53</v>
      </c>
      <c r="M20" s="3">
        <f>IF($E20="〇",L20*基本シート!$E$2,L20*VLOOKUP(LEFT(M$6,FIND("(",M$6)-1),基本シート!$B$6:$C$29,2,FALSE))</f>
        <v>15.852300000000001</v>
      </c>
      <c r="N20" s="3">
        <v>0.5</v>
      </c>
      <c r="O20" s="3">
        <f>IF($E20="〇",N20*基本シート!$E$2,N20*VLOOKUP(LEFT(O$6,FIND("(",O$6)-1),基本シート!$B$6:$C$29,2,FALSE))</f>
        <v>14.955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0.68</v>
      </c>
      <c r="S20" s="3">
        <f>IF($E20="〇",R20*基本シート!$E$2,R20*VLOOKUP(LEFT(S$6,FIND("(",S$6)-1),基本シート!$B$6:$C$29,2,FALSE))</f>
        <v>20.338800000000003</v>
      </c>
      <c r="T20" s="3">
        <v>0.56999999999999995</v>
      </c>
      <c r="U20" s="3">
        <f>IF($E20="〇",T20*基本シート!$E$2,T20*VLOOKUP(LEFT(U$6,FIND("(",U$6)-1),基本シート!$B$6:$C$29,2,FALSE))</f>
        <v>17.0487</v>
      </c>
      <c r="V20" s="3">
        <v>0.06</v>
      </c>
      <c r="W20" s="3">
        <f>IF($E20="〇",V20*基本シート!$E$2,V20*VLOOKUP(LEFT(W$6,FIND("(",W$6)-1),基本シート!$B$6:$C$29,2,FALSE))</f>
        <v>2.2187999999999999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0.73959999999999992</v>
      </c>
      <c r="AR20" s="3">
        <v>0.02</v>
      </c>
      <c r="AS20" s="3">
        <f>IF($E20="〇",AR20*基本シート!$E$2,AR20*VLOOKUP(LEFT(AS$6,FIND("(",AS$6)-1),基本シート!$B$6:$C$29,2,FALSE))</f>
        <v>0.73959999999999992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42.157199999999996</v>
      </c>
      <c r="AX20" s="3">
        <v>0.64</v>
      </c>
      <c r="AY20" s="3">
        <f>IF($E20="〇",AX20*基本シート!$E$2,AX20*VLOOKUP(LEFT(AY$6,FIND("(",AY$6)-1),基本シート!$B$6:$C$29,2,FALSE))</f>
        <v>19.142400000000002</v>
      </c>
      <c r="AZ20" s="3">
        <v>0.5</v>
      </c>
      <c r="BA20" s="3">
        <f>IF($E20="〇",AZ20*基本シート!$E$2,AZ20*VLOOKUP(LEFT(BA$6,FIND("(",BA$6)-1),基本シート!$B$6:$C$29,2,FALSE))</f>
        <v>14.955</v>
      </c>
      <c r="BB20" s="3">
        <v>0.5</v>
      </c>
      <c r="BC20" s="3">
        <f>IF($E20="〇",BB20*基本シート!$E$2,BB20*VLOOKUP(LEFT(BC$6,FIND("(",BC$6)-1),基本シート!$B$6:$C$29,2,FALSE))</f>
        <v>14.955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2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4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金曜日</v>
      </c>
      <c r="D21" s="6"/>
      <c r="E21" s="6" t="str">
        <f t="shared" si="10"/>
        <v/>
      </c>
      <c r="F21" s="6" t="s">
        <v>300</v>
      </c>
      <c r="G21" s="6" t="s">
        <v>302</v>
      </c>
      <c r="H21" s="3">
        <v>0.5</v>
      </c>
      <c r="I21" s="3">
        <f>IF($E21="〇",H21*基本シート!$E$2,H21*VLOOKUP(LEFT(I$6,FIND("(",I$6)-1),基本シート!$B$6:$C$29,2,FALSE))</f>
        <v>14.955</v>
      </c>
      <c r="J21" s="3">
        <v>0.49</v>
      </c>
      <c r="K21" s="3">
        <f>IF($E21="〇",J21*基本シート!$E$2,J21*VLOOKUP(LEFT(K$6,FIND("(",K$6)-1),基本シート!$B$6:$C$29,2,FALSE))</f>
        <v>14.655899999999999</v>
      </c>
      <c r="L21" s="3">
        <v>0.44</v>
      </c>
      <c r="M21" s="3">
        <f>IF($E21="〇",L21*基本シート!$E$2,L21*VLOOKUP(LEFT(M$6,FIND("(",M$6)-1),基本シート!$B$6:$C$29,2,FALSE))</f>
        <v>13.160400000000001</v>
      </c>
      <c r="N21" s="3">
        <v>0.56999999999999995</v>
      </c>
      <c r="O21" s="3">
        <f>IF($E21="〇",N21*基本シート!$E$2,N21*VLOOKUP(LEFT(O$6,FIND("(",O$6)-1),基本シート!$B$6:$C$29,2,FALSE))</f>
        <v>17.0487</v>
      </c>
      <c r="P21" s="3">
        <v>0.68</v>
      </c>
      <c r="Q21" s="3">
        <f>IF($E21="〇",P21*基本シート!$E$2,P21*VLOOKUP(LEFT(Q$6,FIND("(",Q$6)-1),基本シート!$B$6:$C$29,2,FALSE))</f>
        <v>20.338800000000003</v>
      </c>
      <c r="R21" s="3">
        <v>0.53</v>
      </c>
      <c r="S21" s="3">
        <f>IF($E21="〇",R21*基本シート!$E$2,R21*VLOOKUP(LEFT(S$6,FIND("(",S$6)-1),基本シート!$B$6:$C$29,2,FALSE))</f>
        <v>15.852300000000001</v>
      </c>
      <c r="T21" s="3">
        <v>0.5</v>
      </c>
      <c r="U21" s="3">
        <f>IF($E21="〇",T21*基本シート!$E$2,T21*VLOOKUP(LEFT(U$6,FIND("(",U$6)-1),基本シート!$B$6:$C$29,2,FALSE))</f>
        <v>14.955</v>
      </c>
      <c r="V21" s="3">
        <v>0.03</v>
      </c>
      <c r="W21" s="3">
        <f>IF($E21="〇",V21*基本シート!$E$2,V21*VLOOKUP(LEFT(W$6,FIND("(",W$6)-1),基本シート!$B$6:$C$29,2,FALSE))</f>
        <v>1.1093999999999999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0.36979999999999996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0.02</v>
      </c>
      <c r="AS21" s="3">
        <f>IF($E21="〇",AR21*基本シート!$E$2,AR21*VLOOKUP(LEFT(AS$6,FIND("(",AS$6)-1),基本シート!$B$6:$C$29,2,FALSE))</f>
        <v>0.73959999999999992</v>
      </c>
      <c r="AT21" s="3">
        <v>0.59</v>
      </c>
      <c r="AU21" s="3">
        <f>IF($E21="〇",AT21*基本シート!$E$2,AT21*VLOOKUP(LEFT(AU$6,FIND("(",AU$6)-1),基本シート!$B$6:$C$29,2,FALSE))</f>
        <v>21.818199999999997</v>
      </c>
      <c r="AV21" s="3">
        <v>0.69</v>
      </c>
      <c r="AW21" s="3">
        <f>IF($E21="〇",AV21*基本シート!$E$2,AV21*VLOOKUP(LEFT(AW$6,FIND("(",AW$6)-1),基本シート!$B$6:$C$29,2,FALSE))</f>
        <v>25.516199999999994</v>
      </c>
      <c r="AX21" s="3">
        <v>0.65</v>
      </c>
      <c r="AY21" s="3">
        <f>IF($E21="〇",AX21*基本シート!$E$2,AX21*VLOOKUP(LEFT(AY$6,FIND("(",AY$6)-1),基本シート!$B$6:$C$29,2,FALSE))</f>
        <v>19.441500000000001</v>
      </c>
      <c r="AZ21" s="3">
        <v>0.56000000000000005</v>
      </c>
      <c r="BA21" s="3">
        <f>IF($E21="〇",AZ21*基本シート!$E$2,AZ21*VLOOKUP(LEFT(BA$6,FIND("(",BA$6)-1),基本シート!$B$6:$C$29,2,FALSE))</f>
        <v>16.749600000000001</v>
      </c>
      <c r="BB21" s="3">
        <v>0.48</v>
      </c>
      <c r="BC21" s="3">
        <f>IF($E21="〇",BB21*基本シート!$E$2,BB21*VLOOKUP(LEFT(BC$6,FIND("(",BC$6)-1),基本シート!$B$6:$C$29,2,FALSE))</f>
        <v>14.3568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4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土曜日</v>
      </c>
      <c r="D22" s="6"/>
      <c r="E22" s="6" t="str">
        <f t="shared" si="10"/>
        <v>〇</v>
      </c>
      <c r="F22" s="6" t="s">
        <v>302</v>
      </c>
      <c r="G22" s="6" t="s">
        <v>302</v>
      </c>
      <c r="H22" s="3">
        <v>0.51</v>
      </c>
      <c r="I22" s="3">
        <f>IF($E22="〇",H22*基本シート!$E$2,H22*VLOOKUP(LEFT(I$6,FIND("(",I$6)-1),基本シート!$B$6:$C$29,2,FALSE))</f>
        <v>15.254100000000001</v>
      </c>
      <c r="J22" s="3">
        <v>0.51</v>
      </c>
      <c r="K22" s="3">
        <f>IF($E22="〇",J22*基本シート!$E$2,J22*VLOOKUP(LEFT(K$6,FIND("(",K$6)-1),基本シート!$B$6:$C$29,2,FALSE))</f>
        <v>15.254100000000001</v>
      </c>
      <c r="L22" s="3">
        <v>0.52</v>
      </c>
      <c r="M22" s="3">
        <f>IF($E22="〇",L22*基本シート!$E$2,L22*VLOOKUP(LEFT(M$6,FIND("(",M$6)-1),基本シート!$B$6:$C$29,2,FALSE))</f>
        <v>15.5532</v>
      </c>
      <c r="N22" s="3">
        <v>0.56000000000000005</v>
      </c>
      <c r="O22" s="3">
        <f>IF($E22="〇",N22*基本シート!$E$2,N22*VLOOKUP(LEFT(O$6,FIND("(",O$6)-1),基本シート!$B$6:$C$29,2,FALSE))</f>
        <v>16.749600000000001</v>
      </c>
      <c r="P22" s="3">
        <v>0.62</v>
      </c>
      <c r="Q22" s="3">
        <f>IF($E22="〇",P22*基本シート!$E$2,P22*VLOOKUP(LEFT(Q$6,FIND("(",Q$6)-1),基本シート!$B$6:$C$29,2,FALSE))</f>
        <v>18.5442</v>
      </c>
      <c r="R22" s="3">
        <v>0.54</v>
      </c>
      <c r="S22" s="3">
        <f>IF($E22="〇",R22*基本シート!$E$2,R22*VLOOKUP(LEFT(S$6,FIND("(",S$6)-1),基本シート!$B$6:$C$29,2,FALSE))</f>
        <v>16.151400000000002</v>
      </c>
      <c r="T22" s="3">
        <v>0.52</v>
      </c>
      <c r="U22" s="3">
        <f>IF($E22="〇",T22*基本シート!$E$2,T22*VLOOKUP(LEFT(U$6,FIND("(",U$6)-1),基本シート!$B$6:$C$29,2,FALSE))</f>
        <v>15.5532</v>
      </c>
      <c r="V22" s="3">
        <v>0.03</v>
      </c>
      <c r="W22" s="3">
        <f>IF($E22="〇",V22*基本シート!$E$2,V22*VLOOKUP(LEFT(W$6,FIND("(",W$6)-1),基本シート!$B$6:$C$29,2,FALSE))</f>
        <v>0.89729999999999999</v>
      </c>
      <c r="X22" s="3">
        <v>0.01</v>
      </c>
      <c r="Y22" s="3">
        <f>IF($E22="〇",X22*基本シート!$E$2,X22*VLOOKUP(LEFT(Y$6,FIND("(",Y$6)-1),基本シート!$B$6:$C$29,2,FALSE))</f>
        <v>0.29910000000000003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0.29910000000000003</v>
      </c>
      <c r="AP22" s="3">
        <v>0.01</v>
      </c>
      <c r="AQ22" s="3">
        <f>IF($E22="〇",AP22*基本シート!$E$2,AP22*VLOOKUP(LEFT(AQ$6,FIND("(",AQ$6)-1),基本シート!$B$6:$C$29,2,FALSE))</f>
        <v>0.29910000000000003</v>
      </c>
      <c r="AR22" s="3">
        <v>0.32</v>
      </c>
      <c r="AS22" s="3">
        <f>IF($E22="〇",AR22*基本シート!$E$2,AR22*VLOOKUP(LEFT(AS$6,FIND("(",AS$6)-1),基本シート!$B$6:$C$29,2,FALSE))</f>
        <v>9.571200000000001</v>
      </c>
      <c r="AT22" s="3">
        <v>0.75</v>
      </c>
      <c r="AU22" s="3">
        <f>IF($E22="〇",AT22*基本シート!$E$2,AT22*VLOOKUP(LEFT(AU$6,FIND("(",AU$6)-1),基本シート!$B$6:$C$29,2,FALSE))</f>
        <v>22.432500000000001</v>
      </c>
      <c r="AV22" s="3">
        <v>1.1100000000000001</v>
      </c>
      <c r="AW22" s="3">
        <f>IF($E22="〇",AV22*基本シート!$E$2,AV22*VLOOKUP(LEFT(AW$6,FIND("(",AW$6)-1),基本シート!$B$6:$C$29,2,FALSE))</f>
        <v>33.200100000000006</v>
      </c>
      <c r="AX22" s="3">
        <v>0.61</v>
      </c>
      <c r="AY22" s="3">
        <f>IF($E22="〇",AX22*基本シート!$E$2,AX22*VLOOKUP(LEFT(AY$6,FIND("(",AY$6)-1),基本シート!$B$6:$C$29,2,FALSE))</f>
        <v>18.245100000000001</v>
      </c>
      <c r="AZ22" s="3">
        <v>0.48</v>
      </c>
      <c r="BA22" s="3">
        <f>IF($E22="〇",AZ22*基本シート!$E$2,AZ22*VLOOKUP(LEFT(BA$6,FIND("(",BA$6)-1),基本シート!$B$6:$C$29,2,FALSE))</f>
        <v>14.3568</v>
      </c>
      <c r="BB22" s="3">
        <v>0.46</v>
      </c>
      <c r="BC22" s="3">
        <f>IF($E22="〇",BB22*基本シート!$E$2,BB22*VLOOKUP(LEFT(BC$6,FIND("(",BC$6)-1),基本シート!$B$6:$C$29,2,FALSE))</f>
        <v>13.758600000000001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4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日曜日</v>
      </c>
      <c r="D23" s="6"/>
      <c r="E23" s="6" t="str">
        <f t="shared" si="10"/>
        <v>〇</v>
      </c>
      <c r="F23" s="6" t="s">
        <v>301</v>
      </c>
      <c r="G23" s="6" t="s">
        <v>301</v>
      </c>
      <c r="H23" s="3">
        <v>0.44</v>
      </c>
      <c r="I23" s="3">
        <f>IF($E23="〇",H23*基本シート!$E$2,H23*VLOOKUP(LEFT(I$6,FIND("(",I$6)-1),基本シート!$B$6:$C$29,2,FALSE))</f>
        <v>13.160400000000001</v>
      </c>
      <c r="J23" s="3">
        <v>0.45</v>
      </c>
      <c r="K23" s="3">
        <f>IF($E23="〇",J23*基本シート!$E$2,J23*VLOOKUP(LEFT(K$6,FIND("(",K$6)-1),基本シート!$B$6:$C$29,2,FALSE))</f>
        <v>13.4595</v>
      </c>
      <c r="L23" s="3">
        <v>0.43</v>
      </c>
      <c r="M23" s="3">
        <f>IF($E23="〇",L23*基本シート!$E$2,L23*VLOOKUP(LEFT(M$6,FIND("(",M$6)-1),基本シート!$B$6:$C$29,2,FALSE))</f>
        <v>12.8613</v>
      </c>
      <c r="N23" s="3">
        <v>0.42</v>
      </c>
      <c r="O23" s="3">
        <f>IF($E23="〇",N23*基本シート!$E$2,N23*VLOOKUP(LEFT(O$6,FIND("(",O$6)-1),基本シート!$B$6:$C$29,2,FALSE))</f>
        <v>12.562199999999999</v>
      </c>
      <c r="P23" s="3">
        <v>0.44</v>
      </c>
      <c r="Q23" s="3">
        <f>IF($E23="〇",P23*基本シート!$E$2,P23*VLOOKUP(LEFT(Q$6,FIND("(",Q$6)-1),基本シート!$B$6:$C$29,2,FALSE))</f>
        <v>13.160400000000001</v>
      </c>
      <c r="R23" s="3">
        <v>0.43</v>
      </c>
      <c r="S23" s="3">
        <f>IF($E23="〇",R23*基本シート!$E$2,R23*VLOOKUP(LEFT(S$6,FIND("(",S$6)-1),基本シート!$B$6:$C$29,2,FALSE))</f>
        <v>12.8613</v>
      </c>
      <c r="T23" s="3">
        <v>0.46</v>
      </c>
      <c r="U23" s="3">
        <f>IF($E23="〇",T23*基本シート!$E$2,T23*VLOOKUP(LEFT(U$6,FIND("(",U$6)-1),基本シート!$B$6:$C$29,2,FALSE))</f>
        <v>13.758600000000001</v>
      </c>
      <c r="V23" s="3">
        <v>0.5</v>
      </c>
      <c r="W23" s="3">
        <f>IF($E23="〇",V23*基本シート!$E$2,V23*VLOOKUP(LEFT(W$6,FIND("(",W$6)-1),基本シート!$B$6:$C$29,2,FALSE))</f>
        <v>14.955</v>
      </c>
      <c r="X23" s="3">
        <v>0.1</v>
      </c>
      <c r="Y23" s="3">
        <f>IF($E23="〇",X23*基本シート!$E$2,X23*VLOOKUP(LEFT(Y$6,FIND("(",Y$6)-1),基本シート!$B$6:$C$29,2,FALSE))</f>
        <v>2.9910000000000001</v>
      </c>
      <c r="Z23" s="3">
        <v>0.08</v>
      </c>
      <c r="AA23" s="3">
        <f>IF($E23="〇",Z23*基本シート!$E$2,Z23*VLOOKUP(LEFT(AA$6,FIND("(",AA$6)-1),基本シート!$B$6:$C$29,2,FALSE))</f>
        <v>2.3928000000000003</v>
      </c>
      <c r="AB23" s="3">
        <v>0.02</v>
      </c>
      <c r="AC23" s="3">
        <f>IF($E23="〇",AB23*基本シート!$E$2,AB23*VLOOKUP(LEFT(AC$6,FIND("(",AC$6)-1),基本シート!$B$6:$C$29,2,FALSE))</f>
        <v>0.59820000000000007</v>
      </c>
      <c r="AD23" s="3">
        <v>0.01</v>
      </c>
      <c r="AE23" s="3">
        <f>IF($E23="〇",AD23*基本シート!$E$2,AD23*VLOOKUP(LEFT(AE$6,FIND("(",AE$6)-1),基本シート!$B$6:$C$29,2,FALSE))</f>
        <v>0.29910000000000003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0.29910000000000003</v>
      </c>
      <c r="AL23" s="3">
        <v>0.01</v>
      </c>
      <c r="AM23" s="3">
        <f>IF($E23="〇",AL23*基本シート!$E$2,AL23*VLOOKUP(LEFT(AM$6,FIND("(",AM$6)-1),基本シート!$B$6:$C$29,2,FALSE))</f>
        <v>0.29910000000000003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0.67</v>
      </c>
      <c r="AU23" s="3">
        <f>IF($E23="〇",AT23*基本シート!$E$2,AT23*VLOOKUP(LEFT(AU$6,FIND("(",AU$6)-1),基本シート!$B$6:$C$29,2,FALSE))</f>
        <v>20.0397</v>
      </c>
      <c r="AV23" s="3">
        <v>0.93</v>
      </c>
      <c r="AW23" s="3">
        <f>IF($E23="〇",AV23*基本シート!$E$2,AV23*VLOOKUP(LEFT(AW$6,FIND("(",AW$6)-1),基本シート!$B$6:$C$29,2,FALSE))</f>
        <v>27.816300000000002</v>
      </c>
      <c r="AX23" s="3">
        <v>0.52</v>
      </c>
      <c r="AY23" s="3">
        <f>IF($E23="〇",AX23*基本シート!$E$2,AX23*VLOOKUP(LEFT(AY$6,FIND("(",AY$6)-1),基本シート!$B$6:$C$29,2,FALSE))</f>
        <v>15.5532</v>
      </c>
      <c r="AZ23" s="3">
        <v>0.45</v>
      </c>
      <c r="BA23" s="3">
        <f>IF($E23="〇",AZ23*基本シート!$E$2,AZ23*VLOOKUP(LEFT(BA$6,FIND("(",BA$6)-1),基本シート!$B$6:$C$29,2,FALSE))</f>
        <v>13.4595</v>
      </c>
      <c r="BB23" s="3">
        <v>0.44</v>
      </c>
      <c r="BC23" s="3">
        <f>IF($E23="〇",BB23*基本シート!$E$2,BB23*VLOOKUP(LEFT(BC$6,FIND("(",BC$6)-1),基本シート!$B$6:$C$29,2,FALSE))</f>
        <v>13.160400000000001</v>
      </c>
      <c r="BD23" s="3">
        <f t="shared" si="7"/>
        <v>6.84</v>
      </c>
      <c r="BE23" s="3">
        <f t="shared" si="8"/>
        <v>205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2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4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月曜日</v>
      </c>
      <c r="D24" s="6"/>
      <c r="E24" s="6" t="str">
        <f t="shared" si="10"/>
        <v/>
      </c>
      <c r="F24" s="6" t="s">
        <v>300</v>
      </c>
      <c r="G24" s="6" t="s">
        <v>300</v>
      </c>
      <c r="H24" s="3">
        <v>0.45</v>
      </c>
      <c r="I24" s="3">
        <f>IF($E24="〇",H24*基本シート!$E$2,H24*VLOOKUP(LEFT(I$6,FIND("(",I$6)-1),基本シート!$B$6:$C$29,2,FALSE))</f>
        <v>13.4595</v>
      </c>
      <c r="J24" s="3">
        <v>0.46</v>
      </c>
      <c r="K24" s="3">
        <f>IF($E24="〇",J24*基本シート!$E$2,J24*VLOOKUP(LEFT(K$6,FIND("(",K$6)-1),基本シート!$B$6:$C$29,2,FALSE))</f>
        <v>13.758600000000001</v>
      </c>
      <c r="L24" s="3">
        <v>0.47</v>
      </c>
      <c r="M24" s="3">
        <f>IF($E24="〇",L24*基本シート!$E$2,L24*VLOOKUP(LEFT(M$6,FIND("(",M$6)-1),基本シート!$B$6:$C$29,2,FALSE))</f>
        <v>14.057699999999999</v>
      </c>
      <c r="N24" s="3">
        <v>0.47</v>
      </c>
      <c r="O24" s="3">
        <f>IF($E24="〇",N24*基本シート!$E$2,N24*VLOOKUP(LEFT(O$6,FIND("(",O$6)-1),基本シート!$B$6:$C$29,2,FALSE))</f>
        <v>14.057699999999999</v>
      </c>
      <c r="P24" s="3">
        <v>0.68</v>
      </c>
      <c r="Q24" s="3">
        <f>IF($E24="〇",P24*基本シート!$E$2,P24*VLOOKUP(LEFT(Q$6,FIND("(",Q$6)-1),基本シート!$B$6:$C$29,2,FALSE))</f>
        <v>20.338800000000003</v>
      </c>
      <c r="R24" s="3">
        <v>1.23</v>
      </c>
      <c r="S24" s="3">
        <f>IF($E24="〇",R24*基本シート!$E$2,R24*VLOOKUP(LEFT(S$6,FIND("(",S$6)-1),基本シート!$B$6:$C$29,2,FALSE))</f>
        <v>36.789299999999997</v>
      </c>
      <c r="T24" s="3">
        <v>0.86</v>
      </c>
      <c r="U24" s="3">
        <f>IF($E24="〇",T24*基本シート!$E$2,T24*VLOOKUP(LEFT(U$6,FIND("(",U$6)-1),基本シート!$B$6:$C$29,2,FALSE))</f>
        <v>25.7226</v>
      </c>
      <c r="V24" s="3">
        <v>0.15</v>
      </c>
      <c r="W24" s="3">
        <f>IF($E24="〇",V24*基本シート!$E$2,V24*VLOOKUP(LEFT(W$6,FIND("(",W$6)-1),基本シート!$B$6:$C$29,2,FALSE))</f>
        <v>5.5469999999999997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0.36979999999999996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1.2</v>
      </c>
      <c r="AS24" s="3">
        <f>IF($E24="〇",AR24*基本シート!$E$2,AR24*VLOOKUP(LEFT(AS$6,FIND("(",AS$6)-1),基本シート!$B$6:$C$29,2,FALSE))</f>
        <v>44.375999999999998</v>
      </c>
      <c r="AT24" s="3">
        <v>0.92</v>
      </c>
      <c r="AU24" s="3">
        <f>IF($E24="〇",AT24*基本シート!$E$2,AT24*VLOOKUP(LEFT(AU$6,FIND("(",AU$6)-1),基本シート!$B$6:$C$29,2,FALSE))</f>
        <v>34.021599999999999</v>
      </c>
      <c r="AV24" s="3">
        <v>1.23</v>
      </c>
      <c r="AW24" s="3">
        <f>IF($E24="〇",AV24*基本シート!$E$2,AV24*VLOOKUP(LEFT(AW$6,FIND("(",AW$6)-1),基本シート!$B$6:$C$29,2,FALSE))</f>
        <v>45.485399999999998</v>
      </c>
      <c r="AX24" s="3">
        <v>0.64</v>
      </c>
      <c r="AY24" s="3">
        <f>IF($E24="〇",AX24*基本シート!$E$2,AX24*VLOOKUP(LEFT(AY$6,FIND("(",AY$6)-1),基本シート!$B$6:$C$29,2,FALSE))</f>
        <v>19.142400000000002</v>
      </c>
      <c r="AZ24" s="3">
        <v>0.52</v>
      </c>
      <c r="BA24" s="3">
        <f>IF($E24="〇",AZ24*基本シート!$E$2,AZ24*VLOOKUP(LEFT(BA$6,FIND("(",BA$6)-1),基本シート!$B$6:$C$29,2,FALSE))</f>
        <v>15.5532</v>
      </c>
      <c r="BB24" s="3">
        <v>0.57999999999999996</v>
      </c>
      <c r="BC24" s="3">
        <f>IF($E24="〇",BB24*基本シート!$E$2,BB24*VLOOKUP(LEFT(BC$6,FIND("(",BC$6)-1),基本シート!$B$6:$C$29,2,FALSE))</f>
        <v>17.347799999999999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2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4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火曜日</v>
      </c>
      <c r="D25" s="6"/>
      <c r="E25" s="6" t="str">
        <f t="shared" si="10"/>
        <v/>
      </c>
      <c r="F25" s="6" t="s">
        <v>302</v>
      </c>
      <c r="G25" s="6" t="s">
        <v>300</v>
      </c>
      <c r="H25" s="3">
        <v>0.65</v>
      </c>
      <c r="I25" s="3">
        <f>IF($E25="〇",H25*基本シート!$E$2,H25*VLOOKUP(LEFT(I$6,FIND("(",I$6)-1),基本シート!$B$6:$C$29,2,FALSE))</f>
        <v>19.441500000000001</v>
      </c>
      <c r="J25" s="3">
        <v>0.61</v>
      </c>
      <c r="K25" s="3">
        <f>IF($E25="〇",J25*基本シート!$E$2,J25*VLOOKUP(LEFT(K$6,FIND("(",K$6)-1),基本シート!$B$6:$C$29,2,FALSE))</f>
        <v>18.245100000000001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0.61</v>
      </c>
      <c r="O25" s="3">
        <f>IF($E25="〇",N25*基本シート!$E$2,N25*VLOOKUP(LEFT(O$6,FIND("(",O$6)-1),基本シート!$B$6:$C$29,2,FALSE))</f>
        <v>18.245100000000001</v>
      </c>
      <c r="P25" s="3">
        <v>0.74</v>
      </c>
      <c r="Q25" s="3">
        <f>IF($E25="〇",P25*基本シート!$E$2,P25*VLOOKUP(LEFT(Q$6,FIND("(",Q$6)-1),基本シート!$B$6:$C$29,2,FALSE))</f>
        <v>22.133399999999998</v>
      </c>
      <c r="R25" s="3">
        <v>0.74</v>
      </c>
      <c r="S25" s="3">
        <f>IF($E25="〇",R25*基本シート!$E$2,R25*VLOOKUP(LEFT(S$6,FIND("(",S$6)-1),基本シート!$B$6:$C$29,2,FALSE))</f>
        <v>22.133399999999998</v>
      </c>
      <c r="T25" s="3">
        <v>0.59</v>
      </c>
      <c r="U25" s="3">
        <f>IF($E25="〇",T25*基本シート!$E$2,T25*VLOOKUP(LEFT(U$6,FIND("(",U$6)-1),基本シート!$B$6:$C$29,2,FALSE))</f>
        <v>17.646899999999999</v>
      </c>
      <c r="V25" s="3">
        <v>0.24</v>
      </c>
      <c r="W25" s="3">
        <f>IF($E25="〇",V25*基本シート!$E$2,V25*VLOOKUP(LEFT(W$6,FIND("(",W$6)-1),基本シート!$B$6:$C$29,2,FALSE))</f>
        <v>8.8751999999999995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0.73959999999999992</v>
      </c>
      <c r="AP25" s="3">
        <v>1.2</v>
      </c>
      <c r="AQ25" s="3">
        <f>IF($E25="〇",AP25*基本シート!$E$2,AP25*VLOOKUP(LEFT(AQ$6,FIND("(",AQ$6)-1),基本シート!$B$6:$C$29,2,FALSE))</f>
        <v>44.375999999999998</v>
      </c>
      <c r="AR25" s="3">
        <v>3.52</v>
      </c>
      <c r="AS25" s="3">
        <f>IF($E25="〇",AR25*基本シート!$E$2,AR25*VLOOKUP(LEFT(AS$6,FIND("(",AS$6)-1),基本シート!$B$6:$C$29,2,FALSE))</f>
        <v>130.1696</v>
      </c>
      <c r="AT25" s="3">
        <v>2.0699999999999998</v>
      </c>
      <c r="AU25" s="3">
        <f>IF($E25="〇",AT25*基本シート!$E$2,AT25*VLOOKUP(LEFT(AU$6,FIND("(",AU$6)-1),基本シート!$B$6:$C$29,2,FALSE))</f>
        <v>76.548599999999993</v>
      </c>
      <c r="AV25" s="3">
        <v>1.26</v>
      </c>
      <c r="AW25" s="3">
        <f>IF($E25="〇",AV25*基本シート!$E$2,AV25*VLOOKUP(LEFT(AW$6,FIND("(",AW$6)-1),基本シート!$B$6:$C$29,2,FALSE))</f>
        <v>46.594799999999999</v>
      </c>
      <c r="AX25" s="3">
        <v>1.01</v>
      </c>
      <c r="AY25" s="3">
        <f>IF($E25="〇",AX25*基本シート!$E$2,AX25*VLOOKUP(LEFT(AY$6,FIND("(",AY$6)-1),基本シート!$B$6:$C$29,2,FALSE))</f>
        <v>30.209099999999999</v>
      </c>
      <c r="AZ25" s="3">
        <v>0.63</v>
      </c>
      <c r="BA25" s="3">
        <f>IF($E25="〇",AZ25*基本シート!$E$2,AZ25*VLOOKUP(LEFT(BA$6,FIND("(",BA$6)-1),基本シート!$B$6:$C$29,2,FALSE))</f>
        <v>18.843299999999999</v>
      </c>
      <c r="BB25" s="3">
        <v>0.7</v>
      </c>
      <c r="BC25" s="3">
        <f>IF($E25="〇",BB25*基本シート!$E$2,BB25*VLOOKUP(LEFT(BC$6,FIND("(",BC$6)-1),基本シート!$B$6:$C$29,2,FALSE))</f>
        <v>20.936999999999998</v>
      </c>
      <c r="BD25" s="3">
        <f t="shared" si="7"/>
        <v>15.18</v>
      </c>
      <c r="BE25" s="3">
        <f t="shared" si="8"/>
        <v>513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2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4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水曜日</v>
      </c>
      <c r="D26" s="6"/>
      <c r="E26" s="6" t="str">
        <f t="shared" si="10"/>
        <v/>
      </c>
      <c r="F26" s="6" t="s">
        <v>302</v>
      </c>
      <c r="G26" s="6" t="s">
        <v>300</v>
      </c>
      <c r="H26" s="3">
        <v>0.67</v>
      </c>
      <c r="I26" s="3">
        <f>IF($E26="〇",H26*基本シート!$E$2,H26*VLOOKUP(LEFT(I$6,FIND("(",I$6)-1),基本シート!$B$6:$C$29,2,FALSE))</f>
        <v>20.0397</v>
      </c>
      <c r="J26" s="3">
        <v>0.64</v>
      </c>
      <c r="K26" s="3">
        <f>IF($E26="〇",J26*基本シート!$E$2,J26*VLOOKUP(LEFT(K$6,FIND("(",K$6)-1),基本シート!$B$6:$C$29,2,FALSE))</f>
        <v>19.142400000000002</v>
      </c>
      <c r="L26" s="3">
        <v>0.81</v>
      </c>
      <c r="M26" s="3">
        <f>IF($E26="〇",L26*基本シート!$E$2,L26*VLOOKUP(LEFT(M$6,FIND("(",M$6)-1),基本シート!$B$6:$C$29,2,FALSE))</f>
        <v>24.2271</v>
      </c>
      <c r="N26" s="3">
        <v>0.98</v>
      </c>
      <c r="O26" s="3">
        <f>IF($E26="〇",N26*基本シート!$E$2,N26*VLOOKUP(LEFT(O$6,FIND("(",O$6)-1),基本シート!$B$6:$C$29,2,FALSE))</f>
        <v>29.311799999999998</v>
      </c>
      <c r="P26" s="3">
        <v>0.67</v>
      </c>
      <c r="Q26" s="3">
        <f>IF($E26="〇",P26*基本シート!$E$2,P26*VLOOKUP(LEFT(Q$6,FIND("(",Q$6)-1),基本シート!$B$6:$C$29,2,FALSE))</f>
        <v>20.0397</v>
      </c>
      <c r="R26" s="3">
        <v>1</v>
      </c>
      <c r="S26" s="3">
        <f>IF($E26="〇",R26*基本シート!$E$2,R26*VLOOKUP(LEFT(S$6,FIND("(",S$6)-1),基本シート!$B$6:$C$29,2,FALSE))</f>
        <v>29.91</v>
      </c>
      <c r="T26" s="3">
        <v>0.88</v>
      </c>
      <c r="U26" s="3">
        <f>IF($E26="〇",T26*基本シート!$E$2,T26*VLOOKUP(LEFT(U$6,FIND("(",U$6)-1),基本シート!$B$6:$C$29,2,FALSE))</f>
        <v>26.320800000000002</v>
      </c>
      <c r="V26" s="3">
        <v>0.17</v>
      </c>
      <c r="W26" s="3">
        <f>IF($E26="〇",V26*基本シート!$E$2,V26*VLOOKUP(LEFT(W$6,FIND("(",W$6)-1),基本シート!$B$6:$C$29,2,FALSE))</f>
        <v>6.2866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0.36979999999999996</v>
      </c>
      <c r="AP26" s="3">
        <v>0.06</v>
      </c>
      <c r="AQ26" s="3">
        <f>IF($E26="〇",AP26*基本シート!$E$2,AP26*VLOOKUP(LEFT(AQ$6,FIND("(",AQ$6)-1),基本シート!$B$6:$C$29,2,FALSE))</f>
        <v>2.2187999999999999</v>
      </c>
      <c r="AR26" s="3">
        <v>2.82</v>
      </c>
      <c r="AS26" s="3">
        <f>IF($E26="〇",AR26*基本シート!$E$2,AR26*VLOOKUP(LEFT(AS$6,FIND("(",AS$6)-1),基本シート!$B$6:$C$29,2,FALSE))</f>
        <v>104.28359999999998</v>
      </c>
      <c r="AT26" s="3">
        <v>1.98</v>
      </c>
      <c r="AU26" s="3">
        <f>IF($E26="〇",AT26*基本シート!$E$2,AT26*VLOOKUP(LEFT(AU$6,FIND("(",AU$6)-1),基本シート!$B$6:$C$29,2,FALSE))</f>
        <v>73.220399999999998</v>
      </c>
      <c r="AV26" s="3">
        <v>0.89</v>
      </c>
      <c r="AW26" s="3">
        <f>IF($E26="〇",AV26*基本シート!$E$2,AV26*VLOOKUP(LEFT(AW$6,FIND("(",AW$6)-1),基本シート!$B$6:$C$29,2,FALSE))</f>
        <v>32.912199999999999</v>
      </c>
      <c r="AX26" s="3">
        <v>0.96</v>
      </c>
      <c r="AY26" s="3">
        <f>IF($E26="〇",AX26*基本シート!$E$2,AX26*VLOOKUP(LEFT(AY$6,FIND("(",AY$6)-1),基本シート!$B$6:$C$29,2,FALSE))</f>
        <v>28.7136</v>
      </c>
      <c r="AZ26" s="3">
        <v>0.65</v>
      </c>
      <c r="BA26" s="3">
        <f>IF($E26="〇",AZ26*基本シート!$E$2,AZ26*VLOOKUP(LEFT(BA$6,FIND("(",BA$6)-1),基本シート!$B$6:$C$29,2,FALSE))</f>
        <v>19.441500000000001</v>
      </c>
      <c r="BB26" s="3">
        <v>0.55000000000000004</v>
      </c>
      <c r="BC26" s="3">
        <f>IF($E26="〇",BB26*基本シート!$E$2,BB26*VLOOKUP(LEFT(BC$6,FIND("(",BC$6)-1),基本シート!$B$6:$C$29,2,FALSE))</f>
        <v>16.450500000000002</v>
      </c>
      <c r="BD26" s="3">
        <f t="shared" si="7"/>
        <v>13.74</v>
      </c>
      <c r="BE26" s="3">
        <f t="shared" si="8"/>
        <v>453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2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4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木曜日</v>
      </c>
      <c r="D27" s="6"/>
      <c r="E27" s="6" t="str">
        <f t="shared" si="10"/>
        <v/>
      </c>
      <c r="F27" s="6" t="s">
        <v>302</v>
      </c>
      <c r="G27" s="6" t="s">
        <v>302</v>
      </c>
      <c r="H27" s="3">
        <v>0.56999999999999995</v>
      </c>
      <c r="I27" s="3">
        <f>IF($E27="〇",H27*基本シート!$E$2,H27*VLOOKUP(LEFT(I$6,FIND("(",I$6)-1),基本シート!$B$6:$C$29,2,FALSE))</f>
        <v>17.0487</v>
      </c>
      <c r="J27" s="3">
        <v>0.77</v>
      </c>
      <c r="K27" s="3">
        <f>IF($E27="〇",J27*基本シート!$E$2,J27*VLOOKUP(LEFT(K$6,FIND("(",K$6)-1),基本シート!$B$6:$C$29,2,FALSE))</f>
        <v>23.0307</v>
      </c>
      <c r="L27" s="3">
        <v>0.52</v>
      </c>
      <c r="M27" s="3">
        <f>IF($E27="〇",L27*基本シート!$E$2,L27*VLOOKUP(LEFT(M$6,FIND("(",M$6)-1),基本シート!$B$6:$C$29,2,FALSE))</f>
        <v>15.5532</v>
      </c>
      <c r="N27" s="3">
        <v>0.61</v>
      </c>
      <c r="O27" s="3">
        <f>IF($E27="〇",N27*基本シート!$E$2,N27*VLOOKUP(LEFT(O$6,FIND("(",O$6)-1),基本シート!$B$6:$C$29,2,FALSE))</f>
        <v>18.245100000000001</v>
      </c>
      <c r="P27" s="3">
        <v>0.97</v>
      </c>
      <c r="Q27" s="3">
        <f>IF($E27="〇",P27*基本シート!$E$2,P27*VLOOKUP(LEFT(Q$6,FIND("(",Q$6)-1),基本シート!$B$6:$C$29,2,FALSE))</f>
        <v>29.012699999999999</v>
      </c>
      <c r="R27" s="3">
        <v>0.7</v>
      </c>
      <c r="S27" s="3">
        <f>IF($E27="〇",R27*基本シート!$E$2,R27*VLOOKUP(LEFT(S$6,FIND("(",S$6)-1),基本シート!$B$6:$C$29,2,FALSE))</f>
        <v>20.936999999999998</v>
      </c>
      <c r="T27" s="3">
        <v>1.1399999999999999</v>
      </c>
      <c r="U27" s="3">
        <f>IF($E27="〇",T27*基本シート!$E$2,T27*VLOOKUP(LEFT(U$6,FIND("(",U$6)-1),基本シート!$B$6:$C$29,2,FALSE))</f>
        <v>34.0974</v>
      </c>
      <c r="V27" s="3">
        <v>0.31</v>
      </c>
      <c r="W27" s="3">
        <f>IF($E27="〇",V27*基本シート!$E$2,V27*VLOOKUP(LEFT(W$6,FIND("(",W$6)-1),基本シート!$B$6:$C$29,2,FALSE))</f>
        <v>11.463799999999999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1.52</v>
      </c>
      <c r="AS27" s="3">
        <f>IF($E27="〇",AR27*基本シート!$E$2,AR27*VLOOKUP(LEFT(AS$6,FIND("(",AS$6)-1),基本シート!$B$6:$C$29,2,FALSE))</f>
        <v>56.209599999999995</v>
      </c>
      <c r="AT27" s="3">
        <v>2.0099999999999998</v>
      </c>
      <c r="AU27" s="3">
        <f>IF($E27="〇",AT27*基本シート!$E$2,AT27*VLOOKUP(LEFT(AU$6,FIND("(",AU$6)-1),基本シート!$B$6:$C$29,2,FALSE))</f>
        <v>74.329799999999992</v>
      </c>
      <c r="AV27" s="3">
        <v>1.1299999999999999</v>
      </c>
      <c r="AW27" s="3">
        <f>IF($E27="〇",AV27*基本シート!$E$2,AV27*VLOOKUP(LEFT(AW$6,FIND("(",AW$6)-1),基本シート!$B$6:$C$29,2,FALSE))</f>
        <v>41.787399999999991</v>
      </c>
      <c r="AX27" s="3">
        <v>0.78</v>
      </c>
      <c r="AY27" s="3">
        <f>IF($E27="〇",AX27*基本シート!$E$2,AX27*VLOOKUP(LEFT(AY$6,FIND("(",AY$6)-1),基本シート!$B$6:$C$29,2,FALSE))</f>
        <v>23.329800000000002</v>
      </c>
      <c r="AZ27" s="3">
        <v>0.57999999999999996</v>
      </c>
      <c r="BA27" s="3">
        <f>IF($E27="〇",AZ27*基本シート!$E$2,AZ27*VLOOKUP(LEFT(BA$6,FIND("(",BA$6)-1),基本シート!$B$6:$C$29,2,FALSE))</f>
        <v>17.347799999999999</v>
      </c>
      <c r="BB27" s="3">
        <v>0.57999999999999996</v>
      </c>
      <c r="BC27" s="3">
        <f>IF($E27="〇",BB27*基本シート!$E$2,BB27*VLOOKUP(LEFT(BC$6,FIND("(",BC$6)-1),基本シート!$B$6:$C$29,2,FALSE))</f>
        <v>17.347799999999999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4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金曜日</v>
      </c>
      <c r="D28" s="6"/>
      <c r="E28" s="6" t="str">
        <f t="shared" si="10"/>
        <v/>
      </c>
      <c r="F28" s="6" t="s">
        <v>300</v>
      </c>
      <c r="G28" s="6" t="s">
        <v>301</v>
      </c>
      <c r="H28" s="3">
        <v>0.53</v>
      </c>
      <c r="I28" s="3">
        <f>IF($E28="〇",H28*基本シート!$E$2,H28*VLOOKUP(LEFT(I$6,FIND("(",I$6)-1),基本シート!$B$6:$C$29,2,FALSE))</f>
        <v>15.852300000000001</v>
      </c>
      <c r="J28" s="3">
        <v>0.59</v>
      </c>
      <c r="K28" s="3">
        <f>IF($E28="〇",J28*基本シート!$E$2,J28*VLOOKUP(LEFT(K$6,FIND("(",K$6)-1),基本シート!$B$6:$C$29,2,FALSE))</f>
        <v>17.646899999999999</v>
      </c>
      <c r="L28" s="3">
        <v>0.5</v>
      </c>
      <c r="M28" s="3">
        <f>IF($E28="〇",L28*基本シート!$E$2,L28*VLOOKUP(LEFT(M$6,FIND("(",M$6)-1),基本シート!$B$6:$C$29,2,FALSE))</f>
        <v>14.955</v>
      </c>
      <c r="N28" s="3">
        <v>0.66</v>
      </c>
      <c r="O28" s="3">
        <f>IF($E28="〇",N28*基本シート!$E$2,N28*VLOOKUP(LEFT(O$6,FIND("(",O$6)-1),基本シート!$B$6:$C$29,2,FALSE))</f>
        <v>19.740600000000001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0.62</v>
      </c>
      <c r="S28" s="3">
        <f>IF($E28="〇",R28*基本シート!$E$2,R28*VLOOKUP(LEFT(S$6,FIND("(",S$6)-1),基本シート!$B$6:$C$29,2,FALSE))</f>
        <v>18.5442</v>
      </c>
      <c r="T28" s="3">
        <v>0.63</v>
      </c>
      <c r="U28" s="3">
        <f>IF($E28="〇",T28*基本シート!$E$2,T28*VLOOKUP(LEFT(U$6,FIND("(",U$6)-1),基本シート!$B$6:$C$29,2,FALSE))</f>
        <v>18.843299999999999</v>
      </c>
      <c r="V28" s="3">
        <v>0.36</v>
      </c>
      <c r="W28" s="3">
        <f>IF($E28="〇",V28*基本シート!$E$2,V28*VLOOKUP(LEFT(W$6,FIND("(",W$6)-1),基本シート!$B$6:$C$29,2,FALSE))</f>
        <v>13.312799999999998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0.36979999999999996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0.73959999999999992</v>
      </c>
      <c r="AP28" s="3">
        <v>0.02</v>
      </c>
      <c r="AQ28" s="3">
        <f>IF($E28="〇",AP28*基本シート!$E$2,AP28*VLOOKUP(LEFT(AQ$6,FIND("(",AQ$6)-1),基本シート!$B$6:$C$29,2,FALSE))</f>
        <v>0.73959999999999992</v>
      </c>
      <c r="AR28" s="3">
        <v>0.64</v>
      </c>
      <c r="AS28" s="3">
        <f>IF($E28="〇",AR28*基本シート!$E$2,AR28*VLOOKUP(LEFT(AS$6,FIND("(",AS$6)-1),基本シート!$B$6:$C$29,2,FALSE))</f>
        <v>23.667199999999998</v>
      </c>
      <c r="AT28" s="3">
        <v>2.12</v>
      </c>
      <c r="AU28" s="3">
        <f>IF($E28="〇",AT28*基本シート!$E$2,AT28*VLOOKUP(LEFT(AU$6,FIND("(",AU$6)-1),基本シート!$B$6:$C$29,2,FALSE))</f>
        <v>78.397599999999997</v>
      </c>
      <c r="AV28" s="3">
        <v>0.68</v>
      </c>
      <c r="AW28" s="3">
        <f>IF($E28="〇",AV28*基本シート!$E$2,AV28*VLOOKUP(LEFT(AW$6,FIND("(",AW$6)-1),基本シート!$B$6:$C$29,2,FALSE))</f>
        <v>25.1464</v>
      </c>
      <c r="AX28" s="3">
        <v>0.56000000000000005</v>
      </c>
      <c r="AY28" s="3">
        <f>IF($E28="〇",AX28*基本シート!$E$2,AX28*VLOOKUP(LEFT(AY$6,FIND("(",AY$6)-1),基本シート!$B$6:$C$29,2,FALSE))</f>
        <v>16.749600000000001</v>
      </c>
      <c r="AZ28" s="3">
        <v>0.56000000000000005</v>
      </c>
      <c r="BA28" s="3">
        <f>IF($E28="〇",AZ28*基本シート!$E$2,AZ28*VLOOKUP(LEFT(BA$6,FIND("(",BA$6)-1),基本シート!$B$6:$C$29,2,FALSE))</f>
        <v>16.749600000000001</v>
      </c>
      <c r="BB28" s="3">
        <v>0.53</v>
      </c>
      <c r="BC28" s="3">
        <f>IF($E28="〇",BB28*基本シート!$E$2,BB28*VLOOKUP(LEFT(BC$6,FIND("(",BC$6)-1),基本シート!$B$6:$C$29,2,FALSE))</f>
        <v>15.852300000000001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2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4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土曜日</v>
      </c>
      <c r="D29" s="6"/>
      <c r="E29" s="6" t="str">
        <f t="shared" si="10"/>
        <v>〇</v>
      </c>
      <c r="F29" s="6" t="s">
        <v>300</v>
      </c>
      <c r="G29" s="6" t="s">
        <v>302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0.57999999999999996</v>
      </c>
      <c r="K29" s="3">
        <f>IF($E29="〇",J29*基本シート!$E$2,J29*VLOOKUP(LEFT(K$6,FIND("(",K$6)-1),基本シート!$B$6:$C$29,2,FALSE))</f>
        <v>17.347799999999999</v>
      </c>
      <c r="L29" s="3">
        <v>0.59</v>
      </c>
      <c r="M29" s="3">
        <f>IF($E29="〇",L29*基本シート!$E$2,L29*VLOOKUP(LEFT(M$6,FIND("(",M$6)-1),基本シート!$B$6:$C$29,2,FALSE))</f>
        <v>17.646899999999999</v>
      </c>
      <c r="N29" s="3">
        <v>0.57999999999999996</v>
      </c>
      <c r="O29" s="3">
        <f>IF($E29="〇",N29*基本シート!$E$2,N29*VLOOKUP(LEFT(O$6,FIND("(",O$6)-1),基本シート!$B$6:$C$29,2,FALSE))</f>
        <v>17.347799999999999</v>
      </c>
      <c r="P29" s="3">
        <v>0.61</v>
      </c>
      <c r="Q29" s="3">
        <f>IF($E29="〇",P29*基本シート!$E$2,P29*VLOOKUP(LEFT(Q$6,FIND("(",Q$6)-1),基本シート!$B$6:$C$29,2,FALSE))</f>
        <v>18.245100000000001</v>
      </c>
      <c r="R29" s="3">
        <v>0.61</v>
      </c>
      <c r="S29" s="3">
        <f>IF($E29="〇",R29*基本シート!$E$2,R29*VLOOKUP(LEFT(S$6,FIND("(",S$6)-1),基本シート!$B$6:$C$29,2,FALSE))</f>
        <v>18.245100000000001</v>
      </c>
      <c r="T29" s="3">
        <v>0.55000000000000004</v>
      </c>
      <c r="U29" s="3">
        <f>IF($E29="〇",T29*基本シート!$E$2,T29*VLOOKUP(LEFT(U$6,FIND("(",U$6)-1),基本シート!$B$6:$C$29,2,FALSE))</f>
        <v>16.450500000000002</v>
      </c>
      <c r="V29" s="3">
        <v>0.15</v>
      </c>
      <c r="W29" s="3">
        <f>IF($E29="〇",V29*基本シート!$E$2,V29*VLOOKUP(LEFT(W$6,FIND("(",W$6)-1),基本シート!$B$6:$C$29,2,FALSE))</f>
        <v>4.4864999999999995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0.59820000000000007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2.9910000000000001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0.87</v>
      </c>
      <c r="AY29" s="3">
        <f>IF($E29="〇",AX29*基本シート!$E$2,AX29*VLOOKUP(LEFT(AY$6,FIND("(",AY$6)-1),基本シート!$B$6:$C$29,2,FALSE))</f>
        <v>26.021699999999999</v>
      </c>
      <c r="AZ29" s="3">
        <v>0.61</v>
      </c>
      <c r="BA29" s="3">
        <f>IF($E29="〇",AZ29*基本シート!$E$2,AZ29*VLOOKUP(LEFT(BA$6,FIND("(",BA$6)-1),基本シート!$B$6:$C$29,2,FALSE))</f>
        <v>18.245100000000001</v>
      </c>
      <c r="BB29" s="3">
        <v>0.57999999999999996</v>
      </c>
      <c r="BC29" s="3">
        <f>IF($E29="〇",BB29*基本シート!$E$2,BB29*VLOOKUP(LEFT(BC$6,FIND("(",BC$6)-1),基本シート!$B$6:$C$29,2,FALSE))</f>
        <v>17.347799999999999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4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日曜日</v>
      </c>
      <c r="D30" s="6"/>
      <c r="E30" s="6" t="str">
        <f t="shared" si="10"/>
        <v>〇</v>
      </c>
      <c r="F30" s="6" t="s">
        <v>300</v>
      </c>
      <c r="G30" s="6" t="s">
        <v>302</v>
      </c>
      <c r="H30" s="3">
        <v>0.59</v>
      </c>
      <c r="I30" s="3">
        <f>IF($E30="〇",H30*基本シート!$E$2,H30*VLOOKUP(LEFT(I$6,FIND("(",I$6)-1),基本シート!$B$6:$C$29,2,FALSE))</f>
        <v>17.646899999999999</v>
      </c>
      <c r="J30" s="3">
        <v>0.57999999999999996</v>
      </c>
      <c r="K30" s="3">
        <f>IF($E30="〇",J30*基本シート!$E$2,J30*VLOOKUP(LEFT(K$6,FIND("(",K$6)-1),基本シート!$B$6:$C$29,2,FALSE))</f>
        <v>17.347799999999999</v>
      </c>
      <c r="L30" s="3">
        <v>0.63</v>
      </c>
      <c r="M30" s="3">
        <f>IF($E30="〇",L30*基本シート!$E$2,L30*VLOOKUP(LEFT(M$6,FIND("(",M$6)-1),基本シート!$B$6:$C$29,2,FALSE))</f>
        <v>18.843299999999999</v>
      </c>
      <c r="N30" s="3">
        <v>0.59</v>
      </c>
      <c r="O30" s="3">
        <f>IF($E30="〇",N30*基本シート!$E$2,N30*VLOOKUP(LEFT(O$6,FIND("(",O$6)-1),基本シート!$B$6:$C$29,2,FALSE))</f>
        <v>17.646899999999999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0.53</v>
      </c>
      <c r="S30" s="3">
        <f>IF($E30="〇",R30*基本シート!$E$2,R30*VLOOKUP(LEFT(S$6,FIND("(",S$6)-1),基本シート!$B$6:$C$29,2,FALSE))</f>
        <v>15.852300000000001</v>
      </c>
      <c r="T30" s="3">
        <v>0.64</v>
      </c>
      <c r="U30" s="3">
        <f>IF($E30="〇",T30*基本シート!$E$2,T30*VLOOKUP(LEFT(U$6,FIND("(",U$6)-1),基本シート!$B$6:$C$29,2,FALSE))</f>
        <v>19.142400000000002</v>
      </c>
      <c r="V30" s="3">
        <v>0.38</v>
      </c>
      <c r="W30" s="3">
        <f>IF($E30="〇",V30*基本シート!$E$2,V30*VLOOKUP(LEFT(W$6,FIND("(",W$6)-1),基本シート!$B$6:$C$29,2,FALSE))</f>
        <v>11.3658</v>
      </c>
      <c r="X30" s="3">
        <v>0.01</v>
      </c>
      <c r="Y30" s="3">
        <f>IF($E30="〇",X30*基本シート!$E$2,X30*VLOOKUP(LEFT(Y$6,FIND("(",Y$6)-1),基本シート!$B$6:$C$29,2,FALSE))</f>
        <v>0.29910000000000003</v>
      </c>
      <c r="Z30" s="3">
        <v>0.01</v>
      </c>
      <c r="AA30" s="3">
        <f>IF($E30="〇",Z30*基本シート!$E$2,Z30*VLOOKUP(LEFT(AA$6,FIND("(",AA$6)-1),基本シート!$B$6:$C$29,2,FALSE))</f>
        <v>0.29910000000000003</v>
      </c>
      <c r="AB30" s="3">
        <v>0.01</v>
      </c>
      <c r="AC30" s="3">
        <f>IF($E30="〇",AB30*基本シート!$E$2,AB30*VLOOKUP(LEFT(AC$6,FIND("(",AC$6)-1),基本シート!$B$6:$C$29,2,FALSE))</f>
        <v>0.29910000000000003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0.29910000000000003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42.472200000000001</v>
      </c>
      <c r="AR30" s="3">
        <v>2.61</v>
      </c>
      <c r="AS30" s="3">
        <f>IF($E30="〇",AR30*基本シート!$E$2,AR30*VLOOKUP(LEFT(AS$6,FIND("(",AS$6)-1),基本シート!$B$6:$C$29,2,FALSE))</f>
        <v>78.065100000000001</v>
      </c>
      <c r="AT30" s="3">
        <v>0.78</v>
      </c>
      <c r="AU30" s="3">
        <f>IF($E30="〇",AT30*基本シート!$E$2,AT30*VLOOKUP(LEFT(AU$6,FIND("(",AU$6)-1),基本シート!$B$6:$C$29,2,FALSE))</f>
        <v>23.329800000000002</v>
      </c>
      <c r="AV30" s="3">
        <v>1.37</v>
      </c>
      <c r="AW30" s="3">
        <f>IF($E30="〇",AV30*基本シート!$E$2,AV30*VLOOKUP(LEFT(AW$6,FIND("(",AW$6)-1),基本シート!$B$6:$C$29,2,FALSE))</f>
        <v>40.976700000000001</v>
      </c>
      <c r="AX30" s="3">
        <v>0.79</v>
      </c>
      <c r="AY30" s="3">
        <f>IF($E30="〇",AX30*基本シート!$E$2,AX30*VLOOKUP(LEFT(AY$6,FIND("(",AY$6)-1),基本シート!$B$6:$C$29,2,FALSE))</f>
        <v>23.628900000000002</v>
      </c>
      <c r="AZ30" s="3">
        <v>0.54</v>
      </c>
      <c r="BA30" s="3">
        <f>IF($E30="〇",AZ30*基本シート!$E$2,AZ30*VLOOKUP(LEFT(BA$6,FIND("(",BA$6)-1),基本シート!$B$6:$C$29,2,FALSE))</f>
        <v>16.151400000000002</v>
      </c>
      <c r="BB30" s="3">
        <v>0.64</v>
      </c>
      <c r="BC30" s="3">
        <f>IF($E30="〇",BB30*基本シート!$E$2,BB30*VLOOKUP(LEFT(BC$6,FIND("(",BC$6)-1),基本シート!$B$6:$C$29,2,FALSE))</f>
        <v>19.142400000000002</v>
      </c>
      <c r="BD30" s="3">
        <f t="shared" si="7"/>
        <v>12.739999999999995</v>
      </c>
      <c r="BE30" s="3">
        <f t="shared" si="8"/>
        <v>381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2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4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月曜日</v>
      </c>
      <c r="D31" s="6"/>
      <c r="E31" s="6" t="str">
        <f t="shared" si="10"/>
        <v/>
      </c>
      <c r="F31" s="6"/>
      <c r="G31" s="6"/>
      <c r="H31" s="3">
        <v>0.63</v>
      </c>
      <c r="I31" s="3">
        <f>IF($E31="〇",H31*基本シート!$E$2,H31*VLOOKUP(LEFT(I$6,FIND("(",I$6)-1),基本シート!$B$6:$C$29,2,FALSE))</f>
        <v>18.843299999999999</v>
      </c>
      <c r="J31" s="3">
        <v>0.52</v>
      </c>
      <c r="K31" s="3">
        <f>IF($E31="〇",J31*基本シート!$E$2,J31*VLOOKUP(LEFT(K$6,FIND("(",K$6)-1),基本シート!$B$6:$C$29,2,FALSE))</f>
        <v>15.5532</v>
      </c>
      <c r="L31" s="3">
        <v>0.64</v>
      </c>
      <c r="M31" s="3">
        <f>IF($E31="〇",L31*基本シート!$E$2,L31*VLOOKUP(LEFT(M$6,FIND("(",M$6)-1),基本シート!$B$6:$C$29,2,FALSE))</f>
        <v>19.142400000000002</v>
      </c>
      <c r="N31" s="3">
        <v>0.61</v>
      </c>
      <c r="O31" s="3">
        <f>IF($E31="〇",N31*基本シート!$E$2,N31*VLOOKUP(LEFT(O$6,FIND("(",O$6)-1),基本シート!$B$6:$C$29,2,FALSE))</f>
        <v>18.245100000000001</v>
      </c>
      <c r="P31" s="3">
        <v>1.3</v>
      </c>
      <c r="Q31" s="3">
        <f>IF($E31="〇",P31*基本シート!$E$2,P31*VLOOKUP(LEFT(Q$6,FIND("(",Q$6)-1),基本シート!$B$6:$C$29,2,FALSE))</f>
        <v>38.883000000000003</v>
      </c>
      <c r="R31" s="3">
        <v>0.59</v>
      </c>
      <c r="S31" s="3">
        <f>IF($E31="〇",R31*基本シート!$E$2,R31*VLOOKUP(LEFT(S$6,FIND("(",S$6)-1),基本シート!$B$6:$C$29,2,FALSE))</f>
        <v>17.646899999999999</v>
      </c>
      <c r="T31" s="3">
        <v>0.9</v>
      </c>
      <c r="U31" s="3">
        <f>IF($E31="〇",T31*基本シート!$E$2,T31*VLOOKUP(LEFT(U$6,FIND("(",U$6)-1),基本シート!$B$6:$C$29,2,FALSE))</f>
        <v>26.919</v>
      </c>
      <c r="V31" s="3">
        <v>0.24</v>
      </c>
      <c r="W31" s="3">
        <f>IF($E31="〇",V31*基本シート!$E$2,V31*VLOOKUP(LEFT(W$6,FIND("(",W$6)-1),基本シート!$B$6:$C$29,2,FALSE))</f>
        <v>8.8751999999999995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0.36979999999999996</v>
      </c>
      <c r="AB31" s="3">
        <v>0.01</v>
      </c>
      <c r="AC31" s="3">
        <f>IF($E31="〇",AB31*基本シート!$E$2,AB31*VLOOKUP(LEFT(AC$6,FIND("(",AC$6)-1),基本シート!$B$6:$C$29,2,FALSE))</f>
        <v>0.36979999999999996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0.73959999999999992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2.75</v>
      </c>
      <c r="AS31" s="3">
        <f>IF($E31="〇",AR31*基本シート!$E$2,AR31*VLOOKUP(LEFT(AS$6,FIND("(",AS$6)-1),基本シート!$B$6:$C$29,2,FALSE))</f>
        <v>101.69499999999999</v>
      </c>
      <c r="AT31" s="3">
        <v>2.48</v>
      </c>
      <c r="AU31" s="3">
        <f>IF($E31="〇",AT31*基本シート!$E$2,AT31*VLOOKUP(LEFT(AU$6,FIND("(",AU$6)-1),基本シート!$B$6:$C$29,2,FALSE))</f>
        <v>91.710399999999993</v>
      </c>
      <c r="AV31" s="3">
        <v>1.04</v>
      </c>
      <c r="AW31" s="3">
        <f>IF($E31="〇",AV31*基本シート!$E$2,AV31*VLOOKUP(LEFT(AW$6,FIND("(",AW$6)-1),基本シート!$B$6:$C$29,2,FALSE))</f>
        <v>38.459199999999996</v>
      </c>
      <c r="AX31" s="3">
        <v>0.69</v>
      </c>
      <c r="AY31" s="3">
        <f>IF($E31="〇",AX31*基本シート!$E$2,AX31*VLOOKUP(LEFT(AY$6,FIND("(",AY$6)-1),基本シート!$B$6:$C$29,2,FALSE))</f>
        <v>20.637899999999998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12.44</v>
      </c>
      <c r="BE31" s="3">
        <f t="shared" si="8"/>
        <v>418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/>
      <c r="CC31" s="3"/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</v>
      </c>
      <c r="EY31" s="3">
        <v>0</v>
      </c>
      <c r="EZ31" s="3">
        <f t="shared" si="12"/>
        <v>6.6000000000000005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/>
      <c r="GW31" s="3"/>
      <c r="GX31" s="3">
        <f t="shared" si="14"/>
        <v>22.029999999999998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火曜日</v>
      </c>
      <c r="D32" s="6"/>
      <c r="E32" s="6" t="str">
        <f t="shared" si="10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水曜日</v>
      </c>
      <c r="D33" s="6"/>
      <c r="E33" s="6" t="str">
        <f t="shared" si="10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木曜日</v>
      </c>
      <c r="D34" s="6"/>
      <c r="E34" s="6" t="str">
        <f t="shared" si="10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金曜日</v>
      </c>
      <c r="D35" s="6"/>
      <c r="E35" s="6" t="str">
        <f t="shared" si="10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土曜日</v>
      </c>
      <c r="D36" s="6"/>
      <c r="E36" s="6" t="str">
        <f t="shared" si="10"/>
        <v>〇</v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12.450000000000001</v>
      </c>
      <c r="I38" s="3">
        <f t="shared" ref="I38:M38" si="15">SUM(I7:I36)</f>
        <v>372.37950000000006</v>
      </c>
      <c r="J38" s="3">
        <f t="shared" si="15"/>
        <v>12.409999999999998</v>
      </c>
      <c r="K38" s="3">
        <f t="shared" si="15"/>
        <v>371.18310000000008</v>
      </c>
      <c r="L38" s="3">
        <f t="shared" si="15"/>
        <v>12.440000000000003</v>
      </c>
      <c r="M38" s="3">
        <f t="shared" si="15"/>
        <v>372.08040000000005</v>
      </c>
      <c r="N38" s="3">
        <f>SUM(N7:N37)</f>
        <v>12.94</v>
      </c>
      <c r="O38" s="3">
        <f t="shared" ref="O38:BZ38" si="16">SUM(O7:O37)</f>
        <v>387.03540000000004</v>
      </c>
      <c r="P38" s="3">
        <f t="shared" si="16"/>
        <v>15.939999999999998</v>
      </c>
      <c r="Q38" s="3">
        <f t="shared" si="16"/>
        <v>476.76539999999989</v>
      </c>
      <c r="R38" s="3">
        <f t="shared" si="16"/>
        <v>14.839999999999998</v>
      </c>
      <c r="S38" s="3">
        <f t="shared" si="16"/>
        <v>443.86440000000005</v>
      </c>
      <c r="T38" s="3"/>
      <c r="U38" s="3">
        <f t="shared" si="16"/>
        <v>465.99779999999998</v>
      </c>
      <c r="V38" s="3"/>
      <c r="W38" s="3">
        <f t="shared" si="16"/>
        <v>169.52530000000002</v>
      </c>
      <c r="X38" s="3"/>
      <c r="Y38" s="3">
        <f t="shared" si="16"/>
        <v>13.671599999999998</v>
      </c>
      <c r="Z38" s="3"/>
      <c r="AA38" s="3">
        <f t="shared" si="16"/>
        <v>5.5251999999999999</v>
      </c>
      <c r="AB38" s="3"/>
      <c r="AC38" s="3">
        <f t="shared" si="16"/>
        <v>3.2738</v>
      </c>
      <c r="AD38" s="3"/>
      <c r="AE38" s="3">
        <f t="shared" si="16"/>
        <v>1.3378000000000001</v>
      </c>
      <c r="AF38" s="3"/>
      <c r="AG38" s="3">
        <f t="shared" si="16"/>
        <v>0.59820000000000007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0.29910000000000003</v>
      </c>
      <c r="AN38" s="3"/>
      <c r="AO38" s="3">
        <f t="shared" si="16"/>
        <v>8.3095999999999997</v>
      </c>
      <c r="AP38" s="3"/>
      <c r="AQ38" s="3">
        <f t="shared" si="16"/>
        <v>116.13289999999999</v>
      </c>
      <c r="AR38" s="3"/>
      <c r="AS38" s="3">
        <f t="shared" si="16"/>
        <v>823.43439999999987</v>
      </c>
      <c r="AT38" s="3"/>
      <c r="AU38" s="3">
        <f t="shared" si="16"/>
        <v>1064.0646000000002</v>
      </c>
      <c r="AV38" s="3"/>
      <c r="AW38" s="3">
        <f t="shared" si="16"/>
        <v>734.97519999999997</v>
      </c>
      <c r="AX38" s="3"/>
      <c r="AY38" s="3">
        <f t="shared" si="16"/>
        <v>485.14019999999994</v>
      </c>
      <c r="AZ38" s="3"/>
      <c r="BA38" s="3">
        <f t="shared" si="16"/>
        <v>373.57590000000005</v>
      </c>
      <c r="BB38" s="3">
        <f t="shared" si="16"/>
        <v>12.020000000000001</v>
      </c>
      <c r="BC38" s="3">
        <f t="shared" si="16"/>
        <v>359.51820000000004</v>
      </c>
      <c r="BD38" s="3">
        <f t="shared" si="16"/>
        <v>221.84999999999997</v>
      </c>
      <c r="BE38" s="3">
        <f t="shared" si="16"/>
        <v>7046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1.3300000000000003</v>
      </c>
      <c r="BM38" s="3">
        <f t="shared" si="16"/>
        <v>20.94</v>
      </c>
      <c r="BN38" s="3">
        <f t="shared" si="16"/>
        <v>60.97000000000002</v>
      </c>
      <c r="BO38" s="3">
        <f t="shared" si="16"/>
        <v>100.77000000000002</v>
      </c>
      <c r="BP38" s="3">
        <f t="shared" si="16"/>
        <v>111.02999999999999</v>
      </c>
      <c r="BQ38" s="3">
        <f t="shared" si="16"/>
        <v>112.62000000000002</v>
      </c>
      <c r="BR38" s="3">
        <f t="shared" si="16"/>
        <v>105.28999999999999</v>
      </c>
      <c r="BS38" s="3">
        <f t="shared" si="16"/>
        <v>87.38</v>
      </c>
      <c r="BT38" s="3">
        <f t="shared" si="16"/>
        <v>53.100000000000009</v>
      </c>
      <c r="BU38" s="3">
        <f t="shared" si="16"/>
        <v>15.700000000000001</v>
      </c>
      <c r="BV38" s="3">
        <f t="shared" si="16"/>
        <v>0.38000000000000006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0.04</v>
      </c>
      <c r="CS38" s="3">
        <f t="shared" si="17"/>
        <v>0.64</v>
      </c>
      <c r="CT38" s="3">
        <f t="shared" si="17"/>
        <v>1.4400000000000002</v>
      </c>
      <c r="CU38" s="3">
        <f t="shared" si="17"/>
        <v>23.040000000000003</v>
      </c>
      <c r="CV38" s="3">
        <f t="shared" si="17"/>
        <v>31.5</v>
      </c>
      <c r="CW38" s="3">
        <f t="shared" si="17"/>
        <v>504</v>
      </c>
      <c r="CX38" s="3">
        <f t="shared" si="17"/>
        <v>73.810000000000016</v>
      </c>
      <c r="CY38" s="3">
        <f t="shared" si="17"/>
        <v>1180.9600000000003</v>
      </c>
      <c r="CZ38" s="3">
        <f t="shared" si="17"/>
        <v>91.61999999999999</v>
      </c>
      <c r="DA38" s="3">
        <f t="shared" si="17"/>
        <v>1465.9199999999998</v>
      </c>
      <c r="DB38" s="3">
        <f t="shared" si="17"/>
        <v>85.960000000000008</v>
      </c>
      <c r="DC38" s="3">
        <f t="shared" si="17"/>
        <v>1375.3600000000001</v>
      </c>
      <c r="DD38" s="3">
        <f t="shared" si="17"/>
        <v>72.87</v>
      </c>
      <c r="DE38" s="3">
        <f t="shared" si="17"/>
        <v>1165.92</v>
      </c>
      <c r="DF38" s="3">
        <f t="shared" si="17"/>
        <v>43.63</v>
      </c>
      <c r="DG38" s="3">
        <f t="shared" si="17"/>
        <v>698.08</v>
      </c>
      <c r="DH38" s="3">
        <f t="shared" si="17"/>
        <v>8.82</v>
      </c>
      <c r="DI38" s="3">
        <f t="shared" si="17"/>
        <v>141.12</v>
      </c>
      <c r="DJ38" s="3">
        <f t="shared" si="17"/>
        <v>0.22000000000000006</v>
      </c>
      <c r="DK38" s="3">
        <f t="shared" si="17"/>
        <v>3.5200000000000009</v>
      </c>
      <c r="DL38" s="3">
        <f t="shared" si="17"/>
        <v>0.18000000000000002</v>
      </c>
      <c r="DM38" s="3">
        <f t="shared" si="17"/>
        <v>2.8800000000000003</v>
      </c>
      <c r="DN38" s="3">
        <f t="shared" si="17"/>
        <v>0.09</v>
      </c>
      <c r="DO38" s="3">
        <f t="shared" si="17"/>
        <v>1.44</v>
      </c>
      <c r="DP38" s="3">
        <f t="shared" si="17"/>
        <v>0.01</v>
      </c>
      <c r="DQ38" s="3">
        <f t="shared" si="17"/>
        <v>0.16</v>
      </c>
      <c r="DR38" s="3">
        <f t="shared" si="17"/>
        <v>0.01</v>
      </c>
      <c r="DS38" s="3">
        <f t="shared" si="17"/>
        <v>0.16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410.21000000000009</v>
      </c>
      <c r="EA38" s="3">
        <f t="shared" si="17"/>
        <v>6565</v>
      </c>
      <c r="EB38" s="3">
        <f t="shared" si="17"/>
        <v>0.78000000000000025</v>
      </c>
      <c r="EC38" s="3">
        <f t="shared" si="17"/>
        <v>0.80000000000000027</v>
      </c>
      <c r="ED38" s="3">
        <f t="shared" si="17"/>
        <v>0.83000000000000029</v>
      </c>
      <c r="EE38" s="3">
        <f t="shared" si="17"/>
        <v>0.8400000000000003</v>
      </c>
      <c r="EF38" s="3">
        <f t="shared" si="17"/>
        <v>0.88000000000000023</v>
      </c>
      <c r="EG38" s="3">
        <f t="shared" si="17"/>
        <v>0.8400000000000003</v>
      </c>
      <c r="EH38" s="3">
        <f t="shared" si="17"/>
        <v>0.42000000000000004</v>
      </c>
      <c r="EI38" s="3">
        <f t="shared" si="17"/>
        <v>10.719999999999999</v>
      </c>
      <c r="EJ38" s="3">
        <f t="shared" si="17"/>
        <v>48.31</v>
      </c>
      <c r="EK38" s="3">
        <f t="shared" si="17"/>
        <v>57.669999999999987</v>
      </c>
      <c r="EL38" s="3">
        <f t="shared" si="17"/>
        <v>25.16</v>
      </c>
      <c r="EM38" s="3">
        <f t="shared" ref="EM38:GX38" si="18">SUM(EM7:EM37)</f>
        <v>9.69</v>
      </c>
      <c r="EN38" s="3">
        <f t="shared" si="18"/>
        <v>8.1</v>
      </c>
      <c r="EO38" s="3">
        <f t="shared" si="18"/>
        <v>2.25</v>
      </c>
      <c r="EP38" s="3">
        <f t="shared" si="18"/>
        <v>0.18000000000000002</v>
      </c>
      <c r="EQ38" s="3">
        <f t="shared" si="18"/>
        <v>0.01</v>
      </c>
      <c r="ER38" s="3">
        <f t="shared" si="18"/>
        <v>0</v>
      </c>
      <c r="ES38" s="3">
        <f t="shared" si="18"/>
        <v>0</v>
      </c>
      <c r="ET38" s="3">
        <f t="shared" si="18"/>
        <v>0.1</v>
      </c>
      <c r="EU38" s="3">
        <f t="shared" si="18"/>
        <v>0.58000000000000029</v>
      </c>
      <c r="EV38" s="3">
        <f t="shared" si="18"/>
        <v>0.75000000000000033</v>
      </c>
      <c r="EW38" s="3">
        <f t="shared" si="18"/>
        <v>0.78000000000000036</v>
      </c>
      <c r="EX38" s="3">
        <f t="shared" si="18"/>
        <v>0.73000000000000043</v>
      </c>
      <c r="EY38" s="3">
        <f t="shared" si="18"/>
        <v>0.76000000000000034</v>
      </c>
      <c r="EZ38" s="3">
        <f t="shared" si="18"/>
        <v>171.17999999999998</v>
      </c>
      <c r="FA38" s="3">
        <f t="shared" si="18"/>
        <v>0.06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0.03</v>
      </c>
      <c r="FL38" s="3">
        <f t="shared" si="18"/>
        <v>0.02</v>
      </c>
      <c r="FM38" s="3">
        <f t="shared" si="18"/>
        <v>0.05</v>
      </c>
      <c r="FN38" s="3">
        <f t="shared" si="18"/>
        <v>0.25</v>
      </c>
      <c r="FO38" s="3">
        <f t="shared" si="18"/>
        <v>0.4</v>
      </c>
      <c r="FP38" s="3">
        <f t="shared" si="18"/>
        <v>6.7200000000000015</v>
      </c>
      <c r="FQ38" s="3">
        <f t="shared" si="18"/>
        <v>34.550000000000004</v>
      </c>
      <c r="FR38" s="3">
        <f t="shared" si="18"/>
        <v>57.850000000000016</v>
      </c>
      <c r="FS38" s="3">
        <f t="shared" si="18"/>
        <v>28.269999999999996</v>
      </c>
      <c r="FT38" s="3">
        <f t="shared" si="18"/>
        <v>2.06</v>
      </c>
      <c r="FU38" s="3">
        <f t="shared" si="18"/>
        <v>0.65</v>
      </c>
      <c r="FV38" s="3">
        <f t="shared" si="18"/>
        <v>0.53</v>
      </c>
      <c r="FW38" s="3">
        <f t="shared" si="18"/>
        <v>0.24</v>
      </c>
      <c r="FX38" s="3">
        <f t="shared" si="18"/>
        <v>0.24</v>
      </c>
      <c r="FY38" s="3">
        <f t="shared" si="18"/>
        <v>131.91999999999999</v>
      </c>
      <c r="FZ38" s="3">
        <f t="shared" si="18"/>
        <v>11.73</v>
      </c>
      <c r="GA38" s="3">
        <f t="shared" si="18"/>
        <v>11.610000000000003</v>
      </c>
      <c r="GB38" s="3">
        <f t="shared" si="18"/>
        <v>11.610000000000001</v>
      </c>
      <c r="GC38" s="3">
        <f t="shared" si="18"/>
        <v>12.100000000000001</v>
      </c>
      <c r="GD38" s="3">
        <f t="shared" si="18"/>
        <v>15.059999999999999</v>
      </c>
      <c r="GE38" s="3">
        <f t="shared" si="18"/>
        <v>14</v>
      </c>
      <c r="GF38" s="3">
        <f t="shared" si="18"/>
        <v>16.489999999999998</v>
      </c>
      <c r="GG38" s="3">
        <f t="shared" si="18"/>
        <v>15.29</v>
      </c>
      <c r="GH38" s="3">
        <f t="shared" si="18"/>
        <v>11.67</v>
      </c>
      <c r="GI38" s="3">
        <f t="shared" si="18"/>
        <v>11.78</v>
      </c>
      <c r="GJ38" s="3">
        <f t="shared" si="18"/>
        <v>12.190000000000001</v>
      </c>
      <c r="GK38" s="3">
        <f t="shared" si="18"/>
        <v>11.370000000000001</v>
      </c>
      <c r="GL38" s="3">
        <f t="shared" si="18"/>
        <v>11.300000000000002</v>
      </c>
      <c r="GM38" s="3">
        <f t="shared" si="18"/>
        <v>12.51</v>
      </c>
      <c r="GN38" s="3">
        <f t="shared" si="18"/>
        <v>9.6999999999999993</v>
      </c>
      <c r="GO38" s="3">
        <f t="shared" si="18"/>
        <v>13.6</v>
      </c>
      <c r="GP38" s="3">
        <f t="shared" si="18"/>
        <v>34.949999999999996</v>
      </c>
      <c r="GQ38" s="3">
        <f t="shared" si="18"/>
        <v>61.210000000000015</v>
      </c>
      <c r="GR38" s="3">
        <f t="shared" si="18"/>
        <v>51.279999999999994</v>
      </c>
      <c r="GS38" s="3">
        <f t="shared" si="18"/>
        <v>31.72</v>
      </c>
      <c r="GT38" s="3">
        <f t="shared" si="18"/>
        <v>21.259999999999998</v>
      </c>
      <c r="GU38" s="3">
        <f t="shared" si="18"/>
        <v>15.969999999999999</v>
      </c>
      <c r="GV38" s="3">
        <f t="shared" si="18"/>
        <v>12</v>
      </c>
      <c r="GW38" s="3">
        <f t="shared" si="18"/>
        <v>11.49</v>
      </c>
      <c r="GX38" s="3">
        <f t="shared" si="18"/>
        <v>441.88999999999993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F10" sqref="F10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195</v>
      </c>
      <c r="C6" s="3" t="s">
        <v>8</v>
      </c>
      <c r="D6" s="3" t="s">
        <v>199</v>
      </c>
      <c r="E6" s="3"/>
      <c r="F6" s="3" t="s">
        <v>200</v>
      </c>
      <c r="G6" s="3" t="s">
        <v>201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266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197</v>
      </c>
      <c r="G7" s="6" t="s">
        <v>261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265</v>
      </c>
      <c r="GZ7" t="s">
        <v>265</v>
      </c>
      <c r="HA7" t="s">
        <v>265</v>
      </c>
      <c r="HB7" t="s">
        <v>265</v>
      </c>
      <c r="HC7" t="s">
        <v>265</v>
      </c>
      <c r="HD7" t="s">
        <v>265</v>
      </c>
      <c r="HE7" t="s">
        <v>265</v>
      </c>
      <c r="HF7" t="s">
        <v>265</v>
      </c>
      <c r="HG7" t="s">
        <v>265</v>
      </c>
      <c r="HH7" t="s">
        <v>265</v>
      </c>
      <c r="HI7" t="s">
        <v>265</v>
      </c>
      <c r="HJ7" t="s">
        <v>265</v>
      </c>
      <c r="HK7" t="s">
        <v>265</v>
      </c>
      <c r="HL7" t="s">
        <v>265</v>
      </c>
      <c r="HM7" t="s">
        <v>265</v>
      </c>
      <c r="HN7" t="s">
        <v>265</v>
      </c>
      <c r="HO7" t="s">
        <v>265</v>
      </c>
      <c r="HP7" t="s">
        <v>265</v>
      </c>
      <c r="HQ7" t="s">
        <v>265</v>
      </c>
      <c r="HR7" t="s">
        <v>265</v>
      </c>
      <c r="HS7" t="s">
        <v>265</v>
      </c>
      <c r="HT7" t="s">
        <v>265</v>
      </c>
      <c r="HU7" t="s">
        <v>265</v>
      </c>
      <c r="HV7" t="s">
        <v>265</v>
      </c>
    </row>
    <row r="8" spans="2:230" x14ac:dyDescent="0.55000000000000004">
      <c r="B8" s="12" t="s">
        <v>267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197</v>
      </c>
      <c r="G8" s="6" t="s">
        <v>261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265</v>
      </c>
      <c r="GZ8" t="s">
        <v>265</v>
      </c>
      <c r="HA8" t="s">
        <v>265</v>
      </c>
      <c r="HB8" t="s">
        <v>265</v>
      </c>
      <c r="HC8" t="s">
        <v>265</v>
      </c>
      <c r="HD8" t="s">
        <v>265</v>
      </c>
      <c r="HE8" t="s">
        <v>265</v>
      </c>
      <c r="HF8" t="s">
        <v>265</v>
      </c>
      <c r="HG8" t="s">
        <v>265</v>
      </c>
      <c r="HH8" t="s">
        <v>265</v>
      </c>
      <c r="HI8" t="s">
        <v>265</v>
      </c>
      <c r="HJ8" t="s">
        <v>265</v>
      </c>
      <c r="HK8" t="s">
        <v>265</v>
      </c>
      <c r="HL8" t="s">
        <v>265</v>
      </c>
      <c r="HM8" t="s">
        <v>265</v>
      </c>
      <c r="HN8" t="s">
        <v>265</v>
      </c>
      <c r="HO8" t="s">
        <v>265</v>
      </c>
      <c r="HP8" t="s">
        <v>265</v>
      </c>
      <c r="HQ8" t="s">
        <v>265</v>
      </c>
      <c r="HR8" t="s">
        <v>265</v>
      </c>
      <c r="HS8" t="s">
        <v>265</v>
      </c>
      <c r="HT8" t="s">
        <v>265</v>
      </c>
      <c r="HU8" t="s">
        <v>265</v>
      </c>
      <c r="HV8" t="s">
        <v>265</v>
      </c>
    </row>
    <row r="9" spans="2:230" x14ac:dyDescent="0.55000000000000004">
      <c r="B9" s="12" t="s">
        <v>268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197</v>
      </c>
      <c r="G9" s="6" t="s">
        <v>261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265</v>
      </c>
      <c r="GZ9" t="s">
        <v>265</v>
      </c>
      <c r="HA9" t="s">
        <v>265</v>
      </c>
      <c r="HB9" t="s">
        <v>265</v>
      </c>
      <c r="HC9" t="s">
        <v>265</v>
      </c>
      <c r="HD9" t="s">
        <v>265</v>
      </c>
      <c r="HE9" t="s">
        <v>265</v>
      </c>
      <c r="HF9" t="s">
        <v>265</v>
      </c>
      <c r="HG9" t="s">
        <v>265</v>
      </c>
      <c r="HH9" t="s">
        <v>265</v>
      </c>
      <c r="HI9" t="s">
        <v>265</v>
      </c>
      <c r="HJ9" t="s">
        <v>265</v>
      </c>
      <c r="HK9" t="s">
        <v>265</v>
      </c>
      <c r="HL9" t="s">
        <v>265</v>
      </c>
      <c r="HM9" t="s">
        <v>265</v>
      </c>
      <c r="HN9" t="s">
        <v>265</v>
      </c>
      <c r="HO9" t="s">
        <v>265</v>
      </c>
      <c r="HP9" t="s">
        <v>265</v>
      </c>
      <c r="HQ9" t="s">
        <v>265</v>
      </c>
      <c r="HR9" t="s">
        <v>265</v>
      </c>
      <c r="HS9" t="s">
        <v>265</v>
      </c>
      <c r="HT9" t="s">
        <v>265</v>
      </c>
      <c r="HU9" t="s">
        <v>265</v>
      </c>
      <c r="HV9" t="s">
        <v>265</v>
      </c>
    </row>
    <row r="10" spans="2:230" x14ac:dyDescent="0.55000000000000004">
      <c r="B10" s="12" t="s">
        <v>269</v>
      </c>
      <c r="C10" s="6" t="str">
        <f t="shared" si="8"/>
        <v>土曜日</v>
      </c>
      <c r="D10" s="6"/>
      <c r="E10" s="6" t="str">
        <f t="shared" si="9"/>
        <v>〇</v>
      </c>
      <c r="F10" s="6" t="s">
        <v>197</v>
      </c>
      <c r="G10" s="6" t="s">
        <v>261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265</v>
      </c>
      <c r="GZ10" t="s">
        <v>265</v>
      </c>
      <c r="HA10" t="s">
        <v>265</v>
      </c>
      <c r="HB10" t="s">
        <v>265</v>
      </c>
      <c r="HC10" t="s">
        <v>265</v>
      </c>
      <c r="HD10" t="s">
        <v>265</v>
      </c>
      <c r="HE10" t="s">
        <v>265</v>
      </c>
      <c r="HF10" t="s">
        <v>265</v>
      </c>
      <c r="HG10" t="s">
        <v>265</v>
      </c>
      <c r="HH10" t="s">
        <v>265</v>
      </c>
      <c r="HI10" t="s">
        <v>265</v>
      </c>
      <c r="HJ10" t="s">
        <v>265</v>
      </c>
      <c r="HK10" t="s">
        <v>265</v>
      </c>
      <c r="HL10" t="s">
        <v>265</v>
      </c>
      <c r="HM10" t="s">
        <v>265</v>
      </c>
      <c r="HN10" t="s">
        <v>265</v>
      </c>
      <c r="HO10" t="s">
        <v>265</v>
      </c>
      <c r="HP10" t="s">
        <v>265</v>
      </c>
      <c r="HQ10" t="s">
        <v>265</v>
      </c>
      <c r="HR10" t="s">
        <v>265</v>
      </c>
      <c r="HS10" t="s">
        <v>265</v>
      </c>
      <c r="HT10" t="s">
        <v>265</v>
      </c>
      <c r="HU10" t="s">
        <v>265</v>
      </c>
      <c r="HV10" t="s">
        <v>265</v>
      </c>
    </row>
    <row r="11" spans="2:230" x14ac:dyDescent="0.55000000000000004">
      <c r="B11" s="12" t="s">
        <v>270</v>
      </c>
      <c r="C11" s="6" t="str">
        <f t="shared" si="8"/>
        <v>日曜日</v>
      </c>
      <c r="D11" s="6"/>
      <c r="E11" s="6" t="str">
        <f t="shared" si="9"/>
        <v>〇</v>
      </c>
      <c r="F11" s="6" t="s">
        <v>197</v>
      </c>
      <c r="G11" s="6" t="s">
        <v>261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265</v>
      </c>
      <c r="GZ11" t="s">
        <v>265</v>
      </c>
      <c r="HA11" t="s">
        <v>265</v>
      </c>
      <c r="HB11" t="s">
        <v>265</v>
      </c>
      <c r="HC11" t="s">
        <v>265</v>
      </c>
      <c r="HD11" t="s">
        <v>265</v>
      </c>
      <c r="HE11" t="s">
        <v>265</v>
      </c>
      <c r="HF11" t="s">
        <v>265</v>
      </c>
      <c r="HG11" t="s">
        <v>265</v>
      </c>
      <c r="HH11" t="s">
        <v>265</v>
      </c>
      <c r="HI11" t="s">
        <v>265</v>
      </c>
      <c r="HJ11" t="s">
        <v>265</v>
      </c>
      <c r="HK11" t="s">
        <v>265</v>
      </c>
      <c r="HL11" t="s">
        <v>265</v>
      </c>
      <c r="HM11" t="s">
        <v>265</v>
      </c>
      <c r="HN11" t="s">
        <v>265</v>
      </c>
      <c r="HO11" t="s">
        <v>265</v>
      </c>
      <c r="HP11" t="s">
        <v>265</v>
      </c>
      <c r="HQ11" t="s">
        <v>265</v>
      </c>
      <c r="HR11" t="s">
        <v>265</v>
      </c>
      <c r="HS11" t="s">
        <v>265</v>
      </c>
      <c r="HT11" t="s">
        <v>265</v>
      </c>
      <c r="HU11" t="s">
        <v>265</v>
      </c>
      <c r="HV11" t="s">
        <v>265</v>
      </c>
    </row>
    <row r="12" spans="2:230" x14ac:dyDescent="0.55000000000000004">
      <c r="B12" s="12" t="s">
        <v>271</v>
      </c>
      <c r="C12" s="6" t="str">
        <f t="shared" si="8"/>
        <v>月曜日</v>
      </c>
      <c r="D12" s="6"/>
      <c r="E12" s="6" t="str">
        <f t="shared" si="9"/>
        <v/>
      </c>
      <c r="F12" s="6" t="s">
        <v>197</v>
      </c>
      <c r="G12" s="6" t="s">
        <v>261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265</v>
      </c>
      <c r="GZ12" t="s">
        <v>265</v>
      </c>
      <c r="HA12" t="s">
        <v>265</v>
      </c>
      <c r="HB12" t="s">
        <v>265</v>
      </c>
      <c r="HC12" t="s">
        <v>265</v>
      </c>
      <c r="HD12" t="s">
        <v>265</v>
      </c>
      <c r="HE12" t="s">
        <v>265</v>
      </c>
      <c r="HF12" t="s">
        <v>265</v>
      </c>
      <c r="HG12" t="s">
        <v>265</v>
      </c>
      <c r="HH12" t="s">
        <v>265</v>
      </c>
      <c r="HI12" t="s">
        <v>265</v>
      </c>
      <c r="HJ12" t="s">
        <v>265</v>
      </c>
      <c r="HK12" t="s">
        <v>265</v>
      </c>
      <c r="HL12" t="s">
        <v>265</v>
      </c>
      <c r="HM12" t="s">
        <v>265</v>
      </c>
      <c r="HN12" t="s">
        <v>265</v>
      </c>
      <c r="HO12" t="s">
        <v>265</v>
      </c>
      <c r="HP12" t="s">
        <v>265</v>
      </c>
      <c r="HQ12" t="s">
        <v>265</v>
      </c>
      <c r="HR12" t="s">
        <v>265</v>
      </c>
      <c r="HS12" t="s">
        <v>265</v>
      </c>
      <c r="HT12" t="s">
        <v>265</v>
      </c>
      <c r="HU12" t="s">
        <v>265</v>
      </c>
      <c r="HV12" t="s">
        <v>265</v>
      </c>
    </row>
    <row r="13" spans="2:230" x14ac:dyDescent="0.55000000000000004">
      <c r="B13" s="12" t="s">
        <v>272</v>
      </c>
      <c r="C13" s="6" t="str">
        <f t="shared" si="8"/>
        <v>火曜日</v>
      </c>
      <c r="D13" s="6"/>
      <c r="E13" s="6" t="str">
        <f t="shared" si="9"/>
        <v/>
      </c>
      <c r="F13" s="6" t="s">
        <v>197</v>
      </c>
      <c r="G13" s="6" t="s">
        <v>261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265</v>
      </c>
      <c r="GZ13" t="s">
        <v>265</v>
      </c>
      <c r="HA13" t="s">
        <v>265</v>
      </c>
      <c r="HB13" t="s">
        <v>265</v>
      </c>
      <c r="HC13" t="s">
        <v>265</v>
      </c>
      <c r="HD13" t="s">
        <v>265</v>
      </c>
      <c r="HE13" t="s">
        <v>265</v>
      </c>
      <c r="HF13" t="s">
        <v>265</v>
      </c>
      <c r="HG13" t="s">
        <v>265</v>
      </c>
      <c r="HH13" t="s">
        <v>265</v>
      </c>
      <c r="HI13" t="s">
        <v>265</v>
      </c>
      <c r="HJ13" t="s">
        <v>265</v>
      </c>
      <c r="HK13" t="s">
        <v>265</v>
      </c>
      <c r="HL13" t="s">
        <v>265</v>
      </c>
      <c r="HM13" t="s">
        <v>265</v>
      </c>
      <c r="HN13" t="s">
        <v>265</v>
      </c>
      <c r="HO13" t="s">
        <v>265</v>
      </c>
      <c r="HP13" t="s">
        <v>265</v>
      </c>
      <c r="HQ13" t="s">
        <v>265</v>
      </c>
      <c r="HR13" t="s">
        <v>265</v>
      </c>
      <c r="HS13" t="s">
        <v>265</v>
      </c>
      <c r="HT13" t="s">
        <v>265</v>
      </c>
      <c r="HU13" t="s">
        <v>265</v>
      </c>
      <c r="HV13" t="s">
        <v>265</v>
      </c>
    </row>
    <row r="14" spans="2:230" x14ac:dyDescent="0.55000000000000004">
      <c r="B14" s="12" t="s">
        <v>273</v>
      </c>
      <c r="C14" s="6" t="str">
        <f t="shared" si="8"/>
        <v>水曜日</v>
      </c>
      <c r="D14" s="6"/>
      <c r="E14" s="6" t="str">
        <f t="shared" si="9"/>
        <v/>
      </c>
      <c r="F14" s="6" t="s">
        <v>197</v>
      </c>
      <c r="G14" s="6" t="s">
        <v>261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265</v>
      </c>
      <c r="GZ14" t="s">
        <v>265</v>
      </c>
      <c r="HA14" t="s">
        <v>265</v>
      </c>
      <c r="HB14" t="s">
        <v>265</v>
      </c>
      <c r="HC14" t="s">
        <v>265</v>
      </c>
      <c r="HD14" t="s">
        <v>265</v>
      </c>
      <c r="HE14" t="s">
        <v>265</v>
      </c>
      <c r="HF14" t="s">
        <v>265</v>
      </c>
      <c r="HG14" t="s">
        <v>265</v>
      </c>
      <c r="HH14" t="s">
        <v>265</v>
      </c>
      <c r="HI14" t="s">
        <v>265</v>
      </c>
      <c r="HJ14" t="s">
        <v>265</v>
      </c>
      <c r="HK14" t="s">
        <v>265</v>
      </c>
      <c r="HL14" t="s">
        <v>265</v>
      </c>
      <c r="HM14" t="s">
        <v>265</v>
      </c>
      <c r="HN14" t="s">
        <v>265</v>
      </c>
      <c r="HO14" t="s">
        <v>265</v>
      </c>
      <c r="HP14" t="s">
        <v>265</v>
      </c>
      <c r="HQ14" t="s">
        <v>265</v>
      </c>
      <c r="HR14" t="s">
        <v>265</v>
      </c>
      <c r="HS14" t="s">
        <v>265</v>
      </c>
      <c r="HT14" t="s">
        <v>265</v>
      </c>
      <c r="HU14" t="s">
        <v>265</v>
      </c>
      <c r="HV14" t="s">
        <v>265</v>
      </c>
    </row>
    <row r="15" spans="2:230" x14ac:dyDescent="0.55000000000000004">
      <c r="B15" s="12" t="s">
        <v>274</v>
      </c>
      <c r="C15" s="6" t="str">
        <f t="shared" si="8"/>
        <v>木曜日</v>
      </c>
      <c r="D15" s="6"/>
      <c r="E15" s="6" t="str">
        <f t="shared" si="9"/>
        <v/>
      </c>
      <c r="F15" s="6" t="s">
        <v>197</v>
      </c>
      <c r="G15" s="6" t="s">
        <v>261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265</v>
      </c>
      <c r="GZ15" t="s">
        <v>265</v>
      </c>
      <c r="HA15" t="s">
        <v>265</v>
      </c>
      <c r="HB15" t="s">
        <v>265</v>
      </c>
      <c r="HC15" t="s">
        <v>265</v>
      </c>
      <c r="HD15" t="s">
        <v>265</v>
      </c>
      <c r="HE15" t="s">
        <v>265</v>
      </c>
      <c r="HF15" t="s">
        <v>265</v>
      </c>
      <c r="HG15" t="s">
        <v>265</v>
      </c>
      <c r="HH15" t="s">
        <v>265</v>
      </c>
      <c r="HI15" t="s">
        <v>265</v>
      </c>
      <c r="HJ15" t="s">
        <v>265</v>
      </c>
      <c r="HK15" t="s">
        <v>265</v>
      </c>
      <c r="HL15" t="s">
        <v>265</v>
      </c>
      <c r="HM15" t="s">
        <v>265</v>
      </c>
      <c r="HN15" t="s">
        <v>265</v>
      </c>
      <c r="HO15" t="s">
        <v>265</v>
      </c>
      <c r="HP15" t="s">
        <v>265</v>
      </c>
      <c r="HQ15" t="s">
        <v>265</v>
      </c>
      <c r="HR15" t="s">
        <v>265</v>
      </c>
      <c r="HS15" t="s">
        <v>265</v>
      </c>
      <c r="HT15" t="s">
        <v>265</v>
      </c>
      <c r="HU15" t="s">
        <v>265</v>
      </c>
      <c r="HV15" t="s">
        <v>265</v>
      </c>
    </row>
    <row r="16" spans="2:230" x14ac:dyDescent="0.55000000000000004">
      <c r="B16" s="12" t="s">
        <v>275</v>
      </c>
      <c r="C16" s="6" t="str">
        <f t="shared" si="8"/>
        <v>金曜日</v>
      </c>
      <c r="D16" s="6"/>
      <c r="E16" s="6" t="str">
        <f t="shared" si="9"/>
        <v/>
      </c>
      <c r="F16" s="6" t="s">
        <v>197</v>
      </c>
      <c r="G16" s="6" t="s">
        <v>261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265</v>
      </c>
      <c r="GZ16" t="s">
        <v>265</v>
      </c>
      <c r="HA16" t="s">
        <v>265</v>
      </c>
      <c r="HB16" t="s">
        <v>265</v>
      </c>
      <c r="HC16" t="s">
        <v>265</v>
      </c>
      <c r="HD16" t="s">
        <v>265</v>
      </c>
      <c r="HE16" t="s">
        <v>265</v>
      </c>
      <c r="HF16" t="s">
        <v>265</v>
      </c>
      <c r="HG16" t="s">
        <v>265</v>
      </c>
      <c r="HH16" t="s">
        <v>265</v>
      </c>
      <c r="HI16" t="s">
        <v>265</v>
      </c>
      <c r="HJ16" t="s">
        <v>265</v>
      </c>
      <c r="HK16" t="s">
        <v>265</v>
      </c>
      <c r="HL16" t="s">
        <v>265</v>
      </c>
      <c r="HM16" t="s">
        <v>265</v>
      </c>
      <c r="HN16" t="s">
        <v>265</v>
      </c>
      <c r="HO16" t="s">
        <v>265</v>
      </c>
      <c r="HP16" t="s">
        <v>265</v>
      </c>
      <c r="HQ16" t="s">
        <v>265</v>
      </c>
      <c r="HR16" t="s">
        <v>265</v>
      </c>
      <c r="HS16" t="s">
        <v>265</v>
      </c>
      <c r="HT16" t="s">
        <v>265</v>
      </c>
      <c r="HU16" t="s">
        <v>265</v>
      </c>
      <c r="HV16" t="s">
        <v>265</v>
      </c>
    </row>
    <row r="17" spans="2:230" x14ac:dyDescent="0.55000000000000004">
      <c r="B17" s="12" t="s">
        <v>276</v>
      </c>
      <c r="C17" s="6" t="str">
        <f t="shared" si="8"/>
        <v>土曜日</v>
      </c>
      <c r="D17" s="6"/>
      <c r="E17" s="6" t="str">
        <f t="shared" si="9"/>
        <v>〇</v>
      </c>
      <c r="F17" s="6" t="s">
        <v>197</v>
      </c>
      <c r="G17" s="6" t="s">
        <v>261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265</v>
      </c>
      <c r="GZ17" t="s">
        <v>265</v>
      </c>
      <c r="HA17" t="s">
        <v>265</v>
      </c>
      <c r="HB17" t="s">
        <v>265</v>
      </c>
      <c r="HC17" t="s">
        <v>265</v>
      </c>
      <c r="HD17" t="s">
        <v>265</v>
      </c>
      <c r="HE17" t="s">
        <v>265</v>
      </c>
      <c r="HF17" t="s">
        <v>265</v>
      </c>
      <c r="HG17" t="s">
        <v>265</v>
      </c>
      <c r="HH17" t="s">
        <v>265</v>
      </c>
      <c r="HI17" t="s">
        <v>265</v>
      </c>
      <c r="HJ17" t="s">
        <v>265</v>
      </c>
      <c r="HK17" t="s">
        <v>265</v>
      </c>
      <c r="HL17" t="s">
        <v>265</v>
      </c>
      <c r="HM17" t="s">
        <v>265</v>
      </c>
      <c r="HN17" t="s">
        <v>265</v>
      </c>
      <c r="HO17" t="s">
        <v>265</v>
      </c>
      <c r="HP17" t="s">
        <v>265</v>
      </c>
      <c r="HQ17" t="s">
        <v>265</v>
      </c>
      <c r="HR17" t="s">
        <v>265</v>
      </c>
      <c r="HS17" t="s">
        <v>265</v>
      </c>
      <c r="HT17" t="s">
        <v>265</v>
      </c>
      <c r="HU17" t="s">
        <v>265</v>
      </c>
      <c r="HV17" t="s">
        <v>265</v>
      </c>
    </row>
    <row r="18" spans="2:230" x14ac:dyDescent="0.55000000000000004">
      <c r="B18" s="12" t="s">
        <v>277</v>
      </c>
      <c r="C18" s="6" t="str">
        <f t="shared" si="8"/>
        <v>日曜日</v>
      </c>
      <c r="D18" s="6"/>
      <c r="E18" s="6" t="str">
        <f t="shared" si="9"/>
        <v>〇</v>
      </c>
      <c r="F18" s="6" t="s">
        <v>197</v>
      </c>
      <c r="G18" s="6" t="s">
        <v>261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265</v>
      </c>
      <c r="GZ18" t="s">
        <v>265</v>
      </c>
      <c r="HA18" t="s">
        <v>265</v>
      </c>
      <c r="HB18" t="s">
        <v>265</v>
      </c>
      <c r="HC18" t="s">
        <v>265</v>
      </c>
      <c r="HD18" t="s">
        <v>265</v>
      </c>
      <c r="HE18" t="s">
        <v>265</v>
      </c>
      <c r="HF18" t="s">
        <v>265</v>
      </c>
      <c r="HG18" t="s">
        <v>265</v>
      </c>
      <c r="HH18" t="s">
        <v>265</v>
      </c>
      <c r="HI18" t="s">
        <v>265</v>
      </c>
      <c r="HJ18" t="s">
        <v>265</v>
      </c>
      <c r="HK18" t="s">
        <v>265</v>
      </c>
      <c r="HL18" t="s">
        <v>265</v>
      </c>
      <c r="HM18" t="s">
        <v>265</v>
      </c>
      <c r="HN18" t="s">
        <v>265</v>
      </c>
      <c r="HO18" t="s">
        <v>265</v>
      </c>
      <c r="HP18" t="s">
        <v>265</v>
      </c>
      <c r="HQ18" t="s">
        <v>265</v>
      </c>
      <c r="HR18" t="s">
        <v>265</v>
      </c>
      <c r="HS18" t="s">
        <v>265</v>
      </c>
      <c r="HT18" t="s">
        <v>265</v>
      </c>
      <c r="HU18" t="s">
        <v>265</v>
      </c>
      <c r="HV18" t="s">
        <v>265</v>
      </c>
    </row>
    <row r="19" spans="2:230" x14ac:dyDescent="0.55000000000000004">
      <c r="B19" s="12" t="s">
        <v>278</v>
      </c>
      <c r="C19" s="6" t="str">
        <f t="shared" si="8"/>
        <v>月曜日</v>
      </c>
      <c r="D19" s="6"/>
      <c r="E19" s="6" t="str">
        <f t="shared" si="9"/>
        <v/>
      </c>
      <c r="F19" s="6" t="s">
        <v>197</v>
      </c>
      <c r="G19" s="6" t="s">
        <v>261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265</v>
      </c>
      <c r="GZ19" t="s">
        <v>265</v>
      </c>
      <c r="HA19" t="s">
        <v>265</v>
      </c>
      <c r="HB19" t="s">
        <v>265</v>
      </c>
      <c r="HC19" t="s">
        <v>265</v>
      </c>
      <c r="HD19" t="s">
        <v>265</v>
      </c>
      <c r="HE19" t="s">
        <v>265</v>
      </c>
      <c r="HF19" t="s">
        <v>265</v>
      </c>
      <c r="HG19" t="s">
        <v>265</v>
      </c>
      <c r="HH19" t="s">
        <v>265</v>
      </c>
      <c r="HI19" t="s">
        <v>265</v>
      </c>
      <c r="HJ19" t="s">
        <v>265</v>
      </c>
      <c r="HK19" t="s">
        <v>265</v>
      </c>
      <c r="HL19" t="s">
        <v>265</v>
      </c>
      <c r="HM19" t="s">
        <v>265</v>
      </c>
      <c r="HN19" t="s">
        <v>265</v>
      </c>
      <c r="HO19" t="s">
        <v>265</v>
      </c>
      <c r="HP19" t="s">
        <v>265</v>
      </c>
      <c r="HQ19" t="s">
        <v>265</v>
      </c>
      <c r="HR19" t="s">
        <v>265</v>
      </c>
      <c r="HS19" t="s">
        <v>265</v>
      </c>
      <c r="HT19" t="s">
        <v>265</v>
      </c>
      <c r="HU19" t="s">
        <v>265</v>
      </c>
      <c r="HV19" t="s">
        <v>265</v>
      </c>
    </row>
    <row r="20" spans="2:230" x14ac:dyDescent="0.55000000000000004">
      <c r="B20" s="12" t="s">
        <v>279</v>
      </c>
      <c r="C20" s="6" t="str">
        <f t="shared" si="8"/>
        <v>火曜日</v>
      </c>
      <c r="D20" s="6"/>
      <c r="E20" s="6" t="str">
        <f t="shared" si="9"/>
        <v/>
      </c>
      <c r="F20" s="6" t="s">
        <v>197</v>
      </c>
      <c r="G20" s="6" t="s">
        <v>261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265</v>
      </c>
      <c r="GZ20" t="s">
        <v>265</v>
      </c>
      <c r="HA20" t="s">
        <v>265</v>
      </c>
      <c r="HB20" t="s">
        <v>265</v>
      </c>
      <c r="HC20" t="s">
        <v>265</v>
      </c>
      <c r="HD20" t="s">
        <v>265</v>
      </c>
      <c r="HE20" t="s">
        <v>265</v>
      </c>
      <c r="HF20" t="s">
        <v>265</v>
      </c>
      <c r="HG20" t="s">
        <v>265</v>
      </c>
      <c r="HH20" t="s">
        <v>265</v>
      </c>
      <c r="HI20" t="s">
        <v>265</v>
      </c>
      <c r="HJ20" t="s">
        <v>265</v>
      </c>
      <c r="HK20" t="s">
        <v>265</v>
      </c>
      <c r="HL20" t="s">
        <v>265</v>
      </c>
      <c r="HM20" t="s">
        <v>265</v>
      </c>
      <c r="HN20" t="s">
        <v>265</v>
      </c>
      <c r="HO20" t="s">
        <v>265</v>
      </c>
      <c r="HP20" t="s">
        <v>265</v>
      </c>
      <c r="HQ20" t="s">
        <v>265</v>
      </c>
      <c r="HR20" t="s">
        <v>265</v>
      </c>
      <c r="HS20" t="s">
        <v>265</v>
      </c>
      <c r="HT20" t="s">
        <v>265</v>
      </c>
      <c r="HU20" t="s">
        <v>265</v>
      </c>
      <c r="HV20" t="s">
        <v>265</v>
      </c>
    </row>
    <row r="21" spans="2:230" x14ac:dyDescent="0.55000000000000004">
      <c r="B21" s="12" t="s">
        <v>280</v>
      </c>
      <c r="C21" s="6" t="str">
        <f t="shared" si="8"/>
        <v>水曜日</v>
      </c>
      <c r="D21" s="6"/>
      <c r="E21" s="6" t="str">
        <f t="shared" si="9"/>
        <v/>
      </c>
      <c r="F21" s="6" t="s">
        <v>197</v>
      </c>
      <c r="G21" s="6" t="s">
        <v>261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265</v>
      </c>
      <c r="GZ21" t="s">
        <v>265</v>
      </c>
      <c r="HA21" t="s">
        <v>265</v>
      </c>
      <c r="HB21" t="s">
        <v>265</v>
      </c>
      <c r="HC21" t="s">
        <v>265</v>
      </c>
      <c r="HD21" t="s">
        <v>265</v>
      </c>
      <c r="HE21" t="s">
        <v>265</v>
      </c>
      <c r="HF21" t="s">
        <v>265</v>
      </c>
      <c r="HG21" t="s">
        <v>265</v>
      </c>
      <c r="HH21" t="s">
        <v>265</v>
      </c>
      <c r="HI21" t="s">
        <v>265</v>
      </c>
      <c r="HJ21" t="s">
        <v>265</v>
      </c>
      <c r="HK21" t="s">
        <v>265</v>
      </c>
      <c r="HL21" t="s">
        <v>265</v>
      </c>
      <c r="HM21" t="s">
        <v>265</v>
      </c>
      <c r="HN21" t="s">
        <v>265</v>
      </c>
      <c r="HO21" t="s">
        <v>265</v>
      </c>
      <c r="HP21" t="s">
        <v>265</v>
      </c>
      <c r="HQ21" t="s">
        <v>265</v>
      </c>
      <c r="HR21" t="s">
        <v>265</v>
      </c>
      <c r="HS21" t="s">
        <v>265</v>
      </c>
      <c r="HT21" t="s">
        <v>265</v>
      </c>
      <c r="HU21" t="s">
        <v>265</v>
      </c>
      <c r="HV21" t="s">
        <v>265</v>
      </c>
    </row>
    <row r="22" spans="2:230" x14ac:dyDescent="0.55000000000000004">
      <c r="B22" s="12" t="s">
        <v>281</v>
      </c>
      <c r="C22" s="6" t="str">
        <f t="shared" si="8"/>
        <v>木曜日</v>
      </c>
      <c r="D22" s="6"/>
      <c r="E22" s="6" t="str">
        <f t="shared" si="9"/>
        <v/>
      </c>
      <c r="F22" s="6" t="s">
        <v>197</v>
      </c>
      <c r="G22" s="6" t="s">
        <v>261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265</v>
      </c>
      <c r="GZ22" t="s">
        <v>265</v>
      </c>
      <c r="HA22" t="s">
        <v>265</v>
      </c>
      <c r="HB22" t="s">
        <v>265</v>
      </c>
      <c r="HC22" t="s">
        <v>265</v>
      </c>
      <c r="HD22" t="s">
        <v>265</v>
      </c>
      <c r="HE22" t="s">
        <v>265</v>
      </c>
      <c r="HF22" t="s">
        <v>265</v>
      </c>
      <c r="HG22" t="s">
        <v>265</v>
      </c>
      <c r="HH22" t="s">
        <v>265</v>
      </c>
      <c r="HI22" t="s">
        <v>265</v>
      </c>
      <c r="HJ22" t="s">
        <v>265</v>
      </c>
      <c r="HK22" t="s">
        <v>265</v>
      </c>
      <c r="HL22" t="s">
        <v>265</v>
      </c>
      <c r="HM22" t="s">
        <v>265</v>
      </c>
      <c r="HN22" t="s">
        <v>265</v>
      </c>
      <c r="HO22" t="s">
        <v>265</v>
      </c>
      <c r="HP22" t="s">
        <v>265</v>
      </c>
      <c r="HQ22" t="s">
        <v>265</v>
      </c>
      <c r="HR22" t="s">
        <v>265</v>
      </c>
      <c r="HS22" t="s">
        <v>265</v>
      </c>
      <c r="HT22" t="s">
        <v>265</v>
      </c>
      <c r="HU22" t="s">
        <v>265</v>
      </c>
      <c r="HV22" t="s">
        <v>265</v>
      </c>
    </row>
    <row r="23" spans="2:230" x14ac:dyDescent="0.55000000000000004">
      <c r="B23" s="12" t="s">
        <v>282</v>
      </c>
      <c r="C23" s="6" t="str">
        <f t="shared" si="8"/>
        <v>金曜日</v>
      </c>
      <c r="D23" s="6"/>
      <c r="E23" s="6" t="str">
        <f t="shared" si="9"/>
        <v/>
      </c>
      <c r="F23" s="6" t="s">
        <v>197</v>
      </c>
      <c r="G23" s="6" t="s">
        <v>261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265</v>
      </c>
      <c r="GZ23" t="s">
        <v>265</v>
      </c>
      <c r="HA23" t="s">
        <v>265</v>
      </c>
      <c r="HB23" t="s">
        <v>265</v>
      </c>
      <c r="HC23" t="s">
        <v>265</v>
      </c>
      <c r="HD23" t="s">
        <v>265</v>
      </c>
      <c r="HE23" t="s">
        <v>265</v>
      </c>
      <c r="HF23" t="s">
        <v>265</v>
      </c>
      <c r="HG23" t="s">
        <v>265</v>
      </c>
      <c r="HH23" t="s">
        <v>265</v>
      </c>
      <c r="HI23" t="s">
        <v>265</v>
      </c>
      <c r="HJ23" t="s">
        <v>265</v>
      </c>
      <c r="HK23" t="s">
        <v>265</v>
      </c>
      <c r="HL23" t="s">
        <v>265</v>
      </c>
      <c r="HM23" t="s">
        <v>265</v>
      </c>
      <c r="HN23" t="s">
        <v>265</v>
      </c>
      <c r="HO23" t="s">
        <v>265</v>
      </c>
      <c r="HP23" t="s">
        <v>265</v>
      </c>
      <c r="HQ23" t="s">
        <v>265</v>
      </c>
      <c r="HR23" t="s">
        <v>265</v>
      </c>
      <c r="HS23" t="s">
        <v>265</v>
      </c>
      <c r="HT23" t="s">
        <v>265</v>
      </c>
      <c r="HU23" t="s">
        <v>265</v>
      </c>
      <c r="HV23" t="s">
        <v>265</v>
      </c>
    </row>
    <row r="24" spans="2:230" x14ac:dyDescent="0.55000000000000004">
      <c r="B24" s="12" t="s">
        <v>283</v>
      </c>
      <c r="C24" s="6" t="str">
        <f t="shared" si="8"/>
        <v>土曜日</v>
      </c>
      <c r="D24" s="6"/>
      <c r="E24" s="6" t="str">
        <f t="shared" si="9"/>
        <v>〇</v>
      </c>
      <c r="F24" s="6" t="s">
        <v>197</v>
      </c>
      <c r="G24" s="6" t="s">
        <v>261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265</v>
      </c>
      <c r="GZ24" t="s">
        <v>265</v>
      </c>
      <c r="HA24" t="s">
        <v>265</v>
      </c>
      <c r="HB24" t="s">
        <v>265</v>
      </c>
      <c r="HC24" t="s">
        <v>265</v>
      </c>
      <c r="HD24" t="s">
        <v>265</v>
      </c>
      <c r="HE24" t="s">
        <v>265</v>
      </c>
      <c r="HF24" t="s">
        <v>265</v>
      </c>
      <c r="HG24" t="s">
        <v>265</v>
      </c>
      <c r="HH24" t="s">
        <v>265</v>
      </c>
      <c r="HI24" t="s">
        <v>265</v>
      </c>
      <c r="HJ24" t="s">
        <v>265</v>
      </c>
      <c r="HK24" t="s">
        <v>265</v>
      </c>
      <c r="HL24" t="s">
        <v>265</v>
      </c>
      <c r="HM24" t="s">
        <v>265</v>
      </c>
      <c r="HN24" t="s">
        <v>265</v>
      </c>
      <c r="HO24" t="s">
        <v>265</v>
      </c>
      <c r="HP24" t="s">
        <v>265</v>
      </c>
      <c r="HQ24" t="s">
        <v>265</v>
      </c>
      <c r="HR24" t="s">
        <v>265</v>
      </c>
      <c r="HS24" t="s">
        <v>265</v>
      </c>
      <c r="HT24" t="s">
        <v>265</v>
      </c>
      <c r="HU24" t="s">
        <v>265</v>
      </c>
      <c r="HV24" t="s">
        <v>265</v>
      </c>
    </row>
    <row r="25" spans="2:230" x14ac:dyDescent="0.55000000000000004">
      <c r="B25" s="12" t="s">
        <v>284</v>
      </c>
      <c r="C25" s="6" t="str">
        <f t="shared" si="8"/>
        <v>日曜日</v>
      </c>
      <c r="D25" s="6"/>
      <c r="E25" s="6" t="str">
        <f t="shared" si="9"/>
        <v>〇</v>
      </c>
      <c r="F25" s="6" t="s">
        <v>197</v>
      </c>
      <c r="G25" s="6" t="s">
        <v>261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265</v>
      </c>
      <c r="GZ25" t="s">
        <v>265</v>
      </c>
      <c r="HA25" t="s">
        <v>265</v>
      </c>
      <c r="HB25" t="s">
        <v>265</v>
      </c>
      <c r="HC25" t="s">
        <v>265</v>
      </c>
      <c r="HD25" t="s">
        <v>265</v>
      </c>
      <c r="HE25" t="s">
        <v>265</v>
      </c>
      <c r="HF25" t="s">
        <v>265</v>
      </c>
      <c r="HG25" t="s">
        <v>265</v>
      </c>
      <c r="HH25" t="s">
        <v>265</v>
      </c>
      <c r="HI25" t="s">
        <v>265</v>
      </c>
      <c r="HJ25" t="s">
        <v>265</v>
      </c>
      <c r="HK25" t="s">
        <v>265</v>
      </c>
      <c r="HL25" t="s">
        <v>265</v>
      </c>
      <c r="HM25" t="s">
        <v>265</v>
      </c>
      <c r="HN25" t="s">
        <v>265</v>
      </c>
      <c r="HO25" t="s">
        <v>265</v>
      </c>
      <c r="HP25" t="s">
        <v>265</v>
      </c>
      <c r="HQ25" t="s">
        <v>265</v>
      </c>
      <c r="HR25" t="s">
        <v>265</v>
      </c>
      <c r="HS25" t="s">
        <v>265</v>
      </c>
      <c r="HT25" t="s">
        <v>265</v>
      </c>
      <c r="HU25" t="s">
        <v>265</v>
      </c>
      <c r="HV25" t="s">
        <v>265</v>
      </c>
    </row>
    <row r="26" spans="2:230" x14ac:dyDescent="0.55000000000000004">
      <c r="B26" s="12" t="s">
        <v>285</v>
      </c>
      <c r="C26" s="6" t="str">
        <f t="shared" si="8"/>
        <v>月曜日</v>
      </c>
      <c r="D26" s="6"/>
      <c r="E26" s="6" t="str">
        <f t="shared" si="9"/>
        <v/>
      </c>
      <c r="F26" s="6" t="s">
        <v>197</v>
      </c>
      <c r="G26" s="6" t="s">
        <v>261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265</v>
      </c>
      <c r="GZ26" t="s">
        <v>265</v>
      </c>
      <c r="HA26" t="s">
        <v>265</v>
      </c>
      <c r="HB26" t="s">
        <v>265</v>
      </c>
      <c r="HC26" t="s">
        <v>265</v>
      </c>
      <c r="HD26" t="s">
        <v>265</v>
      </c>
      <c r="HE26" t="s">
        <v>265</v>
      </c>
      <c r="HF26" t="s">
        <v>265</v>
      </c>
      <c r="HG26" t="s">
        <v>265</v>
      </c>
      <c r="HH26" t="s">
        <v>265</v>
      </c>
      <c r="HI26" t="s">
        <v>265</v>
      </c>
      <c r="HJ26" t="s">
        <v>265</v>
      </c>
      <c r="HK26" t="s">
        <v>265</v>
      </c>
      <c r="HL26" t="s">
        <v>265</v>
      </c>
      <c r="HM26" t="s">
        <v>265</v>
      </c>
      <c r="HN26" t="s">
        <v>265</v>
      </c>
      <c r="HO26" t="s">
        <v>265</v>
      </c>
      <c r="HP26" t="s">
        <v>265</v>
      </c>
      <c r="HQ26" t="s">
        <v>265</v>
      </c>
      <c r="HR26" t="s">
        <v>265</v>
      </c>
      <c r="HS26" t="s">
        <v>265</v>
      </c>
      <c r="HT26" t="s">
        <v>265</v>
      </c>
      <c r="HU26" t="s">
        <v>265</v>
      </c>
      <c r="HV26" t="s">
        <v>265</v>
      </c>
    </row>
    <row r="27" spans="2:230" x14ac:dyDescent="0.55000000000000004">
      <c r="B27" s="12" t="s">
        <v>286</v>
      </c>
      <c r="C27" s="6" t="str">
        <f t="shared" si="8"/>
        <v>火曜日</v>
      </c>
      <c r="D27" s="6"/>
      <c r="E27" s="6" t="str">
        <f t="shared" si="9"/>
        <v/>
      </c>
      <c r="F27" s="6" t="s">
        <v>197</v>
      </c>
      <c r="G27" s="6" t="s">
        <v>261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265</v>
      </c>
      <c r="GZ27" t="s">
        <v>265</v>
      </c>
      <c r="HA27" t="s">
        <v>265</v>
      </c>
      <c r="HB27" t="s">
        <v>265</v>
      </c>
      <c r="HC27" t="s">
        <v>265</v>
      </c>
      <c r="HD27" t="s">
        <v>265</v>
      </c>
      <c r="HE27" t="s">
        <v>265</v>
      </c>
      <c r="HF27" t="s">
        <v>265</v>
      </c>
      <c r="HG27" t="s">
        <v>265</v>
      </c>
      <c r="HH27" t="s">
        <v>265</v>
      </c>
      <c r="HI27" t="s">
        <v>265</v>
      </c>
      <c r="HJ27" t="s">
        <v>265</v>
      </c>
      <c r="HK27" t="s">
        <v>265</v>
      </c>
      <c r="HL27" t="s">
        <v>265</v>
      </c>
      <c r="HM27" t="s">
        <v>265</v>
      </c>
      <c r="HN27" t="s">
        <v>265</v>
      </c>
      <c r="HO27" t="s">
        <v>265</v>
      </c>
      <c r="HP27" t="s">
        <v>265</v>
      </c>
      <c r="HQ27" t="s">
        <v>265</v>
      </c>
      <c r="HR27" t="s">
        <v>265</v>
      </c>
      <c r="HS27" t="s">
        <v>265</v>
      </c>
      <c r="HT27" t="s">
        <v>265</v>
      </c>
      <c r="HU27" t="s">
        <v>265</v>
      </c>
      <c r="HV27" t="s">
        <v>265</v>
      </c>
    </row>
    <row r="28" spans="2:230" x14ac:dyDescent="0.55000000000000004">
      <c r="B28" s="12" t="s">
        <v>287</v>
      </c>
      <c r="C28" s="6" t="str">
        <f t="shared" si="8"/>
        <v>水曜日</v>
      </c>
      <c r="D28" s="6"/>
      <c r="E28" s="6" t="str">
        <f t="shared" si="9"/>
        <v/>
      </c>
      <c r="F28" s="6" t="s">
        <v>197</v>
      </c>
      <c r="G28" s="6" t="s">
        <v>261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265</v>
      </c>
      <c r="GZ28" t="s">
        <v>265</v>
      </c>
      <c r="HA28" t="s">
        <v>265</v>
      </c>
      <c r="HB28" t="s">
        <v>265</v>
      </c>
      <c r="HC28" t="s">
        <v>265</v>
      </c>
      <c r="HD28" t="s">
        <v>265</v>
      </c>
      <c r="HE28" t="s">
        <v>265</v>
      </c>
      <c r="HF28" t="s">
        <v>265</v>
      </c>
      <c r="HG28" t="s">
        <v>265</v>
      </c>
      <c r="HH28" t="s">
        <v>265</v>
      </c>
      <c r="HI28" t="s">
        <v>265</v>
      </c>
      <c r="HJ28" t="s">
        <v>265</v>
      </c>
      <c r="HK28" t="s">
        <v>265</v>
      </c>
      <c r="HL28" t="s">
        <v>265</v>
      </c>
      <c r="HM28" t="s">
        <v>265</v>
      </c>
      <c r="HN28" t="s">
        <v>265</v>
      </c>
      <c r="HO28" t="s">
        <v>265</v>
      </c>
      <c r="HP28" t="s">
        <v>265</v>
      </c>
      <c r="HQ28" t="s">
        <v>265</v>
      </c>
      <c r="HR28" t="s">
        <v>265</v>
      </c>
      <c r="HS28" t="s">
        <v>265</v>
      </c>
      <c r="HT28" t="s">
        <v>265</v>
      </c>
      <c r="HU28" t="s">
        <v>265</v>
      </c>
      <c r="HV28" t="s">
        <v>265</v>
      </c>
    </row>
    <row r="29" spans="2:230" x14ac:dyDescent="0.55000000000000004">
      <c r="B29" s="12" t="s">
        <v>288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197</v>
      </c>
      <c r="G29" s="6" t="s">
        <v>261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265</v>
      </c>
      <c r="GZ29" t="s">
        <v>265</v>
      </c>
      <c r="HA29" t="s">
        <v>265</v>
      </c>
      <c r="HB29" t="s">
        <v>265</v>
      </c>
      <c r="HC29" t="s">
        <v>265</v>
      </c>
      <c r="HD29" t="s">
        <v>265</v>
      </c>
      <c r="HE29" t="s">
        <v>265</v>
      </c>
      <c r="HF29" t="s">
        <v>265</v>
      </c>
      <c r="HG29" t="s">
        <v>265</v>
      </c>
      <c r="HH29" t="s">
        <v>265</v>
      </c>
      <c r="HI29" t="s">
        <v>265</v>
      </c>
      <c r="HJ29" t="s">
        <v>265</v>
      </c>
      <c r="HK29" t="s">
        <v>265</v>
      </c>
      <c r="HL29" t="s">
        <v>265</v>
      </c>
      <c r="HM29" t="s">
        <v>265</v>
      </c>
      <c r="HN29" t="s">
        <v>265</v>
      </c>
      <c r="HO29" t="s">
        <v>265</v>
      </c>
      <c r="HP29" t="s">
        <v>265</v>
      </c>
      <c r="HQ29" t="s">
        <v>265</v>
      </c>
      <c r="HR29" t="s">
        <v>265</v>
      </c>
      <c r="HS29" t="s">
        <v>265</v>
      </c>
      <c r="HT29" t="s">
        <v>265</v>
      </c>
      <c r="HU29" t="s">
        <v>265</v>
      </c>
      <c r="HV29" t="s">
        <v>265</v>
      </c>
    </row>
    <row r="30" spans="2:230" x14ac:dyDescent="0.55000000000000004">
      <c r="B30" s="12" t="s">
        <v>289</v>
      </c>
      <c r="C30" s="6" t="str">
        <f t="shared" si="8"/>
        <v>金曜日</v>
      </c>
      <c r="D30" s="6"/>
      <c r="E30" s="6" t="str">
        <f t="shared" si="9"/>
        <v/>
      </c>
      <c r="F30" s="6" t="s">
        <v>197</v>
      </c>
      <c r="G30" s="6" t="s">
        <v>261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265</v>
      </c>
      <c r="GZ30" t="s">
        <v>265</v>
      </c>
      <c r="HA30" t="s">
        <v>265</v>
      </c>
      <c r="HB30" t="s">
        <v>265</v>
      </c>
      <c r="HC30" t="s">
        <v>265</v>
      </c>
      <c r="HD30" t="s">
        <v>265</v>
      </c>
      <c r="HE30" t="s">
        <v>265</v>
      </c>
      <c r="HF30" t="s">
        <v>265</v>
      </c>
      <c r="HG30" t="s">
        <v>265</v>
      </c>
      <c r="HH30" t="s">
        <v>265</v>
      </c>
      <c r="HI30" t="s">
        <v>265</v>
      </c>
      <c r="HJ30" t="s">
        <v>265</v>
      </c>
      <c r="HK30" t="s">
        <v>265</v>
      </c>
      <c r="HL30" t="s">
        <v>265</v>
      </c>
      <c r="HM30" t="s">
        <v>265</v>
      </c>
      <c r="HN30" t="s">
        <v>265</v>
      </c>
      <c r="HO30" t="s">
        <v>265</v>
      </c>
      <c r="HP30" t="s">
        <v>265</v>
      </c>
      <c r="HQ30" t="s">
        <v>265</v>
      </c>
      <c r="HR30" t="s">
        <v>265</v>
      </c>
      <c r="HS30" t="s">
        <v>265</v>
      </c>
      <c r="HT30" t="s">
        <v>265</v>
      </c>
      <c r="HU30" t="s">
        <v>265</v>
      </c>
      <c r="HV30" t="s">
        <v>265</v>
      </c>
    </row>
    <row r="31" spans="2:230" x14ac:dyDescent="0.55000000000000004">
      <c r="B31" s="12" t="s">
        <v>290</v>
      </c>
      <c r="C31" s="6" t="str">
        <f t="shared" si="8"/>
        <v>土曜日</v>
      </c>
      <c r="D31" s="6"/>
      <c r="E31" s="6" t="str">
        <f t="shared" si="9"/>
        <v>〇</v>
      </c>
      <c r="F31" s="6" t="s">
        <v>197</v>
      </c>
      <c r="G31" s="6" t="s">
        <v>261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265</v>
      </c>
      <c r="GZ31" t="s">
        <v>265</v>
      </c>
      <c r="HA31" t="s">
        <v>265</v>
      </c>
      <c r="HB31" t="s">
        <v>265</v>
      </c>
      <c r="HC31" t="s">
        <v>265</v>
      </c>
      <c r="HD31" t="s">
        <v>265</v>
      </c>
      <c r="HE31" t="s">
        <v>265</v>
      </c>
      <c r="HF31" t="s">
        <v>265</v>
      </c>
      <c r="HG31" t="s">
        <v>265</v>
      </c>
      <c r="HH31" t="s">
        <v>265</v>
      </c>
      <c r="HI31" t="s">
        <v>265</v>
      </c>
      <c r="HJ31" t="s">
        <v>265</v>
      </c>
      <c r="HK31" t="s">
        <v>265</v>
      </c>
      <c r="HL31" t="s">
        <v>265</v>
      </c>
      <c r="HM31" t="s">
        <v>265</v>
      </c>
      <c r="HN31" t="s">
        <v>265</v>
      </c>
      <c r="HO31" t="s">
        <v>265</v>
      </c>
      <c r="HP31" t="s">
        <v>265</v>
      </c>
      <c r="HQ31" t="s">
        <v>265</v>
      </c>
      <c r="HR31" t="s">
        <v>265</v>
      </c>
      <c r="HS31" t="s">
        <v>265</v>
      </c>
      <c r="HT31" t="s">
        <v>265</v>
      </c>
      <c r="HU31" t="s">
        <v>265</v>
      </c>
      <c r="HV31" t="s">
        <v>265</v>
      </c>
    </row>
    <row r="32" spans="2:230" x14ac:dyDescent="0.55000000000000004">
      <c r="B32" s="12" t="s">
        <v>291</v>
      </c>
      <c r="C32" s="6" t="str">
        <f t="shared" si="8"/>
        <v>日曜日</v>
      </c>
      <c r="D32" s="6"/>
      <c r="E32" s="6" t="str">
        <f t="shared" si="9"/>
        <v>〇</v>
      </c>
      <c r="F32" s="6" t="s">
        <v>197</v>
      </c>
      <c r="G32" s="6" t="s">
        <v>261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265</v>
      </c>
      <c r="GZ32" t="s">
        <v>265</v>
      </c>
      <c r="HA32" t="s">
        <v>265</v>
      </c>
      <c r="HB32" t="s">
        <v>265</v>
      </c>
      <c r="HC32" t="s">
        <v>265</v>
      </c>
      <c r="HD32" t="s">
        <v>265</v>
      </c>
      <c r="HE32" t="s">
        <v>265</v>
      </c>
      <c r="HF32" t="s">
        <v>265</v>
      </c>
      <c r="HG32" t="s">
        <v>265</v>
      </c>
      <c r="HH32" t="s">
        <v>265</v>
      </c>
      <c r="HI32" t="s">
        <v>265</v>
      </c>
      <c r="HJ32" t="s">
        <v>265</v>
      </c>
      <c r="HK32" t="s">
        <v>265</v>
      </c>
      <c r="HL32" t="s">
        <v>265</v>
      </c>
      <c r="HM32" t="s">
        <v>265</v>
      </c>
      <c r="HN32" t="s">
        <v>265</v>
      </c>
      <c r="HO32" t="s">
        <v>265</v>
      </c>
      <c r="HP32" t="s">
        <v>265</v>
      </c>
      <c r="HQ32" t="s">
        <v>265</v>
      </c>
      <c r="HR32" t="s">
        <v>265</v>
      </c>
      <c r="HS32" t="s">
        <v>265</v>
      </c>
      <c r="HT32" t="s">
        <v>265</v>
      </c>
      <c r="HU32" t="s">
        <v>265</v>
      </c>
      <c r="HV32" t="s">
        <v>265</v>
      </c>
    </row>
    <row r="33" spans="2:230" x14ac:dyDescent="0.55000000000000004">
      <c r="B33" s="12" t="s">
        <v>292</v>
      </c>
      <c r="C33" s="6" t="str">
        <f t="shared" si="8"/>
        <v>月曜日</v>
      </c>
      <c r="D33" s="6"/>
      <c r="E33" s="6" t="str">
        <f t="shared" si="9"/>
        <v/>
      </c>
      <c r="F33" s="6" t="s">
        <v>197</v>
      </c>
      <c r="G33" s="6" t="s">
        <v>261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265</v>
      </c>
      <c r="GZ33" t="s">
        <v>265</v>
      </c>
      <c r="HA33" t="s">
        <v>265</v>
      </c>
      <c r="HB33" t="s">
        <v>265</v>
      </c>
      <c r="HC33" t="s">
        <v>265</v>
      </c>
      <c r="HD33" t="s">
        <v>265</v>
      </c>
      <c r="HE33" t="s">
        <v>265</v>
      </c>
      <c r="HF33" t="s">
        <v>265</v>
      </c>
      <c r="HG33" t="s">
        <v>265</v>
      </c>
      <c r="HH33" t="s">
        <v>265</v>
      </c>
      <c r="HI33" t="s">
        <v>265</v>
      </c>
      <c r="HJ33" t="s">
        <v>265</v>
      </c>
      <c r="HK33" t="s">
        <v>265</v>
      </c>
      <c r="HL33" t="s">
        <v>265</v>
      </c>
      <c r="HM33" t="s">
        <v>265</v>
      </c>
      <c r="HN33" t="s">
        <v>265</v>
      </c>
      <c r="HO33" t="s">
        <v>265</v>
      </c>
      <c r="HP33" t="s">
        <v>265</v>
      </c>
      <c r="HQ33" t="s">
        <v>265</v>
      </c>
      <c r="HR33" t="s">
        <v>265</v>
      </c>
      <c r="HS33" t="s">
        <v>265</v>
      </c>
      <c r="HT33" t="s">
        <v>265</v>
      </c>
      <c r="HU33" t="s">
        <v>265</v>
      </c>
      <c r="HV33" t="s">
        <v>265</v>
      </c>
    </row>
    <row r="34" spans="2:230" x14ac:dyDescent="0.55000000000000004">
      <c r="B34" s="12" t="s">
        <v>293</v>
      </c>
      <c r="C34" s="6" t="str">
        <f t="shared" si="8"/>
        <v>火曜日</v>
      </c>
      <c r="D34" s="6"/>
      <c r="E34" s="6" t="str">
        <f t="shared" si="9"/>
        <v/>
      </c>
      <c r="F34" s="6" t="s">
        <v>197</v>
      </c>
      <c r="G34" s="6" t="s">
        <v>261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265</v>
      </c>
      <c r="GZ34" t="s">
        <v>265</v>
      </c>
      <c r="HA34" t="s">
        <v>265</v>
      </c>
      <c r="HB34" t="s">
        <v>265</v>
      </c>
      <c r="HC34" t="s">
        <v>265</v>
      </c>
      <c r="HD34" t="s">
        <v>265</v>
      </c>
      <c r="HE34" t="s">
        <v>265</v>
      </c>
      <c r="HF34" t="s">
        <v>265</v>
      </c>
      <c r="HG34" t="s">
        <v>265</v>
      </c>
      <c r="HH34" t="s">
        <v>265</v>
      </c>
      <c r="HI34" t="s">
        <v>265</v>
      </c>
      <c r="HJ34" t="s">
        <v>265</v>
      </c>
      <c r="HK34" t="s">
        <v>265</v>
      </c>
      <c r="HL34" t="s">
        <v>265</v>
      </c>
      <c r="HM34" t="s">
        <v>265</v>
      </c>
      <c r="HN34" t="s">
        <v>265</v>
      </c>
      <c r="HO34" t="s">
        <v>265</v>
      </c>
      <c r="HP34" t="s">
        <v>265</v>
      </c>
      <c r="HQ34" t="s">
        <v>265</v>
      </c>
      <c r="HR34" t="s">
        <v>265</v>
      </c>
      <c r="HS34" t="s">
        <v>265</v>
      </c>
      <c r="HT34" t="s">
        <v>265</v>
      </c>
      <c r="HU34" t="s">
        <v>265</v>
      </c>
      <c r="HV34" t="s">
        <v>265</v>
      </c>
    </row>
    <row r="35" spans="2:230" x14ac:dyDescent="0.55000000000000004">
      <c r="B35" s="12" t="s">
        <v>294</v>
      </c>
      <c r="C35" s="6" t="str">
        <f t="shared" si="8"/>
        <v>水曜日</v>
      </c>
      <c r="D35" s="6"/>
      <c r="E35" s="6" t="str">
        <f t="shared" si="9"/>
        <v/>
      </c>
      <c r="F35" s="6" t="s">
        <v>197</v>
      </c>
      <c r="G35" s="6" t="s">
        <v>261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265</v>
      </c>
      <c r="GZ35" t="s">
        <v>265</v>
      </c>
      <c r="HA35" t="s">
        <v>265</v>
      </c>
      <c r="HB35" t="s">
        <v>265</v>
      </c>
      <c r="HC35" t="s">
        <v>265</v>
      </c>
      <c r="HD35" t="s">
        <v>265</v>
      </c>
      <c r="HE35" t="s">
        <v>265</v>
      </c>
      <c r="HF35" t="s">
        <v>265</v>
      </c>
      <c r="HG35" t="s">
        <v>265</v>
      </c>
      <c r="HH35" t="s">
        <v>265</v>
      </c>
      <c r="HI35" t="s">
        <v>265</v>
      </c>
      <c r="HJ35" t="s">
        <v>265</v>
      </c>
      <c r="HK35" t="s">
        <v>265</v>
      </c>
      <c r="HL35" t="s">
        <v>265</v>
      </c>
      <c r="HM35" t="s">
        <v>265</v>
      </c>
      <c r="HN35" t="s">
        <v>265</v>
      </c>
      <c r="HO35" t="s">
        <v>265</v>
      </c>
      <c r="HP35" t="s">
        <v>265</v>
      </c>
      <c r="HQ35" t="s">
        <v>265</v>
      </c>
      <c r="HR35" t="s">
        <v>265</v>
      </c>
      <c r="HS35" t="s">
        <v>265</v>
      </c>
      <c r="HT35" t="s">
        <v>265</v>
      </c>
      <c r="HU35" t="s">
        <v>265</v>
      </c>
      <c r="HV35" t="s">
        <v>265</v>
      </c>
    </row>
    <row r="36" spans="2:230" x14ac:dyDescent="0.55000000000000004">
      <c r="B36" s="12" t="s">
        <v>295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265</v>
      </c>
      <c r="GZ36" t="s">
        <v>265</v>
      </c>
      <c r="HA36" t="s">
        <v>265</v>
      </c>
      <c r="HB36" t="s">
        <v>265</v>
      </c>
      <c r="HC36" t="s">
        <v>265</v>
      </c>
      <c r="HD36" t="s">
        <v>265</v>
      </c>
      <c r="HE36" t="s">
        <v>265</v>
      </c>
      <c r="HF36" t="s">
        <v>265</v>
      </c>
      <c r="HG36" t="s">
        <v>265</v>
      </c>
      <c r="HH36" t="s">
        <v>265</v>
      </c>
      <c r="HI36" t="s">
        <v>265</v>
      </c>
      <c r="HJ36" t="s">
        <v>265</v>
      </c>
      <c r="HK36" t="s">
        <v>265</v>
      </c>
      <c r="HL36" t="s">
        <v>265</v>
      </c>
      <c r="HM36" t="s">
        <v>265</v>
      </c>
      <c r="HN36" t="s">
        <v>265</v>
      </c>
      <c r="HO36" t="s">
        <v>265</v>
      </c>
      <c r="HP36" t="s">
        <v>265</v>
      </c>
      <c r="HQ36" t="s">
        <v>265</v>
      </c>
      <c r="HR36" t="s">
        <v>265</v>
      </c>
      <c r="HS36" t="s">
        <v>265</v>
      </c>
      <c r="HT36" t="s">
        <v>265</v>
      </c>
      <c r="HU36" t="s">
        <v>265</v>
      </c>
      <c r="HV36" t="s">
        <v>265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162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L3" sqref="L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129</v>
      </c>
      <c r="E1" s="11" t="s">
        <v>128</v>
      </c>
      <c r="F1" s="11" t="s">
        <v>130</v>
      </c>
      <c r="G1" s="11" t="s">
        <v>127</v>
      </c>
      <c r="H1" s="11" t="s">
        <v>131</v>
      </c>
      <c r="I1" s="11" t="s">
        <v>163</v>
      </c>
      <c r="J1" s="11" t="s">
        <v>164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296</v>
      </c>
      <c r="I2" s="11">
        <v>132</v>
      </c>
      <c r="J2" s="11">
        <v>157</v>
      </c>
    </row>
    <row r="3" spans="1:10" x14ac:dyDescent="0.55000000000000004">
      <c r="D3" t="s">
        <v>122</v>
      </c>
      <c r="E3" t="s">
        <v>123</v>
      </c>
      <c r="F3" t="s">
        <v>124</v>
      </c>
      <c r="G3" t="s">
        <v>125</v>
      </c>
      <c r="H3" t="s">
        <v>126</v>
      </c>
    </row>
    <row r="4" spans="1:10" x14ac:dyDescent="0.55000000000000004">
      <c r="A4" s="11" t="str">
        <f t="shared" ref="A4:A67" si="0">MONTH(D4)&amp;"月"</f>
        <v>11月</v>
      </c>
      <c r="B4" s="11" t="str">
        <f t="shared" ref="B4:B67" si="1">A4&amp;DAY(D4)&amp;"日"</f>
        <v>11月1日</v>
      </c>
      <c r="C4" s="11" t="str">
        <f t="shared" ref="C4:C67" si="2">HOUR(D4)+1&amp;"時"</f>
        <v>1時</v>
      </c>
      <c r="D4" s="10">
        <v>45597</v>
      </c>
      <c r="E4">
        <v>0</v>
      </c>
      <c r="F4">
        <v>0.2</v>
      </c>
      <c r="G4">
        <v>0</v>
      </c>
      <c r="H4">
        <v>0.23</v>
      </c>
    </row>
    <row r="5" spans="1:10" x14ac:dyDescent="0.55000000000000004">
      <c r="A5" s="11" t="str">
        <f t="shared" si="0"/>
        <v>11月</v>
      </c>
      <c r="B5" s="11" t="str">
        <f t="shared" si="1"/>
        <v>11月1日</v>
      </c>
      <c r="C5" s="11" t="str">
        <f t="shared" si="2"/>
        <v>2時</v>
      </c>
      <c r="D5" s="10">
        <v>45597.041666666664</v>
      </c>
      <c r="E5">
        <v>0</v>
      </c>
      <c r="F5">
        <v>0.21</v>
      </c>
      <c r="G5">
        <v>0</v>
      </c>
      <c r="H5">
        <v>0.24</v>
      </c>
    </row>
    <row r="6" spans="1:10" x14ac:dyDescent="0.55000000000000004">
      <c r="A6" s="11" t="str">
        <f t="shared" si="0"/>
        <v>11月</v>
      </c>
      <c r="B6" s="11" t="str">
        <f t="shared" si="1"/>
        <v>11月1日</v>
      </c>
      <c r="C6" s="11" t="str">
        <f t="shared" si="2"/>
        <v>3時</v>
      </c>
      <c r="D6" s="10">
        <v>45597.083333333336</v>
      </c>
      <c r="E6">
        <v>0</v>
      </c>
      <c r="F6">
        <v>0.2</v>
      </c>
      <c r="G6">
        <v>0</v>
      </c>
      <c r="H6">
        <v>0.23</v>
      </c>
    </row>
    <row r="7" spans="1:10" x14ac:dyDescent="0.55000000000000004">
      <c r="A7" s="11" t="str">
        <f t="shared" si="0"/>
        <v>11月</v>
      </c>
      <c r="B7" s="11" t="str">
        <f t="shared" si="1"/>
        <v>11月1日</v>
      </c>
      <c r="C7" s="11" t="str">
        <f t="shared" si="2"/>
        <v>4時</v>
      </c>
      <c r="D7" s="10">
        <v>45597.125</v>
      </c>
      <c r="E7">
        <v>0</v>
      </c>
      <c r="F7">
        <v>0.21</v>
      </c>
      <c r="G7">
        <v>0</v>
      </c>
      <c r="H7">
        <v>0.24</v>
      </c>
    </row>
    <row r="8" spans="1:10" x14ac:dyDescent="0.55000000000000004">
      <c r="A8" s="11" t="str">
        <f t="shared" si="0"/>
        <v>11月</v>
      </c>
      <c r="B8" s="11" t="str">
        <f t="shared" si="1"/>
        <v>11月1日</v>
      </c>
      <c r="C8" s="11" t="str">
        <f t="shared" si="2"/>
        <v>5時</v>
      </c>
      <c r="D8" s="10">
        <v>45597.166666666664</v>
      </c>
      <c r="E8">
        <v>0</v>
      </c>
      <c r="F8">
        <v>0.35</v>
      </c>
      <c r="G8">
        <v>0</v>
      </c>
      <c r="H8">
        <v>0.38</v>
      </c>
    </row>
    <row r="9" spans="1:10" x14ac:dyDescent="0.55000000000000004">
      <c r="A9" s="11" t="str">
        <f t="shared" si="0"/>
        <v>11月</v>
      </c>
      <c r="B9" s="11" t="str">
        <f t="shared" si="1"/>
        <v>11月1日</v>
      </c>
      <c r="C9" s="11" t="str">
        <f t="shared" si="2"/>
        <v>6時</v>
      </c>
      <c r="D9" s="10">
        <v>45597.208333333336</v>
      </c>
      <c r="E9">
        <v>0</v>
      </c>
      <c r="F9">
        <v>0.27</v>
      </c>
      <c r="G9">
        <v>0</v>
      </c>
      <c r="H9">
        <v>0.31</v>
      </c>
    </row>
    <row r="10" spans="1:10" x14ac:dyDescent="0.55000000000000004">
      <c r="A10" s="11" t="str">
        <f t="shared" si="0"/>
        <v>11月</v>
      </c>
      <c r="B10" s="11" t="str">
        <f t="shared" si="1"/>
        <v>11月1日</v>
      </c>
      <c r="C10" s="11" t="str">
        <f t="shared" si="2"/>
        <v>7時</v>
      </c>
      <c r="D10" s="10">
        <v>45597.25</v>
      </c>
      <c r="E10">
        <v>0.19</v>
      </c>
      <c r="F10">
        <v>1.04</v>
      </c>
      <c r="G10">
        <v>0</v>
      </c>
      <c r="H10">
        <v>0.86</v>
      </c>
    </row>
    <row r="11" spans="1:10" x14ac:dyDescent="0.55000000000000004">
      <c r="A11" s="11" t="str">
        <f t="shared" si="0"/>
        <v>11月</v>
      </c>
      <c r="B11" s="11" t="str">
        <f t="shared" si="1"/>
        <v>11月1日</v>
      </c>
      <c r="C11" s="11" t="str">
        <f t="shared" si="2"/>
        <v>8時</v>
      </c>
      <c r="D11" s="10">
        <v>45597.291666666664</v>
      </c>
      <c r="E11">
        <v>1.92</v>
      </c>
      <c r="F11">
        <v>0.44</v>
      </c>
      <c r="G11">
        <v>0.01</v>
      </c>
      <c r="H11">
        <v>0.1</v>
      </c>
    </row>
    <row r="12" spans="1:10" x14ac:dyDescent="0.55000000000000004">
      <c r="A12" s="11" t="str">
        <f t="shared" si="0"/>
        <v>11月</v>
      </c>
      <c r="B12" s="11" t="str">
        <f t="shared" si="1"/>
        <v>11月1日</v>
      </c>
      <c r="C12" s="11" t="str">
        <f t="shared" si="2"/>
        <v>9時</v>
      </c>
      <c r="D12" s="10">
        <v>45597.333333333336</v>
      </c>
      <c r="E12">
        <v>4.45</v>
      </c>
      <c r="F12">
        <v>0.23</v>
      </c>
      <c r="G12">
        <v>0.01</v>
      </c>
      <c r="H12">
        <v>0</v>
      </c>
    </row>
    <row r="13" spans="1:10" x14ac:dyDescent="0.55000000000000004">
      <c r="A13" s="11" t="str">
        <f t="shared" si="0"/>
        <v>11月</v>
      </c>
      <c r="B13" s="11" t="str">
        <f t="shared" si="1"/>
        <v>11月1日</v>
      </c>
      <c r="C13" s="11" t="str">
        <f t="shared" si="2"/>
        <v>10時</v>
      </c>
      <c r="D13" s="10">
        <v>45597.375</v>
      </c>
      <c r="E13">
        <v>5.08</v>
      </c>
      <c r="F13">
        <v>0.22</v>
      </c>
      <c r="G13">
        <v>3.73</v>
      </c>
      <c r="H13">
        <v>0</v>
      </c>
    </row>
    <row r="14" spans="1:10" x14ac:dyDescent="0.55000000000000004">
      <c r="A14" s="11" t="str">
        <f t="shared" si="0"/>
        <v>11月</v>
      </c>
      <c r="B14" s="11" t="str">
        <f t="shared" si="1"/>
        <v>11月1日</v>
      </c>
      <c r="C14" s="11" t="str">
        <f t="shared" si="2"/>
        <v>11時</v>
      </c>
      <c r="D14" s="10">
        <v>45597.416666666664</v>
      </c>
      <c r="E14">
        <v>4.29</v>
      </c>
      <c r="F14">
        <v>0.19</v>
      </c>
      <c r="G14">
        <v>4.0999999999999996</v>
      </c>
      <c r="H14">
        <v>0</v>
      </c>
    </row>
    <row r="15" spans="1:10" x14ac:dyDescent="0.55000000000000004">
      <c r="A15" s="11" t="str">
        <f t="shared" si="0"/>
        <v>11月</v>
      </c>
      <c r="B15" s="11" t="str">
        <f t="shared" si="1"/>
        <v>11月1日</v>
      </c>
      <c r="C15" s="11" t="str">
        <f t="shared" si="2"/>
        <v>12時</v>
      </c>
      <c r="D15" s="10">
        <v>45597.458333333336</v>
      </c>
      <c r="E15">
        <v>4.1100000000000003</v>
      </c>
      <c r="F15">
        <v>0.2</v>
      </c>
      <c r="G15">
        <v>3.91</v>
      </c>
      <c r="H15">
        <v>0</v>
      </c>
    </row>
    <row r="16" spans="1:10" x14ac:dyDescent="0.55000000000000004">
      <c r="A16" s="11" t="str">
        <f t="shared" si="0"/>
        <v>11月</v>
      </c>
      <c r="B16" s="11" t="str">
        <f t="shared" si="1"/>
        <v>11月1日</v>
      </c>
      <c r="C16" s="11" t="str">
        <f t="shared" si="2"/>
        <v>13時</v>
      </c>
      <c r="D16" s="10">
        <v>45597.5</v>
      </c>
      <c r="E16">
        <v>4.55</v>
      </c>
      <c r="F16">
        <v>0.18</v>
      </c>
      <c r="G16">
        <v>4.38</v>
      </c>
      <c r="H16">
        <v>0</v>
      </c>
    </row>
    <row r="17" spans="1:8" x14ac:dyDescent="0.55000000000000004">
      <c r="A17" s="11" t="str">
        <f t="shared" si="0"/>
        <v>11月</v>
      </c>
      <c r="B17" s="11" t="str">
        <f t="shared" si="1"/>
        <v>11月1日</v>
      </c>
      <c r="C17" s="11" t="str">
        <f t="shared" si="2"/>
        <v>14時</v>
      </c>
      <c r="D17" s="10">
        <v>45597.541666666664</v>
      </c>
      <c r="E17">
        <v>2.91</v>
      </c>
      <c r="F17">
        <v>0.63</v>
      </c>
      <c r="G17">
        <v>2.27</v>
      </c>
      <c r="H17">
        <v>0</v>
      </c>
    </row>
    <row r="18" spans="1:8" x14ac:dyDescent="0.55000000000000004">
      <c r="A18" s="11" t="str">
        <f t="shared" si="0"/>
        <v>11月</v>
      </c>
      <c r="B18" s="11" t="str">
        <f t="shared" si="1"/>
        <v>11月1日</v>
      </c>
      <c r="C18" s="11" t="str">
        <f t="shared" si="2"/>
        <v>15時</v>
      </c>
      <c r="D18" s="10">
        <v>45597.583333333336</v>
      </c>
      <c r="E18">
        <v>1.22</v>
      </c>
      <c r="F18">
        <v>0.19</v>
      </c>
      <c r="G18">
        <v>1.03</v>
      </c>
      <c r="H18">
        <v>0</v>
      </c>
    </row>
    <row r="19" spans="1:8" x14ac:dyDescent="0.55000000000000004">
      <c r="A19" s="11" t="str">
        <f t="shared" si="0"/>
        <v>11月</v>
      </c>
      <c r="B19" s="11" t="str">
        <f t="shared" si="1"/>
        <v>11月1日</v>
      </c>
      <c r="C19" s="11" t="str">
        <f t="shared" si="2"/>
        <v>16時</v>
      </c>
      <c r="D19" s="10">
        <v>45597.625</v>
      </c>
      <c r="E19">
        <v>0.55000000000000004</v>
      </c>
      <c r="F19">
        <v>0.2</v>
      </c>
      <c r="G19">
        <v>0.35</v>
      </c>
      <c r="H19">
        <v>0</v>
      </c>
    </row>
    <row r="20" spans="1:8" x14ac:dyDescent="0.55000000000000004">
      <c r="A20" s="11" t="str">
        <f t="shared" si="0"/>
        <v>11月</v>
      </c>
      <c r="B20" s="11" t="str">
        <f t="shared" si="1"/>
        <v>11月1日</v>
      </c>
      <c r="C20" s="11" t="str">
        <f t="shared" si="2"/>
        <v>17時</v>
      </c>
      <c r="D20" s="10">
        <v>45597.666666666664</v>
      </c>
      <c r="E20">
        <v>0.03</v>
      </c>
      <c r="F20">
        <v>0.98</v>
      </c>
      <c r="G20">
        <v>0.01</v>
      </c>
      <c r="H20">
        <v>0.01</v>
      </c>
    </row>
    <row r="21" spans="1:8" x14ac:dyDescent="0.55000000000000004">
      <c r="A21" s="11" t="str">
        <f t="shared" si="0"/>
        <v>11月</v>
      </c>
      <c r="B21" s="11" t="str">
        <f t="shared" si="1"/>
        <v>11月1日</v>
      </c>
      <c r="C21" s="11" t="str">
        <f t="shared" si="2"/>
        <v>18時</v>
      </c>
      <c r="D21" s="10">
        <v>45597.708333333336</v>
      </c>
      <c r="E21">
        <v>0</v>
      </c>
      <c r="F21">
        <v>2.33</v>
      </c>
      <c r="G21">
        <v>0</v>
      </c>
      <c r="H21">
        <v>0.01</v>
      </c>
    </row>
    <row r="22" spans="1:8" x14ac:dyDescent="0.55000000000000004">
      <c r="A22" s="11" t="str">
        <f t="shared" si="0"/>
        <v>11月</v>
      </c>
      <c r="B22" s="11" t="str">
        <f t="shared" si="1"/>
        <v>11月1日</v>
      </c>
      <c r="C22" s="11" t="str">
        <f t="shared" si="2"/>
        <v>19時</v>
      </c>
      <c r="D22" s="10">
        <v>45597.75</v>
      </c>
      <c r="E22">
        <v>0</v>
      </c>
      <c r="F22">
        <v>0.37</v>
      </c>
      <c r="G22">
        <v>0.01</v>
      </c>
      <c r="H22">
        <v>0</v>
      </c>
    </row>
    <row r="23" spans="1:8" x14ac:dyDescent="0.55000000000000004">
      <c r="A23" s="11" t="str">
        <f t="shared" si="0"/>
        <v>11月</v>
      </c>
      <c r="B23" s="11" t="str">
        <f t="shared" si="1"/>
        <v>11月1日</v>
      </c>
      <c r="C23" s="11" t="str">
        <f t="shared" si="2"/>
        <v>20時</v>
      </c>
      <c r="D23" s="10">
        <v>45597.791666666664</v>
      </c>
      <c r="E23">
        <v>0</v>
      </c>
      <c r="F23">
        <v>0.27</v>
      </c>
      <c r="G23">
        <v>0</v>
      </c>
      <c r="H23">
        <v>0</v>
      </c>
    </row>
    <row r="24" spans="1:8" x14ac:dyDescent="0.55000000000000004">
      <c r="A24" s="11" t="str">
        <f t="shared" si="0"/>
        <v>11月</v>
      </c>
      <c r="B24" s="11" t="str">
        <f t="shared" si="1"/>
        <v>11月1日</v>
      </c>
      <c r="C24" s="11" t="str">
        <f t="shared" si="2"/>
        <v>21時</v>
      </c>
      <c r="D24" s="10">
        <v>45597.833333333336</v>
      </c>
      <c r="E24">
        <v>0</v>
      </c>
      <c r="F24">
        <v>0.39</v>
      </c>
      <c r="G24">
        <v>0.01</v>
      </c>
      <c r="H24">
        <v>0</v>
      </c>
    </row>
    <row r="25" spans="1:8" x14ac:dyDescent="0.55000000000000004">
      <c r="A25" s="11" t="str">
        <f t="shared" si="0"/>
        <v>11月</v>
      </c>
      <c r="B25" s="11" t="str">
        <f t="shared" si="1"/>
        <v>11月1日</v>
      </c>
      <c r="C25" s="11" t="str">
        <f t="shared" si="2"/>
        <v>22時</v>
      </c>
      <c r="D25" s="10">
        <v>45597.875</v>
      </c>
      <c r="E25">
        <v>0</v>
      </c>
      <c r="F25">
        <v>0.53</v>
      </c>
      <c r="G25">
        <v>0</v>
      </c>
      <c r="H25">
        <v>0</v>
      </c>
    </row>
    <row r="26" spans="1:8" x14ac:dyDescent="0.55000000000000004">
      <c r="A26" s="11" t="str">
        <f t="shared" si="0"/>
        <v>11月</v>
      </c>
      <c r="B26" s="11" t="str">
        <f t="shared" si="1"/>
        <v>11月1日</v>
      </c>
      <c r="C26" s="11" t="str">
        <f t="shared" si="2"/>
        <v>23時</v>
      </c>
      <c r="D26" s="10">
        <v>45597.916666666664</v>
      </c>
      <c r="E26">
        <v>0</v>
      </c>
      <c r="F26">
        <v>0.24</v>
      </c>
      <c r="G26">
        <v>0</v>
      </c>
      <c r="H26">
        <v>0</v>
      </c>
    </row>
    <row r="27" spans="1:8" x14ac:dyDescent="0.55000000000000004">
      <c r="A27" s="11" t="str">
        <f t="shared" si="0"/>
        <v>11月</v>
      </c>
      <c r="B27" s="11" t="str">
        <f t="shared" si="1"/>
        <v>11月1日</v>
      </c>
      <c r="C27" s="11" t="str">
        <f t="shared" si="2"/>
        <v>24時</v>
      </c>
      <c r="D27" s="10">
        <v>45597.958333333336</v>
      </c>
      <c r="E27">
        <v>0</v>
      </c>
      <c r="F27">
        <v>0.23</v>
      </c>
      <c r="G27">
        <v>0.01</v>
      </c>
      <c r="H27">
        <v>0</v>
      </c>
    </row>
    <row r="28" spans="1:8" x14ac:dyDescent="0.55000000000000004">
      <c r="A28" s="11" t="str">
        <f t="shared" si="0"/>
        <v>11月</v>
      </c>
      <c r="B28" s="11" t="str">
        <f t="shared" si="1"/>
        <v>11月2日</v>
      </c>
      <c r="C28" s="11" t="str">
        <f t="shared" si="2"/>
        <v>1時</v>
      </c>
      <c r="D28" s="10">
        <v>45598</v>
      </c>
      <c r="E28">
        <v>0</v>
      </c>
      <c r="F28">
        <v>0.26</v>
      </c>
      <c r="G28">
        <v>0</v>
      </c>
      <c r="H28">
        <v>0.2</v>
      </c>
    </row>
    <row r="29" spans="1:8" x14ac:dyDescent="0.55000000000000004">
      <c r="A29" s="11" t="str">
        <f t="shared" si="0"/>
        <v>11月</v>
      </c>
      <c r="B29" s="11" t="str">
        <f t="shared" si="1"/>
        <v>11月2日</v>
      </c>
      <c r="C29" s="11" t="str">
        <f t="shared" si="2"/>
        <v>2時</v>
      </c>
      <c r="D29" s="10">
        <v>45598.041666666664</v>
      </c>
      <c r="E29">
        <v>0</v>
      </c>
      <c r="F29">
        <v>0.23</v>
      </c>
      <c r="G29">
        <v>0</v>
      </c>
      <c r="H29">
        <v>0.26</v>
      </c>
    </row>
    <row r="30" spans="1:8" x14ac:dyDescent="0.55000000000000004">
      <c r="A30" s="11" t="str">
        <f t="shared" si="0"/>
        <v>11月</v>
      </c>
      <c r="B30" s="11" t="str">
        <f t="shared" si="1"/>
        <v>11月2日</v>
      </c>
      <c r="C30" s="11" t="str">
        <f t="shared" si="2"/>
        <v>3時</v>
      </c>
      <c r="D30" s="10">
        <v>45598.083333333336</v>
      </c>
      <c r="E30">
        <v>0</v>
      </c>
      <c r="F30">
        <v>0.2</v>
      </c>
      <c r="G30">
        <v>0</v>
      </c>
      <c r="H30">
        <v>0.23</v>
      </c>
    </row>
    <row r="31" spans="1:8" x14ac:dyDescent="0.55000000000000004">
      <c r="A31" s="11" t="str">
        <f t="shared" si="0"/>
        <v>11月</v>
      </c>
      <c r="B31" s="11" t="str">
        <f t="shared" si="1"/>
        <v>11月2日</v>
      </c>
      <c r="C31" s="11" t="str">
        <f t="shared" si="2"/>
        <v>4時</v>
      </c>
      <c r="D31" s="10">
        <v>45598.125</v>
      </c>
      <c r="E31">
        <v>0</v>
      </c>
      <c r="F31">
        <v>0.21</v>
      </c>
      <c r="G31">
        <v>0</v>
      </c>
      <c r="H31">
        <v>0.24</v>
      </c>
    </row>
    <row r="32" spans="1:8" x14ac:dyDescent="0.55000000000000004">
      <c r="A32" s="11" t="str">
        <f t="shared" si="0"/>
        <v>11月</v>
      </c>
      <c r="B32" s="11" t="str">
        <f t="shared" si="1"/>
        <v>11月2日</v>
      </c>
      <c r="C32" s="11" t="str">
        <f t="shared" si="2"/>
        <v>5時</v>
      </c>
      <c r="D32" s="10">
        <v>45598.166666666664</v>
      </c>
      <c r="E32">
        <v>0</v>
      </c>
      <c r="F32">
        <v>0.19</v>
      </c>
      <c r="G32">
        <v>0</v>
      </c>
      <c r="H32">
        <v>0.22</v>
      </c>
    </row>
    <row r="33" spans="1:8" x14ac:dyDescent="0.55000000000000004">
      <c r="A33" s="11" t="str">
        <f t="shared" si="0"/>
        <v>11月</v>
      </c>
      <c r="B33" s="11" t="str">
        <f t="shared" si="1"/>
        <v>11月2日</v>
      </c>
      <c r="C33" s="11" t="str">
        <f t="shared" si="2"/>
        <v>6時</v>
      </c>
      <c r="D33" s="10">
        <v>45598.208333333336</v>
      </c>
      <c r="E33">
        <v>0</v>
      </c>
      <c r="F33">
        <v>0.2</v>
      </c>
      <c r="G33">
        <v>0</v>
      </c>
      <c r="H33">
        <v>0.23</v>
      </c>
    </row>
    <row r="34" spans="1:8" x14ac:dyDescent="0.55000000000000004">
      <c r="A34" s="11" t="str">
        <f t="shared" si="0"/>
        <v>11月</v>
      </c>
      <c r="B34" s="11" t="str">
        <f t="shared" si="1"/>
        <v>11月2日</v>
      </c>
      <c r="C34" s="11" t="str">
        <f t="shared" si="2"/>
        <v>7時</v>
      </c>
      <c r="D34" s="10">
        <v>45598.25</v>
      </c>
      <c r="E34">
        <v>0.01</v>
      </c>
      <c r="F34">
        <v>0.21</v>
      </c>
      <c r="G34">
        <v>0</v>
      </c>
      <c r="H34">
        <v>0.21</v>
      </c>
    </row>
    <row r="35" spans="1:8" x14ac:dyDescent="0.55000000000000004">
      <c r="A35" s="11" t="str">
        <f t="shared" si="0"/>
        <v>11月</v>
      </c>
      <c r="B35" s="11" t="str">
        <f t="shared" si="1"/>
        <v>11月2日</v>
      </c>
      <c r="C35" s="11" t="str">
        <f t="shared" si="2"/>
        <v>8時</v>
      </c>
      <c r="D35" s="10">
        <v>45598.291666666664</v>
      </c>
      <c r="E35">
        <v>0.11</v>
      </c>
      <c r="F35">
        <v>0.97</v>
      </c>
      <c r="G35">
        <v>0</v>
      </c>
      <c r="H35">
        <v>0.86</v>
      </c>
    </row>
    <row r="36" spans="1:8" x14ac:dyDescent="0.55000000000000004">
      <c r="A36" s="11" t="str">
        <f t="shared" si="0"/>
        <v>11月</v>
      </c>
      <c r="B36" s="11" t="str">
        <f t="shared" si="1"/>
        <v>11月2日</v>
      </c>
      <c r="C36" s="11" t="str">
        <f t="shared" si="2"/>
        <v>9時</v>
      </c>
      <c r="D36" s="10">
        <v>45598.333333333336</v>
      </c>
      <c r="E36">
        <v>0.28000000000000003</v>
      </c>
      <c r="F36">
        <v>0.45</v>
      </c>
      <c r="G36">
        <v>0</v>
      </c>
      <c r="H36">
        <v>0.2</v>
      </c>
    </row>
    <row r="37" spans="1:8" x14ac:dyDescent="0.55000000000000004">
      <c r="A37" s="11" t="str">
        <f t="shared" si="0"/>
        <v>11月</v>
      </c>
      <c r="B37" s="11" t="str">
        <f t="shared" si="1"/>
        <v>11月2日</v>
      </c>
      <c r="C37" s="11" t="str">
        <f t="shared" si="2"/>
        <v>10時</v>
      </c>
      <c r="D37" s="10">
        <v>45598.375</v>
      </c>
      <c r="E37">
        <v>0.56000000000000005</v>
      </c>
      <c r="F37">
        <v>0.5</v>
      </c>
      <c r="G37">
        <v>0.01</v>
      </c>
      <c r="H37">
        <v>7.0000000000000007E-2</v>
      </c>
    </row>
    <row r="38" spans="1:8" x14ac:dyDescent="0.55000000000000004">
      <c r="A38" s="11" t="str">
        <f t="shared" si="0"/>
        <v>11月</v>
      </c>
      <c r="B38" s="11" t="str">
        <f t="shared" si="1"/>
        <v>11月2日</v>
      </c>
      <c r="C38" s="11" t="str">
        <f t="shared" si="2"/>
        <v>11時</v>
      </c>
      <c r="D38" s="10">
        <v>45598.416666666664</v>
      </c>
      <c r="E38">
        <v>1.4</v>
      </c>
      <c r="F38">
        <v>0.74</v>
      </c>
      <c r="G38">
        <v>0.01</v>
      </c>
      <c r="H38">
        <v>0.01</v>
      </c>
    </row>
    <row r="39" spans="1:8" x14ac:dyDescent="0.55000000000000004">
      <c r="A39" s="11" t="str">
        <f t="shared" si="0"/>
        <v>11月</v>
      </c>
      <c r="B39" s="11" t="str">
        <f t="shared" si="1"/>
        <v>11月2日</v>
      </c>
      <c r="C39" s="11" t="str">
        <f t="shared" si="2"/>
        <v>12時</v>
      </c>
      <c r="D39" s="10">
        <v>45598.458333333336</v>
      </c>
      <c r="E39">
        <v>1.73</v>
      </c>
      <c r="F39">
        <v>0.33</v>
      </c>
      <c r="G39">
        <v>0.01</v>
      </c>
      <c r="H39">
        <v>0.01</v>
      </c>
    </row>
    <row r="40" spans="1:8" x14ac:dyDescent="0.55000000000000004">
      <c r="A40" s="11" t="str">
        <f t="shared" si="0"/>
        <v>11月</v>
      </c>
      <c r="B40" s="11" t="str">
        <f t="shared" si="1"/>
        <v>11月2日</v>
      </c>
      <c r="C40" s="11" t="str">
        <f t="shared" si="2"/>
        <v>13時</v>
      </c>
      <c r="D40" s="10">
        <v>45598.5</v>
      </c>
      <c r="E40">
        <v>1.54</v>
      </c>
      <c r="F40">
        <v>0.48</v>
      </c>
      <c r="G40">
        <v>0.01</v>
      </c>
      <c r="H40">
        <v>0.01</v>
      </c>
    </row>
    <row r="41" spans="1:8" x14ac:dyDescent="0.55000000000000004">
      <c r="A41" s="11" t="str">
        <f t="shared" si="0"/>
        <v>11月</v>
      </c>
      <c r="B41" s="11" t="str">
        <f t="shared" si="1"/>
        <v>11月2日</v>
      </c>
      <c r="C41" s="11" t="str">
        <f t="shared" si="2"/>
        <v>14時</v>
      </c>
      <c r="D41" s="10">
        <v>45598.541666666664</v>
      </c>
      <c r="E41">
        <v>1.17</v>
      </c>
      <c r="F41">
        <v>0.23</v>
      </c>
      <c r="G41">
        <v>0</v>
      </c>
      <c r="H41">
        <v>0</v>
      </c>
    </row>
    <row r="42" spans="1:8" x14ac:dyDescent="0.55000000000000004">
      <c r="A42" s="11" t="str">
        <f t="shared" si="0"/>
        <v>11月</v>
      </c>
      <c r="B42" s="11" t="str">
        <f t="shared" si="1"/>
        <v>11月2日</v>
      </c>
      <c r="C42" s="11" t="str">
        <f t="shared" si="2"/>
        <v>15時</v>
      </c>
      <c r="D42" s="10">
        <v>45598.583333333336</v>
      </c>
      <c r="E42">
        <v>0.39</v>
      </c>
      <c r="F42">
        <v>0.23</v>
      </c>
      <c r="G42">
        <v>0</v>
      </c>
      <c r="H42">
        <v>0</v>
      </c>
    </row>
    <row r="43" spans="1:8" x14ac:dyDescent="0.55000000000000004">
      <c r="A43" s="11" t="str">
        <f t="shared" si="0"/>
        <v>11月</v>
      </c>
      <c r="B43" s="11" t="str">
        <f t="shared" si="1"/>
        <v>11月2日</v>
      </c>
      <c r="C43" s="11" t="str">
        <f t="shared" si="2"/>
        <v>16時</v>
      </c>
      <c r="D43" s="10">
        <v>45598.625</v>
      </c>
      <c r="E43">
        <v>0.08</v>
      </c>
      <c r="F43">
        <v>0.7</v>
      </c>
      <c r="G43">
        <v>0.01</v>
      </c>
      <c r="H43">
        <v>0</v>
      </c>
    </row>
    <row r="44" spans="1:8" x14ac:dyDescent="0.55000000000000004">
      <c r="A44" s="11" t="str">
        <f t="shared" si="0"/>
        <v>11月</v>
      </c>
      <c r="B44" s="11" t="str">
        <f t="shared" si="1"/>
        <v>11月2日</v>
      </c>
      <c r="C44" s="11" t="str">
        <f t="shared" si="2"/>
        <v>17時</v>
      </c>
      <c r="D44" s="10">
        <v>45598.666666666664</v>
      </c>
      <c r="E44">
        <v>0</v>
      </c>
      <c r="F44">
        <v>0.83</v>
      </c>
      <c r="G44">
        <v>0.01</v>
      </c>
      <c r="H44">
        <v>0.01</v>
      </c>
    </row>
    <row r="45" spans="1:8" x14ac:dyDescent="0.55000000000000004">
      <c r="A45" s="11" t="str">
        <f t="shared" si="0"/>
        <v>11月</v>
      </c>
      <c r="B45" s="11" t="str">
        <f t="shared" si="1"/>
        <v>11月2日</v>
      </c>
      <c r="C45" s="11" t="str">
        <f t="shared" si="2"/>
        <v>18時</v>
      </c>
      <c r="D45" s="10">
        <v>45598.708333333336</v>
      </c>
      <c r="E45">
        <v>0</v>
      </c>
      <c r="F45">
        <v>2.27</v>
      </c>
      <c r="G45">
        <v>0.01</v>
      </c>
      <c r="H45">
        <v>0.44</v>
      </c>
    </row>
    <row r="46" spans="1:8" x14ac:dyDescent="0.55000000000000004">
      <c r="A46" s="11" t="str">
        <f t="shared" si="0"/>
        <v>11月</v>
      </c>
      <c r="B46" s="11" t="str">
        <f t="shared" si="1"/>
        <v>11月2日</v>
      </c>
      <c r="C46" s="11" t="str">
        <f t="shared" si="2"/>
        <v>19時</v>
      </c>
      <c r="D46" s="10">
        <v>45598.75</v>
      </c>
      <c r="E46">
        <v>0</v>
      </c>
      <c r="F46">
        <v>0.74</v>
      </c>
      <c r="G46">
        <v>0</v>
      </c>
      <c r="H46">
        <v>0.78</v>
      </c>
    </row>
    <row r="47" spans="1:8" x14ac:dyDescent="0.55000000000000004">
      <c r="A47" s="11" t="str">
        <f t="shared" si="0"/>
        <v>11月</v>
      </c>
      <c r="B47" s="11" t="str">
        <f t="shared" si="1"/>
        <v>11月2日</v>
      </c>
      <c r="C47" s="11" t="str">
        <f t="shared" si="2"/>
        <v>20時</v>
      </c>
      <c r="D47" s="10">
        <v>45598.791666666664</v>
      </c>
      <c r="E47">
        <v>0</v>
      </c>
      <c r="F47">
        <v>0.26</v>
      </c>
      <c r="G47">
        <v>0</v>
      </c>
      <c r="H47">
        <v>0.3</v>
      </c>
    </row>
    <row r="48" spans="1:8" x14ac:dyDescent="0.55000000000000004">
      <c r="A48" s="11" t="str">
        <f t="shared" si="0"/>
        <v>11月</v>
      </c>
      <c r="B48" s="11" t="str">
        <f t="shared" si="1"/>
        <v>11月2日</v>
      </c>
      <c r="C48" s="11" t="str">
        <f t="shared" si="2"/>
        <v>21時</v>
      </c>
      <c r="D48" s="10">
        <v>45598.833333333336</v>
      </c>
      <c r="E48">
        <v>0</v>
      </c>
      <c r="F48">
        <v>0.61</v>
      </c>
      <c r="G48">
        <v>0</v>
      </c>
      <c r="H48">
        <v>0.65</v>
      </c>
    </row>
    <row r="49" spans="1:8" x14ac:dyDescent="0.55000000000000004">
      <c r="A49" s="11" t="str">
        <f t="shared" si="0"/>
        <v>11月</v>
      </c>
      <c r="B49" s="11" t="str">
        <f t="shared" si="1"/>
        <v>11月2日</v>
      </c>
      <c r="C49" s="11" t="str">
        <f t="shared" si="2"/>
        <v>22時</v>
      </c>
      <c r="D49" s="10">
        <v>45598.875</v>
      </c>
      <c r="E49">
        <v>0</v>
      </c>
      <c r="F49">
        <v>0.25</v>
      </c>
      <c r="G49">
        <v>0</v>
      </c>
      <c r="H49">
        <v>0.28999999999999998</v>
      </c>
    </row>
    <row r="50" spans="1:8" x14ac:dyDescent="0.55000000000000004">
      <c r="A50" s="11" t="str">
        <f t="shared" si="0"/>
        <v>11月</v>
      </c>
      <c r="B50" s="11" t="str">
        <f t="shared" si="1"/>
        <v>11月2日</v>
      </c>
      <c r="C50" s="11" t="str">
        <f t="shared" si="2"/>
        <v>23時</v>
      </c>
      <c r="D50" s="10">
        <v>45598.916666666664</v>
      </c>
      <c r="E50">
        <v>0</v>
      </c>
      <c r="F50">
        <v>0.32</v>
      </c>
      <c r="G50">
        <v>0</v>
      </c>
      <c r="H50">
        <v>0.36</v>
      </c>
    </row>
    <row r="51" spans="1:8" x14ac:dyDescent="0.55000000000000004">
      <c r="A51" s="11" t="str">
        <f t="shared" si="0"/>
        <v>11月</v>
      </c>
      <c r="B51" s="11" t="str">
        <f t="shared" si="1"/>
        <v>11月2日</v>
      </c>
      <c r="C51" s="11" t="str">
        <f t="shared" si="2"/>
        <v>24時</v>
      </c>
      <c r="D51" s="10">
        <v>45598.958333333336</v>
      </c>
      <c r="E51">
        <v>0</v>
      </c>
      <c r="F51">
        <v>0.27</v>
      </c>
      <c r="G51">
        <v>0</v>
      </c>
      <c r="H51">
        <v>0.31</v>
      </c>
    </row>
    <row r="52" spans="1:8" x14ac:dyDescent="0.55000000000000004">
      <c r="A52" s="11" t="str">
        <f t="shared" si="0"/>
        <v>11月</v>
      </c>
      <c r="B52" s="11" t="str">
        <f t="shared" si="1"/>
        <v>11月3日</v>
      </c>
      <c r="C52" s="11" t="str">
        <f t="shared" si="2"/>
        <v>1時</v>
      </c>
      <c r="D52" s="10">
        <v>45599</v>
      </c>
      <c r="E52">
        <v>0</v>
      </c>
      <c r="F52">
        <v>0.24</v>
      </c>
      <c r="G52">
        <v>0</v>
      </c>
      <c r="H52">
        <v>0.28000000000000003</v>
      </c>
    </row>
    <row r="53" spans="1:8" x14ac:dyDescent="0.55000000000000004">
      <c r="A53" s="11" t="str">
        <f t="shared" si="0"/>
        <v>11月</v>
      </c>
      <c r="B53" s="11" t="str">
        <f t="shared" si="1"/>
        <v>11月3日</v>
      </c>
      <c r="C53" s="11" t="str">
        <f t="shared" si="2"/>
        <v>2時</v>
      </c>
      <c r="D53" s="10">
        <v>45599.041666666664</v>
      </c>
      <c r="E53">
        <v>0</v>
      </c>
      <c r="F53">
        <v>0.22</v>
      </c>
      <c r="G53">
        <v>0</v>
      </c>
      <c r="H53">
        <v>0.26</v>
      </c>
    </row>
    <row r="54" spans="1:8" x14ac:dyDescent="0.55000000000000004">
      <c r="A54" s="11" t="str">
        <f t="shared" si="0"/>
        <v>11月</v>
      </c>
      <c r="B54" s="11" t="str">
        <f t="shared" si="1"/>
        <v>11月3日</v>
      </c>
      <c r="C54" s="11" t="str">
        <f t="shared" si="2"/>
        <v>3時</v>
      </c>
      <c r="D54" s="10">
        <v>45599.083333333336</v>
      </c>
      <c r="E54">
        <v>0</v>
      </c>
      <c r="F54">
        <v>0.27</v>
      </c>
      <c r="G54">
        <v>0</v>
      </c>
      <c r="H54">
        <v>0.31</v>
      </c>
    </row>
    <row r="55" spans="1:8" x14ac:dyDescent="0.55000000000000004">
      <c r="A55" s="11" t="str">
        <f t="shared" si="0"/>
        <v>11月</v>
      </c>
      <c r="B55" s="11" t="str">
        <f t="shared" si="1"/>
        <v>11月3日</v>
      </c>
      <c r="C55" s="11" t="str">
        <f t="shared" si="2"/>
        <v>4時</v>
      </c>
      <c r="D55" s="10">
        <v>45599.125</v>
      </c>
      <c r="E55">
        <v>0</v>
      </c>
      <c r="F55">
        <v>0.22</v>
      </c>
      <c r="G55">
        <v>0</v>
      </c>
      <c r="H55">
        <v>0.25</v>
      </c>
    </row>
    <row r="56" spans="1:8" x14ac:dyDescent="0.55000000000000004">
      <c r="A56" s="11" t="str">
        <f t="shared" si="0"/>
        <v>11月</v>
      </c>
      <c r="B56" s="11" t="str">
        <f t="shared" si="1"/>
        <v>11月3日</v>
      </c>
      <c r="C56" s="11" t="str">
        <f t="shared" si="2"/>
        <v>5時</v>
      </c>
      <c r="D56" s="10">
        <v>45599.166666666664</v>
      </c>
      <c r="E56">
        <v>0</v>
      </c>
      <c r="F56">
        <v>0.2</v>
      </c>
      <c r="G56">
        <v>0</v>
      </c>
      <c r="H56">
        <v>0.24</v>
      </c>
    </row>
    <row r="57" spans="1:8" x14ac:dyDescent="0.55000000000000004">
      <c r="A57" s="11" t="str">
        <f t="shared" si="0"/>
        <v>11月</v>
      </c>
      <c r="B57" s="11" t="str">
        <f t="shared" si="1"/>
        <v>11月3日</v>
      </c>
      <c r="C57" s="11" t="str">
        <f t="shared" si="2"/>
        <v>6時</v>
      </c>
      <c r="D57" s="10">
        <v>45599.208333333336</v>
      </c>
      <c r="E57">
        <v>0</v>
      </c>
      <c r="F57">
        <v>0.2</v>
      </c>
      <c r="G57">
        <v>0</v>
      </c>
      <c r="H57">
        <v>0.24</v>
      </c>
    </row>
    <row r="58" spans="1:8" x14ac:dyDescent="0.55000000000000004">
      <c r="A58" s="11" t="str">
        <f t="shared" si="0"/>
        <v>11月</v>
      </c>
      <c r="B58" s="11" t="str">
        <f t="shared" si="1"/>
        <v>11月3日</v>
      </c>
      <c r="C58" s="11" t="str">
        <f t="shared" si="2"/>
        <v>7時</v>
      </c>
      <c r="D58" s="10">
        <v>45599.25</v>
      </c>
      <c r="E58">
        <v>0.14000000000000001</v>
      </c>
      <c r="F58">
        <v>0.23</v>
      </c>
      <c r="G58">
        <v>0</v>
      </c>
      <c r="H58">
        <v>0.13</v>
      </c>
    </row>
    <row r="59" spans="1:8" x14ac:dyDescent="0.55000000000000004">
      <c r="A59" s="11" t="str">
        <f t="shared" si="0"/>
        <v>11月</v>
      </c>
      <c r="B59" s="11" t="str">
        <f t="shared" si="1"/>
        <v>11月3日</v>
      </c>
      <c r="C59" s="11" t="str">
        <f t="shared" si="2"/>
        <v>8時</v>
      </c>
      <c r="D59" s="10">
        <v>45599.291666666664</v>
      </c>
      <c r="E59">
        <v>1.74</v>
      </c>
      <c r="F59">
        <v>0.28999999999999998</v>
      </c>
      <c r="G59">
        <v>0.01</v>
      </c>
      <c r="H59">
        <v>0</v>
      </c>
    </row>
    <row r="60" spans="1:8" x14ac:dyDescent="0.55000000000000004">
      <c r="A60" s="11" t="str">
        <f t="shared" si="0"/>
        <v>11月</v>
      </c>
      <c r="B60" s="11" t="str">
        <f t="shared" si="1"/>
        <v>11月3日</v>
      </c>
      <c r="C60" s="11" t="str">
        <f t="shared" si="2"/>
        <v>9時</v>
      </c>
      <c r="D60" s="10">
        <v>45599.333333333336</v>
      </c>
      <c r="E60">
        <v>4.32</v>
      </c>
      <c r="F60">
        <v>1.1499999999999999</v>
      </c>
      <c r="G60">
        <v>0.01</v>
      </c>
      <c r="H60">
        <v>0.01</v>
      </c>
    </row>
    <row r="61" spans="1:8" x14ac:dyDescent="0.55000000000000004">
      <c r="A61" s="11" t="str">
        <f t="shared" si="0"/>
        <v>11月</v>
      </c>
      <c r="B61" s="11" t="str">
        <f t="shared" si="1"/>
        <v>11月3日</v>
      </c>
      <c r="C61" s="11" t="str">
        <f t="shared" si="2"/>
        <v>10時</v>
      </c>
      <c r="D61" s="10">
        <v>45599.375</v>
      </c>
      <c r="E61">
        <v>5.78</v>
      </c>
      <c r="F61">
        <v>0.27</v>
      </c>
      <c r="G61">
        <v>3.74</v>
      </c>
      <c r="H61">
        <v>0</v>
      </c>
    </row>
    <row r="62" spans="1:8" x14ac:dyDescent="0.55000000000000004">
      <c r="A62" s="11" t="str">
        <f t="shared" si="0"/>
        <v>11月</v>
      </c>
      <c r="B62" s="11" t="str">
        <f t="shared" si="1"/>
        <v>11月3日</v>
      </c>
      <c r="C62" s="11" t="str">
        <f t="shared" si="2"/>
        <v>11時</v>
      </c>
      <c r="D62" s="10">
        <v>45599.416666666664</v>
      </c>
      <c r="E62">
        <v>6.36</v>
      </c>
      <c r="F62">
        <v>0.33</v>
      </c>
      <c r="G62">
        <v>6.03</v>
      </c>
      <c r="H62">
        <v>0</v>
      </c>
    </row>
    <row r="63" spans="1:8" x14ac:dyDescent="0.55000000000000004">
      <c r="A63" s="11" t="str">
        <f t="shared" si="0"/>
        <v>11月</v>
      </c>
      <c r="B63" s="11" t="str">
        <f t="shared" si="1"/>
        <v>11月3日</v>
      </c>
      <c r="C63" s="11" t="str">
        <f t="shared" si="2"/>
        <v>12時</v>
      </c>
      <c r="D63" s="10">
        <v>45599.458333333336</v>
      </c>
      <c r="E63">
        <v>6.59</v>
      </c>
      <c r="F63">
        <v>0.52</v>
      </c>
      <c r="G63">
        <v>6.08</v>
      </c>
      <c r="H63">
        <v>0</v>
      </c>
    </row>
    <row r="64" spans="1:8" x14ac:dyDescent="0.55000000000000004">
      <c r="A64" s="11" t="str">
        <f t="shared" si="0"/>
        <v>11月</v>
      </c>
      <c r="B64" s="11" t="str">
        <f t="shared" si="1"/>
        <v>11月3日</v>
      </c>
      <c r="C64" s="11" t="str">
        <f t="shared" si="2"/>
        <v>13時</v>
      </c>
      <c r="D64" s="10">
        <v>45599.5</v>
      </c>
      <c r="E64">
        <v>6</v>
      </c>
      <c r="F64">
        <v>0.74</v>
      </c>
      <c r="G64">
        <v>5.26</v>
      </c>
      <c r="H64">
        <v>0</v>
      </c>
    </row>
    <row r="65" spans="1:8" x14ac:dyDescent="0.55000000000000004">
      <c r="A65" s="11" t="str">
        <f t="shared" si="0"/>
        <v>11月</v>
      </c>
      <c r="B65" s="11" t="str">
        <f t="shared" si="1"/>
        <v>11月3日</v>
      </c>
      <c r="C65" s="11" t="str">
        <f t="shared" si="2"/>
        <v>14時</v>
      </c>
      <c r="D65" s="10">
        <v>45599.541666666664</v>
      </c>
      <c r="E65">
        <v>4.84</v>
      </c>
      <c r="F65">
        <v>0.8</v>
      </c>
      <c r="G65">
        <v>4.04</v>
      </c>
      <c r="H65">
        <v>0</v>
      </c>
    </row>
    <row r="66" spans="1:8" x14ac:dyDescent="0.55000000000000004">
      <c r="A66" s="11" t="str">
        <f t="shared" si="0"/>
        <v>11月</v>
      </c>
      <c r="B66" s="11" t="str">
        <f t="shared" si="1"/>
        <v>11月3日</v>
      </c>
      <c r="C66" s="11" t="str">
        <f t="shared" si="2"/>
        <v>15時</v>
      </c>
      <c r="D66" s="10">
        <v>45599.583333333336</v>
      </c>
      <c r="E66">
        <v>3.41</v>
      </c>
      <c r="F66">
        <v>0.27</v>
      </c>
      <c r="G66">
        <v>3.14</v>
      </c>
      <c r="H66">
        <v>0</v>
      </c>
    </row>
    <row r="67" spans="1:8" x14ac:dyDescent="0.55000000000000004">
      <c r="A67" s="11" t="str">
        <f t="shared" si="0"/>
        <v>11月</v>
      </c>
      <c r="B67" s="11" t="str">
        <f t="shared" si="1"/>
        <v>11月3日</v>
      </c>
      <c r="C67" s="11" t="str">
        <f t="shared" si="2"/>
        <v>16時</v>
      </c>
      <c r="D67" s="10">
        <v>45599.625</v>
      </c>
      <c r="E67">
        <v>1.31</v>
      </c>
      <c r="F67">
        <v>0.25</v>
      </c>
      <c r="G67">
        <v>1.06</v>
      </c>
      <c r="H67">
        <v>0</v>
      </c>
    </row>
    <row r="68" spans="1:8" x14ac:dyDescent="0.55000000000000004">
      <c r="A68" s="11" t="str">
        <f t="shared" ref="A68:A131" si="3">MONTH(D68)&amp;"月"</f>
        <v>11月</v>
      </c>
      <c r="B68" s="11" t="str">
        <f t="shared" ref="B68:B131" si="4">A68&amp;DAY(D68)&amp;"日"</f>
        <v>11月3日</v>
      </c>
      <c r="C68" s="11" t="str">
        <f t="shared" ref="C68:C131" si="5">HOUR(D68)+1&amp;"時"</f>
        <v>17時</v>
      </c>
      <c r="D68" s="10">
        <v>45599.666666666664</v>
      </c>
      <c r="E68">
        <v>7.0000000000000007E-2</v>
      </c>
      <c r="F68">
        <v>1.88</v>
      </c>
      <c r="G68">
        <v>0.02</v>
      </c>
      <c r="H68">
        <v>0.01</v>
      </c>
    </row>
    <row r="69" spans="1:8" x14ac:dyDescent="0.55000000000000004">
      <c r="A69" s="11" t="str">
        <f t="shared" si="3"/>
        <v>11月</v>
      </c>
      <c r="B69" s="11" t="str">
        <f t="shared" si="4"/>
        <v>11月3日</v>
      </c>
      <c r="C69" s="11" t="str">
        <f t="shared" si="5"/>
        <v>18時</v>
      </c>
      <c r="D69" s="10">
        <v>45599.708333333336</v>
      </c>
      <c r="E69">
        <v>0</v>
      </c>
      <c r="F69">
        <v>2.02</v>
      </c>
      <c r="G69">
        <v>0.01</v>
      </c>
      <c r="H69">
        <v>0.01</v>
      </c>
    </row>
    <row r="70" spans="1:8" x14ac:dyDescent="0.55000000000000004">
      <c r="A70" s="11" t="str">
        <f t="shared" si="3"/>
        <v>11月</v>
      </c>
      <c r="B70" s="11" t="str">
        <f t="shared" si="4"/>
        <v>11月3日</v>
      </c>
      <c r="C70" s="11" t="str">
        <f t="shared" si="5"/>
        <v>19時</v>
      </c>
      <c r="D70" s="10">
        <v>45599.75</v>
      </c>
      <c r="E70">
        <v>0</v>
      </c>
      <c r="F70">
        <v>0.81</v>
      </c>
      <c r="G70">
        <v>0</v>
      </c>
      <c r="H70">
        <v>0</v>
      </c>
    </row>
    <row r="71" spans="1:8" x14ac:dyDescent="0.55000000000000004">
      <c r="A71" s="11" t="str">
        <f t="shared" si="3"/>
        <v>11月</v>
      </c>
      <c r="B71" s="11" t="str">
        <f t="shared" si="4"/>
        <v>11月3日</v>
      </c>
      <c r="C71" s="11" t="str">
        <f t="shared" si="5"/>
        <v>20時</v>
      </c>
      <c r="D71" s="10">
        <v>45599.791666666664</v>
      </c>
      <c r="E71">
        <v>0</v>
      </c>
      <c r="F71">
        <v>0.53</v>
      </c>
      <c r="G71">
        <v>0.01</v>
      </c>
      <c r="H71">
        <v>0</v>
      </c>
    </row>
    <row r="72" spans="1:8" x14ac:dyDescent="0.55000000000000004">
      <c r="A72" s="11" t="str">
        <f t="shared" si="3"/>
        <v>11月</v>
      </c>
      <c r="B72" s="11" t="str">
        <f t="shared" si="4"/>
        <v>11月3日</v>
      </c>
      <c r="C72" s="11" t="str">
        <f t="shared" si="5"/>
        <v>21時</v>
      </c>
      <c r="D72" s="10">
        <v>45599.833333333336</v>
      </c>
      <c r="E72">
        <v>0</v>
      </c>
      <c r="F72">
        <v>1.2</v>
      </c>
      <c r="G72">
        <v>0</v>
      </c>
      <c r="H72">
        <v>0.95</v>
      </c>
    </row>
    <row r="73" spans="1:8" x14ac:dyDescent="0.55000000000000004">
      <c r="A73" s="11" t="str">
        <f t="shared" si="3"/>
        <v>11月</v>
      </c>
      <c r="B73" s="11" t="str">
        <f t="shared" si="4"/>
        <v>11月3日</v>
      </c>
      <c r="C73" s="11" t="str">
        <f t="shared" si="5"/>
        <v>22時</v>
      </c>
      <c r="D73" s="10">
        <v>45599.875</v>
      </c>
      <c r="E73">
        <v>0</v>
      </c>
      <c r="F73">
        <v>0.67</v>
      </c>
      <c r="G73">
        <v>0</v>
      </c>
      <c r="H73">
        <v>0.71</v>
      </c>
    </row>
    <row r="74" spans="1:8" x14ac:dyDescent="0.55000000000000004">
      <c r="A74" s="11" t="str">
        <f t="shared" si="3"/>
        <v>11月</v>
      </c>
      <c r="B74" s="11" t="str">
        <f t="shared" si="4"/>
        <v>11月3日</v>
      </c>
      <c r="C74" s="11" t="str">
        <f t="shared" si="5"/>
        <v>23時</v>
      </c>
      <c r="D74" s="10">
        <v>45599.916666666664</v>
      </c>
      <c r="E74">
        <v>0</v>
      </c>
      <c r="F74">
        <v>0.47</v>
      </c>
      <c r="G74">
        <v>0</v>
      </c>
      <c r="H74">
        <v>0.51</v>
      </c>
    </row>
    <row r="75" spans="1:8" x14ac:dyDescent="0.55000000000000004">
      <c r="A75" s="11" t="str">
        <f t="shared" si="3"/>
        <v>11月</v>
      </c>
      <c r="B75" s="11" t="str">
        <f t="shared" si="4"/>
        <v>11月3日</v>
      </c>
      <c r="C75" s="11" t="str">
        <f t="shared" si="5"/>
        <v>24時</v>
      </c>
      <c r="D75" s="10">
        <v>45599.958333333336</v>
      </c>
      <c r="E75">
        <v>0</v>
      </c>
      <c r="F75">
        <v>0.49</v>
      </c>
      <c r="G75">
        <v>0</v>
      </c>
      <c r="H75">
        <v>0.52</v>
      </c>
    </row>
    <row r="76" spans="1:8" x14ac:dyDescent="0.55000000000000004">
      <c r="A76" s="11" t="str">
        <f t="shared" si="3"/>
        <v>11月</v>
      </c>
      <c r="B76" s="11" t="str">
        <f t="shared" si="4"/>
        <v>11月4日</v>
      </c>
      <c r="C76" s="11" t="str">
        <f t="shared" si="5"/>
        <v>1時</v>
      </c>
      <c r="D76" s="10">
        <v>45600</v>
      </c>
      <c r="E76">
        <v>0</v>
      </c>
      <c r="F76">
        <v>0.52</v>
      </c>
      <c r="G76">
        <v>0</v>
      </c>
      <c r="H76">
        <v>0.56000000000000005</v>
      </c>
    </row>
    <row r="77" spans="1:8" x14ac:dyDescent="0.55000000000000004">
      <c r="A77" s="11" t="str">
        <f t="shared" si="3"/>
        <v>11月</v>
      </c>
      <c r="B77" s="11" t="str">
        <f t="shared" si="4"/>
        <v>11月4日</v>
      </c>
      <c r="C77" s="11" t="str">
        <f t="shared" si="5"/>
        <v>2時</v>
      </c>
      <c r="D77" s="10">
        <v>45600.041666666664</v>
      </c>
      <c r="E77">
        <v>0</v>
      </c>
      <c r="F77">
        <v>0.52</v>
      </c>
      <c r="G77">
        <v>0</v>
      </c>
      <c r="H77">
        <v>0.55000000000000004</v>
      </c>
    </row>
    <row r="78" spans="1:8" x14ac:dyDescent="0.55000000000000004">
      <c r="A78" s="11" t="str">
        <f t="shared" si="3"/>
        <v>11月</v>
      </c>
      <c r="B78" s="11" t="str">
        <f t="shared" si="4"/>
        <v>11月4日</v>
      </c>
      <c r="C78" s="11" t="str">
        <f t="shared" si="5"/>
        <v>3時</v>
      </c>
      <c r="D78" s="10">
        <v>45600.083333333336</v>
      </c>
      <c r="E78">
        <v>0</v>
      </c>
      <c r="F78">
        <v>0.49</v>
      </c>
      <c r="G78">
        <v>0</v>
      </c>
      <c r="H78">
        <v>0.53</v>
      </c>
    </row>
    <row r="79" spans="1:8" x14ac:dyDescent="0.55000000000000004">
      <c r="A79" s="11" t="str">
        <f t="shared" si="3"/>
        <v>11月</v>
      </c>
      <c r="B79" s="11" t="str">
        <f t="shared" si="4"/>
        <v>11月4日</v>
      </c>
      <c r="C79" s="11" t="str">
        <f t="shared" si="5"/>
        <v>4時</v>
      </c>
      <c r="D79" s="10">
        <v>45600.125</v>
      </c>
      <c r="E79">
        <v>0</v>
      </c>
      <c r="F79">
        <v>0.5</v>
      </c>
      <c r="G79">
        <v>0</v>
      </c>
      <c r="H79">
        <v>0.54</v>
      </c>
    </row>
    <row r="80" spans="1:8" x14ac:dyDescent="0.55000000000000004">
      <c r="A80" s="11" t="str">
        <f t="shared" si="3"/>
        <v>11月</v>
      </c>
      <c r="B80" s="11" t="str">
        <f t="shared" si="4"/>
        <v>11月4日</v>
      </c>
      <c r="C80" s="11" t="str">
        <f t="shared" si="5"/>
        <v>5時</v>
      </c>
      <c r="D80" s="10">
        <v>45600.166666666664</v>
      </c>
      <c r="E80">
        <v>0</v>
      </c>
      <c r="F80">
        <v>0.48</v>
      </c>
      <c r="G80">
        <v>0</v>
      </c>
      <c r="H80">
        <v>0.52</v>
      </c>
    </row>
    <row r="81" spans="1:8" x14ac:dyDescent="0.55000000000000004">
      <c r="A81" s="11" t="str">
        <f t="shared" si="3"/>
        <v>11月</v>
      </c>
      <c r="B81" s="11" t="str">
        <f t="shared" si="4"/>
        <v>11月4日</v>
      </c>
      <c r="C81" s="11" t="str">
        <f t="shared" si="5"/>
        <v>6時</v>
      </c>
      <c r="D81" s="10">
        <v>45600.208333333336</v>
      </c>
      <c r="E81">
        <v>0</v>
      </c>
      <c r="F81">
        <v>0.45</v>
      </c>
      <c r="G81">
        <v>0</v>
      </c>
      <c r="H81">
        <v>0.49</v>
      </c>
    </row>
    <row r="82" spans="1:8" x14ac:dyDescent="0.55000000000000004">
      <c r="A82" s="11" t="str">
        <f t="shared" si="3"/>
        <v>11月</v>
      </c>
      <c r="B82" s="11" t="str">
        <f t="shared" si="4"/>
        <v>11月4日</v>
      </c>
      <c r="C82" s="11" t="str">
        <f t="shared" si="5"/>
        <v>7時</v>
      </c>
      <c r="D82" s="10">
        <v>45600.25</v>
      </c>
      <c r="E82">
        <v>0.12</v>
      </c>
      <c r="F82">
        <v>1.1000000000000001</v>
      </c>
      <c r="G82">
        <v>0</v>
      </c>
      <c r="H82">
        <v>0.99</v>
      </c>
    </row>
    <row r="83" spans="1:8" x14ac:dyDescent="0.55000000000000004">
      <c r="A83" s="11" t="str">
        <f t="shared" si="3"/>
        <v>11月</v>
      </c>
      <c r="B83" s="11" t="str">
        <f t="shared" si="4"/>
        <v>11月4日</v>
      </c>
      <c r="C83" s="11" t="str">
        <f t="shared" si="5"/>
        <v>8時</v>
      </c>
      <c r="D83" s="10">
        <v>45600.291666666664</v>
      </c>
      <c r="E83">
        <v>0.72</v>
      </c>
      <c r="F83">
        <v>0.78</v>
      </c>
      <c r="G83">
        <v>0</v>
      </c>
      <c r="H83">
        <v>0.27</v>
      </c>
    </row>
    <row r="84" spans="1:8" x14ac:dyDescent="0.55000000000000004">
      <c r="A84" s="11" t="str">
        <f t="shared" si="3"/>
        <v>11月</v>
      </c>
      <c r="B84" s="11" t="str">
        <f t="shared" si="4"/>
        <v>11月4日</v>
      </c>
      <c r="C84" s="11" t="str">
        <f t="shared" si="5"/>
        <v>9時</v>
      </c>
      <c r="D84" s="10">
        <v>45600.333333333336</v>
      </c>
      <c r="E84">
        <v>2.97</v>
      </c>
      <c r="F84">
        <v>0.57999999999999996</v>
      </c>
      <c r="G84">
        <v>0.1</v>
      </c>
      <c r="H84">
        <v>0</v>
      </c>
    </row>
    <row r="85" spans="1:8" x14ac:dyDescent="0.55000000000000004">
      <c r="A85" s="11" t="str">
        <f t="shared" si="3"/>
        <v>11月</v>
      </c>
      <c r="B85" s="11" t="str">
        <f t="shared" si="4"/>
        <v>11月4日</v>
      </c>
      <c r="C85" s="11" t="str">
        <f t="shared" si="5"/>
        <v>10時</v>
      </c>
      <c r="D85" s="10">
        <v>45600.375</v>
      </c>
      <c r="E85">
        <v>5.76</v>
      </c>
      <c r="F85">
        <v>0.44</v>
      </c>
      <c r="G85">
        <v>1.2</v>
      </c>
      <c r="H85">
        <v>0</v>
      </c>
    </row>
    <row r="86" spans="1:8" x14ac:dyDescent="0.55000000000000004">
      <c r="A86" s="11" t="str">
        <f t="shared" si="3"/>
        <v>11月</v>
      </c>
      <c r="B86" s="11" t="str">
        <f t="shared" si="4"/>
        <v>11月4日</v>
      </c>
      <c r="C86" s="11" t="str">
        <f t="shared" si="5"/>
        <v>11時</v>
      </c>
      <c r="D86" s="10">
        <v>45600.416666666664</v>
      </c>
      <c r="E86">
        <v>6.34</v>
      </c>
      <c r="F86">
        <v>0.39</v>
      </c>
      <c r="G86">
        <v>5.89</v>
      </c>
      <c r="H86">
        <v>0</v>
      </c>
    </row>
    <row r="87" spans="1:8" x14ac:dyDescent="0.55000000000000004">
      <c r="A87" s="11" t="str">
        <f t="shared" si="3"/>
        <v>11月</v>
      </c>
      <c r="B87" s="11" t="str">
        <f t="shared" si="4"/>
        <v>11月4日</v>
      </c>
      <c r="C87" s="11" t="str">
        <f t="shared" si="5"/>
        <v>12時</v>
      </c>
      <c r="D87" s="10">
        <v>45600.458333333336</v>
      </c>
      <c r="E87">
        <v>6.49</v>
      </c>
      <c r="F87">
        <v>0.32</v>
      </c>
      <c r="G87">
        <v>6.17</v>
      </c>
      <c r="H87">
        <v>0</v>
      </c>
    </row>
    <row r="88" spans="1:8" x14ac:dyDescent="0.55000000000000004">
      <c r="A88" s="11" t="str">
        <f t="shared" si="3"/>
        <v>11月</v>
      </c>
      <c r="B88" s="11" t="str">
        <f t="shared" si="4"/>
        <v>11月4日</v>
      </c>
      <c r="C88" s="11" t="str">
        <f t="shared" si="5"/>
        <v>13時</v>
      </c>
      <c r="D88" s="10">
        <v>45600.5</v>
      </c>
      <c r="E88">
        <v>5.95</v>
      </c>
      <c r="F88">
        <v>0.33</v>
      </c>
      <c r="G88">
        <v>5.62</v>
      </c>
      <c r="H88">
        <v>0</v>
      </c>
    </row>
    <row r="89" spans="1:8" x14ac:dyDescent="0.55000000000000004">
      <c r="A89" s="11" t="str">
        <f t="shared" si="3"/>
        <v>11月</v>
      </c>
      <c r="B89" s="11" t="str">
        <f t="shared" si="4"/>
        <v>11月4日</v>
      </c>
      <c r="C89" s="11" t="str">
        <f t="shared" si="5"/>
        <v>14時</v>
      </c>
      <c r="D89" s="10">
        <v>45600.541666666664</v>
      </c>
      <c r="E89">
        <v>4.74</v>
      </c>
      <c r="F89">
        <v>0.97</v>
      </c>
      <c r="G89">
        <v>3.77</v>
      </c>
      <c r="H89">
        <v>0</v>
      </c>
    </row>
    <row r="90" spans="1:8" x14ac:dyDescent="0.55000000000000004">
      <c r="A90" s="11" t="str">
        <f t="shared" si="3"/>
        <v>11月</v>
      </c>
      <c r="B90" s="11" t="str">
        <f t="shared" si="4"/>
        <v>11月4日</v>
      </c>
      <c r="C90" s="11" t="str">
        <f t="shared" si="5"/>
        <v>15時</v>
      </c>
      <c r="D90" s="10">
        <v>45600.583333333336</v>
      </c>
      <c r="E90">
        <v>2.63</v>
      </c>
      <c r="F90">
        <v>0.31</v>
      </c>
      <c r="G90">
        <v>2.3199999999999998</v>
      </c>
      <c r="H90">
        <v>0</v>
      </c>
    </row>
    <row r="91" spans="1:8" x14ac:dyDescent="0.55000000000000004">
      <c r="A91" s="11" t="str">
        <f t="shared" si="3"/>
        <v>11月</v>
      </c>
      <c r="B91" s="11" t="str">
        <f t="shared" si="4"/>
        <v>11月4日</v>
      </c>
      <c r="C91" s="11" t="str">
        <f t="shared" si="5"/>
        <v>16時</v>
      </c>
      <c r="D91" s="10">
        <v>45600.625</v>
      </c>
      <c r="E91">
        <v>0.83</v>
      </c>
      <c r="F91">
        <v>0.3</v>
      </c>
      <c r="G91">
        <v>0.55000000000000004</v>
      </c>
      <c r="H91">
        <v>0</v>
      </c>
    </row>
    <row r="92" spans="1:8" x14ac:dyDescent="0.55000000000000004">
      <c r="A92" s="11" t="str">
        <f t="shared" si="3"/>
        <v>11月</v>
      </c>
      <c r="B92" s="11" t="str">
        <f t="shared" si="4"/>
        <v>11月4日</v>
      </c>
      <c r="C92" s="11" t="str">
        <f t="shared" si="5"/>
        <v>17時</v>
      </c>
      <c r="D92" s="10">
        <v>45600.666666666664</v>
      </c>
      <c r="E92">
        <v>0.03</v>
      </c>
      <c r="F92">
        <v>0.96</v>
      </c>
      <c r="G92">
        <v>0.01</v>
      </c>
      <c r="H92">
        <v>0.02</v>
      </c>
    </row>
    <row r="93" spans="1:8" x14ac:dyDescent="0.55000000000000004">
      <c r="A93" s="11" t="str">
        <f t="shared" si="3"/>
        <v>11月</v>
      </c>
      <c r="B93" s="11" t="str">
        <f t="shared" si="4"/>
        <v>11月4日</v>
      </c>
      <c r="C93" s="11" t="str">
        <f t="shared" si="5"/>
        <v>18時</v>
      </c>
      <c r="D93" s="10">
        <v>45600.708333333336</v>
      </c>
      <c r="E93">
        <v>0</v>
      </c>
      <c r="F93">
        <v>2.73</v>
      </c>
      <c r="G93">
        <v>0.01</v>
      </c>
      <c r="H93">
        <v>0.12</v>
      </c>
    </row>
    <row r="94" spans="1:8" x14ac:dyDescent="0.55000000000000004">
      <c r="A94" s="11" t="str">
        <f t="shared" si="3"/>
        <v>11月</v>
      </c>
      <c r="B94" s="11" t="str">
        <f t="shared" si="4"/>
        <v>11月4日</v>
      </c>
      <c r="C94" s="11" t="str">
        <f t="shared" si="5"/>
        <v>19時</v>
      </c>
      <c r="D94" s="10">
        <v>45600.75</v>
      </c>
      <c r="E94">
        <v>0</v>
      </c>
      <c r="F94">
        <v>2.23</v>
      </c>
      <c r="G94">
        <v>0</v>
      </c>
      <c r="H94">
        <v>0.33</v>
      </c>
    </row>
    <row r="95" spans="1:8" x14ac:dyDescent="0.55000000000000004">
      <c r="A95" s="11" t="str">
        <f t="shared" si="3"/>
        <v>11月</v>
      </c>
      <c r="B95" s="11" t="str">
        <f t="shared" si="4"/>
        <v>11月4日</v>
      </c>
      <c r="C95" s="11" t="str">
        <f t="shared" si="5"/>
        <v>20時</v>
      </c>
      <c r="D95" s="10">
        <v>45600.791666666664</v>
      </c>
      <c r="E95">
        <v>0</v>
      </c>
      <c r="F95">
        <v>1.45</v>
      </c>
      <c r="G95">
        <v>0</v>
      </c>
      <c r="H95">
        <v>1.47</v>
      </c>
    </row>
    <row r="96" spans="1:8" x14ac:dyDescent="0.55000000000000004">
      <c r="A96" s="11" t="str">
        <f t="shared" si="3"/>
        <v>11月</v>
      </c>
      <c r="B96" s="11" t="str">
        <f t="shared" si="4"/>
        <v>11月4日</v>
      </c>
      <c r="C96" s="11" t="str">
        <f t="shared" si="5"/>
        <v>21時</v>
      </c>
      <c r="D96" s="10">
        <v>45600.833333333336</v>
      </c>
      <c r="E96">
        <v>0</v>
      </c>
      <c r="F96">
        <v>0.73</v>
      </c>
      <c r="G96">
        <v>0</v>
      </c>
      <c r="H96">
        <v>0.75</v>
      </c>
    </row>
    <row r="97" spans="1:8" x14ac:dyDescent="0.55000000000000004">
      <c r="A97" s="11" t="str">
        <f t="shared" si="3"/>
        <v>11月</v>
      </c>
      <c r="B97" s="11" t="str">
        <f t="shared" si="4"/>
        <v>11月4日</v>
      </c>
      <c r="C97" s="11" t="str">
        <f t="shared" si="5"/>
        <v>22時</v>
      </c>
      <c r="D97" s="10">
        <v>45600.875</v>
      </c>
      <c r="E97">
        <v>0</v>
      </c>
      <c r="F97">
        <v>0.45</v>
      </c>
      <c r="G97">
        <v>0</v>
      </c>
      <c r="H97">
        <v>0.48</v>
      </c>
    </row>
    <row r="98" spans="1:8" x14ac:dyDescent="0.55000000000000004">
      <c r="A98" s="11" t="str">
        <f t="shared" si="3"/>
        <v>11月</v>
      </c>
      <c r="B98" s="11" t="str">
        <f t="shared" si="4"/>
        <v>11月4日</v>
      </c>
      <c r="C98" s="11" t="str">
        <f t="shared" si="5"/>
        <v>23時</v>
      </c>
      <c r="D98" s="10">
        <v>45600.916666666664</v>
      </c>
      <c r="E98">
        <v>0</v>
      </c>
      <c r="F98">
        <v>0.39</v>
      </c>
      <c r="G98">
        <v>0</v>
      </c>
      <c r="H98">
        <v>0.42</v>
      </c>
    </row>
    <row r="99" spans="1:8" x14ac:dyDescent="0.55000000000000004">
      <c r="A99" s="11" t="str">
        <f t="shared" si="3"/>
        <v>11月</v>
      </c>
      <c r="B99" s="11" t="str">
        <f t="shared" si="4"/>
        <v>11月4日</v>
      </c>
      <c r="C99" s="11" t="str">
        <f t="shared" si="5"/>
        <v>24時</v>
      </c>
      <c r="D99" s="10">
        <v>45600.958333333336</v>
      </c>
      <c r="E99">
        <v>0</v>
      </c>
      <c r="F99">
        <v>0.41</v>
      </c>
      <c r="G99">
        <v>0</v>
      </c>
      <c r="H99">
        <v>0.44</v>
      </c>
    </row>
    <row r="100" spans="1:8" x14ac:dyDescent="0.55000000000000004">
      <c r="A100" s="11" t="str">
        <f t="shared" si="3"/>
        <v>11月</v>
      </c>
      <c r="B100" s="11" t="str">
        <f t="shared" si="4"/>
        <v>11月5日</v>
      </c>
      <c r="C100" s="11" t="str">
        <f t="shared" si="5"/>
        <v>1時</v>
      </c>
      <c r="D100" s="10">
        <v>45601</v>
      </c>
      <c r="E100">
        <v>0</v>
      </c>
      <c r="F100">
        <v>0.39</v>
      </c>
      <c r="G100">
        <v>0</v>
      </c>
      <c r="H100">
        <v>0.42</v>
      </c>
    </row>
    <row r="101" spans="1:8" x14ac:dyDescent="0.55000000000000004">
      <c r="A101" s="11" t="str">
        <f t="shared" si="3"/>
        <v>11月</v>
      </c>
      <c r="B101" s="11" t="str">
        <f t="shared" si="4"/>
        <v>11月5日</v>
      </c>
      <c r="C101" s="11" t="str">
        <f t="shared" si="5"/>
        <v>2時</v>
      </c>
      <c r="D101" s="10">
        <v>45601.041666666664</v>
      </c>
      <c r="E101">
        <v>0</v>
      </c>
      <c r="F101">
        <v>0.38</v>
      </c>
      <c r="G101">
        <v>0</v>
      </c>
      <c r="H101">
        <v>0.41</v>
      </c>
    </row>
    <row r="102" spans="1:8" x14ac:dyDescent="0.55000000000000004">
      <c r="A102" s="11" t="str">
        <f t="shared" si="3"/>
        <v>11月</v>
      </c>
      <c r="B102" s="11" t="str">
        <f t="shared" si="4"/>
        <v>11月5日</v>
      </c>
      <c r="C102" s="11" t="str">
        <f t="shared" si="5"/>
        <v>3時</v>
      </c>
      <c r="D102" s="10">
        <v>45601.083333333336</v>
      </c>
      <c r="E102">
        <v>0</v>
      </c>
      <c r="F102">
        <v>0.38</v>
      </c>
      <c r="G102">
        <v>0</v>
      </c>
      <c r="H102">
        <v>0.41</v>
      </c>
    </row>
    <row r="103" spans="1:8" x14ac:dyDescent="0.55000000000000004">
      <c r="A103" s="11" t="str">
        <f t="shared" si="3"/>
        <v>11月</v>
      </c>
      <c r="B103" s="11" t="str">
        <f t="shared" si="4"/>
        <v>11月5日</v>
      </c>
      <c r="C103" s="11" t="str">
        <f t="shared" si="5"/>
        <v>4時</v>
      </c>
      <c r="D103" s="10">
        <v>45601.125</v>
      </c>
      <c r="E103">
        <v>0</v>
      </c>
      <c r="F103">
        <v>0.39</v>
      </c>
      <c r="G103">
        <v>0</v>
      </c>
      <c r="H103">
        <v>0.42</v>
      </c>
    </row>
    <row r="104" spans="1:8" x14ac:dyDescent="0.55000000000000004">
      <c r="A104" s="11" t="str">
        <f t="shared" si="3"/>
        <v>11月</v>
      </c>
      <c r="B104" s="11" t="str">
        <f t="shared" si="4"/>
        <v>11月5日</v>
      </c>
      <c r="C104" s="11" t="str">
        <f t="shared" si="5"/>
        <v>5時</v>
      </c>
      <c r="D104" s="10">
        <v>45601.166666666664</v>
      </c>
      <c r="E104">
        <v>0</v>
      </c>
      <c r="F104">
        <v>0.55000000000000004</v>
      </c>
      <c r="G104">
        <v>0</v>
      </c>
      <c r="H104">
        <v>0.56999999999999995</v>
      </c>
    </row>
    <row r="105" spans="1:8" x14ac:dyDescent="0.55000000000000004">
      <c r="A105" s="11" t="str">
        <f t="shared" si="3"/>
        <v>11月</v>
      </c>
      <c r="B105" s="11" t="str">
        <f t="shared" si="4"/>
        <v>11月5日</v>
      </c>
      <c r="C105" s="11" t="str">
        <f t="shared" si="5"/>
        <v>6時</v>
      </c>
      <c r="D105" s="10">
        <v>45601.208333333336</v>
      </c>
      <c r="E105">
        <v>0</v>
      </c>
      <c r="F105">
        <v>0.48</v>
      </c>
      <c r="G105">
        <v>0</v>
      </c>
      <c r="H105">
        <v>0.51</v>
      </c>
    </row>
    <row r="106" spans="1:8" x14ac:dyDescent="0.55000000000000004">
      <c r="A106" s="11" t="str">
        <f t="shared" si="3"/>
        <v>11月</v>
      </c>
      <c r="B106" s="11" t="str">
        <f t="shared" si="4"/>
        <v>11月5日</v>
      </c>
      <c r="C106" s="11" t="str">
        <f t="shared" si="5"/>
        <v>7時</v>
      </c>
      <c r="D106" s="10">
        <v>45601.25</v>
      </c>
      <c r="E106">
        <v>0.08</v>
      </c>
      <c r="F106">
        <v>0.51</v>
      </c>
      <c r="G106">
        <v>0</v>
      </c>
      <c r="H106">
        <v>0.44</v>
      </c>
    </row>
    <row r="107" spans="1:8" x14ac:dyDescent="0.55000000000000004">
      <c r="A107" s="11" t="str">
        <f t="shared" si="3"/>
        <v>11月</v>
      </c>
      <c r="B107" s="11" t="str">
        <f t="shared" si="4"/>
        <v>11月5日</v>
      </c>
      <c r="C107" s="11" t="str">
        <f t="shared" si="5"/>
        <v>8時</v>
      </c>
      <c r="D107" s="10">
        <v>45601.291666666664</v>
      </c>
      <c r="E107">
        <v>1.64</v>
      </c>
      <c r="F107">
        <v>0.45</v>
      </c>
      <c r="G107">
        <v>0.01</v>
      </c>
      <c r="H107">
        <v>0.01</v>
      </c>
    </row>
    <row r="108" spans="1:8" x14ac:dyDescent="0.55000000000000004">
      <c r="A108" s="11" t="str">
        <f t="shared" si="3"/>
        <v>11月</v>
      </c>
      <c r="B108" s="11" t="str">
        <f t="shared" si="4"/>
        <v>11月5日</v>
      </c>
      <c r="C108" s="11" t="str">
        <f t="shared" si="5"/>
        <v>9時</v>
      </c>
      <c r="D108" s="10">
        <v>45601.333333333336</v>
      </c>
      <c r="E108">
        <v>4.54</v>
      </c>
      <c r="F108">
        <v>0.37</v>
      </c>
      <c r="G108">
        <v>0.02</v>
      </c>
      <c r="H108">
        <v>0</v>
      </c>
    </row>
    <row r="109" spans="1:8" x14ac:dyDescent="0.55000000000000004">
      <c r="A109" s="11" t="str">
        <f t="shared" si="3"/>
        <v>11月</v>
      </c>
      <c r="B109" s="11" t="str">
        <f t="shared" si="4"/>
        <v>11月5日</v>
      </c>
      <c r="C109" s="11" t="str">
        <f t="shared" si="5"/>
        <v>10時</v>
      </c>
      <c r="D109" s="10">
        <v>45601.375</v>
      </c>
      <c r="E109">
        <v>5.94</v>
      </c>
      <c r="F109">
        <v>0.33</v>
      </c>
      <c r="G109">
        <v>4.21</v>
      </c>
      <c r="H109">
        <v>0</v>
      </c>
    </row>
    <row r="110" spans="1:8" x14ac:dyDescent="0.55000000000000004">
      <c r="A110" s="11" t="str">
        <f t="shared" si="3"/>
        <v>11月</v>
      </c>
      <c r="B110" s="11" t="str">
        <f t="shared" si="4"/>
        <v>11月5日</v>
      </c>
      <c r="C110" s="11" t="str">
        <f t="shared" si="5"/>
        <v>11時</v>
      </c>
      <c r="D110" s="10">
        <v>45601.416666666664</v>
      </c>
      <c r="E110">
        <v>5.5</v>
      </c>
      <c r="F110">
        <v>0.35</v>
      </c>
      <c r="G110">
        <v>5.15</v>
      </c>
      <c r="H110">
        <v>0</v>
      </c>
    </row>
    <row r="111" spans="1:8" x14ac:dyDescent="0.55000000000000004">
      <c r="A111" s="11" t="str">
        <f t="shared" si="3"/>
        <v>11月</v>
      </c>
      <c r="B111" s="11" t="str">
        <f t="shared" si="4"/>
        <v>11月5日</v>
      </c>
      <c r="C111" s="11" t="str">
        <f t="shared" si="5"/>
        <v>12時</v>
      </c>
      <c r="D111" s="10">
        <v>45601.458333333336</v>
      </c>
      <c r="E111">
        <v>6.3</v>
      </c>
      <c r="F111">
        <v>0.48</v>
      </c>
      <c r="G111">
        <v>5.82</v>
      </c>
      <c r="H111">
        <v>0</v>
      </c>
    </row>
    <row r="112" spans="1:8" x14ac:dyDescent="0.55000000000000004">
      <c r="A112" s="11" t="str">
        <f t="shared" si="3"/>
        <v>11月</v>
      </c>
      <c r="B112" s="11" t="str">
        <f t="shared" si="4"/>
        <v>11月5日</v>
      </c>
      <c r="C112" s="11" t="str">
        <f t="shared" si="5"/>
        <v>13時</v>
      </c>
      <c r="D112" s="10">
        <v>45601.5</v>
      </c>
      <c r="E112">
        <v>4</v>
      </c>
      <c r="F112">
        <v>0.39</v>
      </c>
      <c r="G112">
        <v>3.6</v>
      </c>
      <c r="H112">
        <v>0</v>
      </c>
    </row>
    <row r="113" spans="1:8" x14ac:dyDescent="0.55000000000000004">
      <c r="A113" s="11" t="str">
        <f t="shared" si="3"/>
        <v>11月</v>
      </c>
      <c r="B113" s="11" t="str">
        <f t="shared" si="4"/>
        <v>11月5日</v>
      </c>
      <c r="C113" s="11" t="str">
        <f t="shared" si="5"/>
        <v>14時</v>
      </c>
      <c r="D113" s="10">
        <v>45601.541666666664</v>
      </c>
      <c r="E113">
        <v>4.05</v>
      </c>
      <c r="F113">
        <v>0.34</v>
      </c>
      <c r="G113">
        <v>3.72</v>
      </c>
      <c r="H113">
        <v>0</v>
      </c>
    </row>
    <row r="114" spans="1:8" x14ac:dyDescent="0.55000000000000004">
      <c r="A114" s="11" t="str">
        <f t="shared" si="3"/>
        <v>11月</v>
      </c>
      <c r="B114" s="11" t="str">
        <f t="shared" si="4"/>
        <v>11月5日</v>
      </c>
      <c r="C114" s="11" t="str">
        <f t="shared" si="5"/>
        <v>15時</v>
      </c>
      <c r="D114" s="10">
        <v>45601.583333333336</v>
      </c>
      <c r="E114">
        <v>1.64</v>
      </c>
      <c r="F114">
        <v>0.33</v>
      </c>
      <c r="G114">
        <v>1.3</v>
      </c>
      <c r="H114">
        <v>0</v>
      </c>
    </row>
    <row r="115" spans="1:8" x14ac:dyDescent="0.55000000000000004">
      <c r="A115" s="11" t="str">
        <f t="shared" si="3"/>
        <v>11月</v>
      </c>
      <c r="B115" s="11" t="str">
        <f t="shared" si="4"/>
        <v>11月5日</v>
      </c>
      <c r="C115" s="11" t="str">
        <f t="shared" si="5"/>
        <v>16時</v>
      </c>
      <c r="D115" s="10">
        <v>45601.625</v>
      </c>
      <c r="E115">
        <v>0.49</v>
      </c>
      <c r="F115">
        <v>0.32</v>
      </c>
      <c r="G115">
        <v>0.19</v>
      </c>
      <c r="H115">
        <v>0</v>
      </c>
    </row>
    <row r="116" spans="1:8" x14ac:dyDescent="0.55000000000000004">
      <c r="A116" s="11" t="str">
        <f t="shared" si="3"/>
        <v>11月</v>
      </c>
      <c r="B116" s="11" t="str">
        <f t="shared" si="4"/>
        <v>11月5日</v>
      </c>
      <c r="C116" s="11" t="str">
        <f t="shared" si="5"/>
        <v>17時</v>
      </c>
      <c r="D116" s="10">
        <v>45601.666666666664</v>
      </c>
      <c r="E116">
        <v>0.03</v>
      </c>
      <c r="F116">
        <v>1.29</v>
      </c>
      <c r="G116">
        <v>0.01</v>
      </c>
      <c r="H116">
        <v>0.01</v>
      </c>
    </row>
    <row r="117" spans="1:8" x14ac:dyDescent="0.55000000000000004">
      <c r="A117" s="11" t="str">
        <f t="shared" si="3"/>
        <v>11月</v>
      </c>
      <c r="B117" s="11" t="str">
        <f t="shared" si="4"/>
        <v>11月5日</v>
      </c>
      <c r="C117" s="11" t="str">
        <f t="shared" si="5"/>
        <v>18時</v>
      </c>
      <c r="D117" s="10">
        <v>45601.708333333336</v>
      </c>
      <c r="E117">
        <v>0</v>
      </c>
      <c r="F117">
        <v>2.4300000000000002</v>
      </c>
      <c r="G117">
        <v>0.01</v>
      </c>
      <c r="H117">
        <v>0.02</v>
      </c>
    </row>
    <row r="118" spans="1:8" x14ac:dyDescent="0.55000000000000004">
      <c r="A118" s="11" t="str">
        <f t="shared" si="3"/>
        <v>11月</v>
      </c>
      <c r="B118" s="11" t="str">
        <f t="shared" si="4"/>
        <v>11月5日</v>
      </c>
      <c r="C118" s="11" t="str">
        <f t="shared" si="5"/>
        <v>19時</v>
      </c>
      <c r="D118" s="10">
        <v>45601.75</v>
      </c>
      <c r="E118">
        <v>0</v>
      </c>
      <c r="F118">
        <v>2.52</v>
      </c>
      <c r="G118">
        <v>0.01</v>
      </c>
      <c r="H118">
        <v>0.85</v>
      </c>
    </row>
    <row r="119" spans="1:8" x14ac:dyDescent="0.55000000000000004">
      <c r="A119" s="11" t="str">
        <f t="shared" si="3"/>
        <v>11月</v>
      </c>
      <c r="B119" s="11" t="str">
        <f t="shared" si="4"/>
        <v>11月5日</v>
      </c>
      <c r="C119" s="11" t="str">
        <f t="shared" si="5"/>
        <v>20時</v>
      </c>
      <c r="D119" s="10">
        <v>45601.791666666664</v>
      </c>
      <c r="E119">
        <v>0</v>
      </c>
      <c r="F119">
        <v>0.88</v>
      </c>
      <c r="G119">
        <v>0</v>
      </c>
      <c r="H119">
        <v>0.91</v>
      </c>
    </row>
    <row r="120" spans="1:8" x14ac:dyDescent="0.55000000000000004">
      <c r="A120" s="11" t="str">
        <f t="shared" si="3"/>
        <v>11月</v>
      </c>
      <c r="B120" s="11" t="str">
        <f t="shared" si="4"/>
        <v>11月5日</v>
      </c>
      <c r="C120" s="11" t="str">
        <f t="shared" si="5"/>
        <v>21時</v>
      </c>
      <c r="D120" s="10">
        <v>45601.833333333336</v>
      </c>
      <c r="E120">
        <v>0</v>
      </c>
      <c r="F120">
        <v>0.83</v>
      </c>
      <c r="G120">
        <v>0</v>
      </c>
      <c r="H120">
        <v>0.86</v>
      </c>
    </row>
    <row r="121" spans="1:8" x14ac:dyDescent="0.55000000000000004">
      <c r="A121" s="11" t="str">
        <f t="shared" si="3"/>
        <v>11月</v>
      </c>
      <c r="B121" s="11" t="str">
        <f t="shared" si="4"/>
        <v>11月5日</v>
      </c>
      <c r="C121" s="11" t="str">
        <f t="shared" si="5"/>
        <v>22時</v>
      </c>
      <c r="D121" s="10">
        <v>45601.875</v>
      </c>
      <c r="E121">
        <v>0</v>
      </c>
      <c r="F121">
        <v>0.48</v>
      </c>
      <c r="G121">
        <v>0</v>
      </c>
      <c r="H121">
        <v>0.5</v>
      </c>
    </row>
    <row r="122" spans="1:8" x14ac:dyDescent="0.55000000000000004">
      <c r="A122" s="11" t="str">
        <f t="shared" si="3"/>
        <v>11月</v>
      </c>
      <c r="B122" s="11" t="str">
        <f t="shared" si="4"/>
        <v>11月5日</v>
      </c>
      <c r="C122" s="11" t="str">
        <f t="shared" si="5"/>
        <v>23時</v>
      </c>
      <c r="D122" s="10">
        <v>45601.916666666664</v>
      </c>
      <c r="E122">
        <v>0</v>
      </c>
      <c r="F122">
        <v>0.45</v>
      </c>
      <c r="G122">
        <v>0</v>
      </c>
      <c r="H122">
        <v>0.47</v>
      </c>
    </row>
    <row r="123" spans="1:8" x14ac:dyDescent="0.55000000000000004">
      <c r="A123" s="11" t="str">
        <f t="shared" si="3"/>
        <v>11月</v>
      </c>
      <c r="B123" s="11" t="str">
        <f t="shared" si="4"/>
        <v>11月5日</v>
      </c>
      <c r="C123" s="11" t="str">
        <f t="shared" si="5"/>
        <v>24時</v>
      </c>
      <c r="D123" s="10">
        <v>45601.958333333336</v>
      </c>
      <c r="E123">
        <v>0</v>
      </c>
      <c r="F123">
        <v>0.46</v>
      </c>
      <c r="G123">
        <v>0</v>
      </c>
      <c r="H123">
        <v>0.49</v>
      </c>
    </row>
    <row r="124" spans="1:8" x14ac:dyDescent="0.55000000000000004">
      <c r="A124" s="11" t="str">
        <f t="shared" si="3"/>
        <v>11月</v>
      </c>
      <c r="B124" s="11" t="str">
        <f t="shared" si="4"/>
        <v>11月6日</v>
      </c>
      <c r="C124" s="11" t="str">
        <f t="shared" si="5"/>
        <v>1時</v>
      </c>
      <c r="D124" s="10">
        <v>45602</v>
      </c>
      <c r="E124">
        <v>0</v>
      </c>
      <c r="F124">
        <v>0.47</v>
      </c>
      <c r="G124">
        <v>0</v>
      </c>
      <c r="H124">
        <v>0.5</v>
      </c>
    </row>
    <row r="125" spans="1:8" x14ac:dyDescent="0.55000000000000004">
      <c r="A125" s="11" t="str">
        <f t="shared" si="3"/>
        <v>11月</v>
      </c>
      <c r="B125" s="11" t="str">
        <f t="shared" si="4"/>
        <v>11月6日</v>
      </c>
      <c r="C125" s="11" t="str">
        <f t="shared" si="5"/>
        <v>2時</v>
      </c>
      <c r="D125" s="10">
        <v>45602.041666666664</v>
      </c>
      <c r="E125">
        <v>0</v>
      </c>
      <c r="F125">
        <v>0.44</v>
      </c>
      <c r="G125">
        <v>0</v>
      </c>
      <c r="H125">
        <v>0.47</v>
      </c>
    </row>
    <row r="126" spans="1:8" x14ac:dyDescent="0.55000000000000004">
      <c r="A126" s="11" t="str">
        <f t="shared" si="3"/>
        <v>11月</v>
      </c>
      <c r="B126" s="11" t="str">
        <f t="shared" si="4"/>
        <v>11月6日</v>
      </c>
      <c r="C126" s="11" t="str">
        <f t="shared" si="5"/>
        <v>3時</v>
      </c>
      <c r="D126" s="10">
        <v>45602.083333333336</v>
      </c>
      <c r="E126">
        <v>0</v>
      </c>
      <c r="F126">
        <v>0.43</v>
      </c>
      <c r="G126">
        <v>0</v>
      </c>
      <c r="H126">
        <v>0.46</v>
      </c>
    </row>
    <row r="127" spans="1:8" x14ac:dyDescent="0.55000000000000004">
      <c r="A127" s="11" t="str">
        <f t="shared" si="3"/>
        <v>11月</v>
      </c>
      <c r="B127" s="11" t="str">
        <f t="shared" si="4"/>
        <v>11月6日</v>
      </c>
      <c r="C127" s="11" t="str">
        <f t="shared" si="5"/>
        <v>4時</v>
      </c>
      <c r="D127" s="10">
        <v>45602.125</v>
      </c>
      <c r="E127">
        <v>0</v>
      </c>
      <c r="F127">
        <v>0.47</v>
      </c>
      <c r="G127">
        <v>0</v>
      </c>
      <c r="H127">
        <v>0.5</v>
      </c>
    </row>
    <row r="128" spans="1:8" x14ac:dyDescent="0.55000000000000004">
      <c r="A128" s="11" t="str">
        <f t="shared" si="3"/>
        <v>11月</v>
      </c>
      <c r="B128" s="11" t="str">
        <f t="shared" si="4"/>
        <v>11月6日</v>
      </c>
      <c r="C128" s="11" t="str">
        <f t="shared" si="5"/>
        <v>5時</v>
      </c>
      <c r="D128" s="10">
        <v>45602.166666666664</v>
      </c>
      <c r="E128">
        <v>0</v>
      </c>
      <c r="F128">
        <v>0.62</v>
      </c>
      <c r="G128">
        <v>0</v>
      </c>
      <c r="H128">
        <v>0.65</v>
      </c>
    </row>
    <row r="129" spans="1:8" x14ac:dyDescent="0.55000000000000004">
      <c r="A129" s="11" t="str">
        <f t="shared" si="3"/>
        <v>11月</v>
      </c>
      <c r="B129" s="11" t="str">
        <f t="shared" si="4"/>
        <v>11月6日</v>
      </c>
      <c r="C129" s="11" t="str">
        <f t="shared" si="5"/>
        <v>6時</v>
      </c>
      <c r="D129" s="10">
        <v>45602.208333333336</v>
      </c>
      <c r="E129">
        <v>0</v>
      </c>
      <c r="F129">
        <v>0.56999999999999995</v>
      </c>
      <c r="G129">
        <v>0</v>
      </c>
      <c r="H129">
        <v>0.6</v>
      </c>
    </row>
    <row r="130" spans="1:8" x14ac:dyDescent="0.55000000000000004">
      <c r="A130" s="11" t="str">
        <f t="shared" si="3"/>
        <v>11月</v>
      </c>
      <c r="B130" s="11" t="str">
        <f t="shared" si="4"/>
        <v>11月6日</v>
      </c>
      <c r="C130" s="11" t="str">
        <f t="shared" si="5"/>
        <v>7時</v>
      </c>
      <c r="D130" s="10">
        <v>45602.25</v>
      </c>
      <c r="E130">
        <v>0.01</v>
      </c>
      <c r="F130">
        <v>0.51</v>
      </c>
      <c r="G130">
        <v>0</v>
      </c>
      <c r="H130">
        <v>0.51</v>
      </c>
    </row>
    <row r="131" spans="1:8" x14ac:dyDescent="0.55000000000000004">
      <c r="A131" s="11" t="str">
        <f t="shared" si="3"/>
        <v>11月</v>
      </c>
      <c r="B131" s="11" t="str">
        <f t="shared" si="4"/>
        <v>11月6日</v>
      </c>
      <c r="C131" s="11" t="str">
        <f t="shared" si="5"/>
        <v>8時</v>
      </c>
      <c r="D131" s="10">
        <v>45602.291666666664</v>
      </c>
      <c r="E131">
        <v>0.26</v>
      </c>
      <c r="F131">
        <v>0.46</v>
      </c>
      <c r="G131">
        <v>0</v>
      </c>
      <c r="H131">
        <v>0.2</v>
      </c>
    </row>
    <row r="132" spans="1:8" x14ac:dyDescent="0.55000000000000004">
      <c r="A132" s="11" t="str">
        <f t="shared" ref="A132:A195" si="6">MONTH(D132)&amp;"月"</f>
        <v>11月</v>
      </c>
      <c r="B132" s="11" t="str">
        <f t="shared" ref="B132:B195" si="7">A132&amp;DAY(D132)&amp;"日"</f>
        <v>11月6日</v>
      </c>
      <c r="C132" s="11" t="str">
        <f t="shared" ref="C132:C195" si="8">HOUR(D132)+1&amp;"時"</f>
        <v>9時</v>
      </c>
      <c r="D132" s="10">
        <v>45602.333333333336</v>
      </c>
      <c r="E132">
        <v>0.68</v>
      </c>
      <c r="F132">
        <v>0.34</v>
      </c>
      <c r="G132">
        <v>0</v>
      </c>
      <c r="H132">
        <v>0</v>
      </c>
    </row>
    <row r="133" spans="1:8" x14ac:dyDescent="0.55000000000000004">
      <c r="A133" s="11" t="str">
        <f t="shared" si="6"/>
        <v>11月</v>
      </c>
      <c r="B133" s="11" t="str">
        <f t="shared" si="7"/>
        <v>11月6日</v>
      </c>
      <c r="C133" s="11" t="str">
        <f t="shared" si="8"/>
        <v>10時</v>
      </c>
      <c r="D133" s="10">
        <v>45602.375</v>
      </c>
      <c r="E133">
        <v>1.1100000000000001</v>
      </c>
      <c r="F133">
        <v>0.4</v>
      </c>
      <c r="G133">
        <v>0</v>
      </c>
      <c r="H133">
        <v>0</v>
      </c>
    </row>
    <row r="134" spans="1:8" x14ac:dyDescent="0.55000000000000004">
      <c r="A134" s="11" t="str">
        <f t="shared" si="6"/>
        <v>11月</v>
      </c>
      <c r="B134" s="11" t="str">
        <f t="shared" si="7"/>
        <v>11月6日</v>
      </c>
      <c r="C134" s="11" t="str">
        <f t="shared" si="8"/>
        <v>11時</v>
      </c>
      <c r="D134" s="10">
        <v>45602.416666666664</v>
      </c>
      <c r="E134">
        <v>1.74</v>
      </c>
      <c r="F134">
        <v>0.38</v>
      </c>
      <c r="G134">
        <v>0</v>
      </c>
      <c r="H134">
        <v>0</v>
      </c>
    </row>
    <row r="135" spans="1:8" x14ac:dyDescent="0.55000000000000004">
      <c r="A135" s="11" t="str">
        <f t="shared" si="6"/>
        <v>11月</v>
      </c>
      <c r="B135" s="11" t="str">
        <f t="shared" si="7"/>
        <v>11月6日</v>
      </c>
      <c r="C135" s="11" t="str">
        <f t="shared" si="8"/>
        <v>12時</v>
      </c>
      <c r="D135" s="10">
        <v>45602.458333333336</v>
      </c>
      <c r="E135">
        <v>3.1</v>
      </c>
      <c r="F135">
        <v>0.47</v>
      </c>
      <c r="G135">
        <v>0.02</v>
      </c>
      <c r="H135">
        <v>0.01</v>
      </c>
    </row>
    <row r="136" spans="1:8" x14ac:dyDescent="0.55000000000000004">
      <c r="A136" s="11" t="str">
        <f t="shared" si="6"/>
        <v>11月</v>
      </c>
      <c r="B136" s="11" t="str">
        <f t="shared" si="7"/>
        <v>11月6日</v>
      </c>
      <c r="C136" s="11" t="str">
        <f t="shared" si="8"/>
        <v>13時</v>
      </c>
      <c r="D136" s="10">
        <v>45602.5</v>
      </c>
      <c r="E136">
        <v>5.05</v>
      </c>
      <c r="F136">
        <v>0.39</v>
      </c>
      <c r="G136">
        <v>3.16</v>
      </c>
      <c r="H136">
        <v>0</v>
      </c>
    </row>
    <row r="137" spans="1:8" x14ac:dyDescent="0.55000000000000004">
      <c r="A137" s="11" t="str">
        <f t="shared" si="6"/>
        <v>11月</v>
      </c>
      <c r="B137" s="11" t="str">
        <f t="shared" si="7"/>
        <v>11月6日</v>
      </c>
      <c r="C137" s="11" t="str">
        <f t="shared" si="8"/>
        <v>14時</v>
      </c>
      <c r="D137" s="10">
        <v>45602.541666666664</v>
      </c>
      <c r="E137">
        <v>4.5199999999999996</v>
      </c>
      <c r="F137">
        <v>0.39</v>
      </c>
      <c r="G137">
        <v>4.13</v>
      </c>
      <c r="H137">
        <v>0</v>
      </c>
    </row>
    <row r="138" spans="1:8" x14ac:dyDescent="0.55000000000000004">
      <c r="A138" s="11" t="str">
        <f t="shared" si="6"/>
        <v>11月</v>
      </c>
      <c r="B138" s="11" t="str">
        <f t="shared" si="7"/>
        <v>11月6日</v>
      </c>
      <c r="C138" s="11" t="str">
        <f t="shared" si="8"/>
        <v>15時</v>
      </c>
      <c r="D138" s="10">
        <v>45602.583333333336</v>
      </c>
      <c r="E138">
        <v>2.6</v>
      </c>
      <c r="F138">
        <v>0.37</v>
      </c>
      <c r="G138">
        <v>2.23</v>
      </c>
      <c r="H138">
        <v>0</v>
      </c>
    </row>
    <row r="139" spans="1:8" x14ac:dyDescent="0.55000000000000004">
      <c r="A139" s="11" t="str">
        <f t="shared" si="6"/>
        <v>11月</v>
      </c>
      <c r="B139" s="11" t="str">
        <f t="shared" si="7"/>
        <v>11月6日</v>
      </c>
      <c r="C139" s="11" t="str">
        <f t="shared" si="8"/>
        <v>16時</v>
      </c>
      <c r="D139" s="10">
        <v>45602.625</v>
      </c>
      <c r="E139">
        <v>0.67</v>
      </c>
      <c r="F139">
        <v>0.35</v>
      </c>
      <c r="G139">
        <v>0.41</v>
      </c>
      <c r="H139">
        <v>0</v>
      </c>
    </row>
    <row r="140" spans="1:8" x14ac:dyDescent="0.55000000000000004">
      <c r="A140" s="11" t="str">
        <f t="shared" si="6"/>
        <v>11月</v>
      </c>
      <c r="B140" s="11" t="str">
        <f t="shared" si="7"/>
        <v>11月6日</v>
      </c>
      <c r="C140" s="11" t="str">
        <f t="shared" si="8"/>
        <v>17時</v>
      </c>
      <c r="D140" s="10">
        <v>45602.666666666664</v>
      </c>
      <c r="E140">
        <v>0</v>
      </c>
      <c r="F140">
        <v>1.26</v>
      </c>
      <c r="G140">
        <v>0.01</v>
      </c>
      <c r="H140">
        <v>0.01</v>
      </c>
    </row>
    <row r="141" spans="1:8" x14ac:dyDescent="0.55000000000000004">
      <c r="A141" s="11" t="str">
        <f t="shared" si="6"/>
        <v>11月</v>
      </c>
      <c r="B141" s="11" t="str">
        <f t="shared" si="7"/>
        <v>11月6日</v>
      </c>
      <c r="C141" s="11" t="str">
        <f t="shared" si="8"/>
        <v>18時</v>
      </c>
      <c r="D141" s="10">
        <v>45602.708333333336</v>
      </c>
      <c r="E141">
        <v>0</v>
      </c>
      <c r="F141">
        <v>2.33</v>
      </c>
      <c r="G141">
        <v>0.01</v>
      </c>
      <c r="H141">
        <v>0.01</v>
      </c>
    </row>
    <row r="142" spans="1:8" x14ac:dyDescent="0.55000000000000004">
      <c r="A142" s="11" t="str">
        <f t="shared" si="6"/>
        <v>11月</v>
      </c>
      <c r="B142" s="11" t="str">
        <f t="shared" si="7"/>
        <v>11月6日</v>
      </c>
      <c r="C142" s="11" t="str">
        <f t="shared" si="8"/>
        <v>19時</v>
      </c>
      <c r="D142" s="10">
        <v>45602.75</v>
      </c>
      <c r="E142">
        <v>0</v>
      </c>
      <c r="F142">
        <v>2.67</v>
      </c>
      <c r="G142">
        <v>0</v>
      </c>
      <c r="H142">
        <v>0.97</v>
      </c>
    </row>
    <row r="143" spans="1:8" x14ac:dyDescent="0.55000000000000004">
      <c r="A143" s="11" t="str">
        <f t="shared" si="6"/>
        <v>11月</v>
      </c>
      <c r="B143" s="11" t="str">
        <f t="shared" si="7"/>
        <v>11月6日</v>
      </c>
      <c r="C143" s="11" t="str">
        <f t="shared" si="8"/>
        <v>20時</v>
      </c>
      <c r="D143" s="10">
        <v>45602.791666666664</v>
      </c>
      <c r="E143">
        <v>0</v>
      </c>
      <c r="F143">
        <v>1.69</v>
      </c>
      <c r="G143">
        <v>0</v>
      </c>
      <c r="H143">
        <v>1.72</v>
      </c>
    </row>
    <row r="144" spans="1:8" x14ac:dyDescent="0.55000000000000004">
      <c r="A144" s="11" t="str">
        <f t="shared" si="6"/>
        <v>11月</v>
      </c>
      <c r="B144" s="11" t="str">
        <f t="shared" si="7"/>
        <v>11月6日</v>
      </c>
      <c r="C144" s="11" t="str">
        <f t="shared" si="8"/>
        <v>21時</v>
      </c>
      <c r="D144" s="10">
        <v>45602.833333333336</v>
      </c>
      <c r="E144">
        <v>0</v>
      </c>
      <c r="F144">
        <v>0.78</v>
      </c>
      <c r="G144">
        <v>0</v>
      </c>
      <c r="H144">
        <v>0.81</v>
      </c>
    </row>
    <row r="145" spans="1:8" x14ac:dyDescent="0.55000000000000004">
      <c r="A145" s="11" t="str">
        <f t="shared" si="6"/>
        <v>11月</v>
      </c>
      <c r="B145" s="11" t="str">
        <f t="shared" si="7"/>
        <v>11月6日</v>
      </c>
      <c r="C145" s="11" t="str">
        <f t="shared" si="8"/>
        <v>22時</v>
      </c>
      <c r="D145" s="10">
        <v>45602.875</v>
      </c>
      <c r="E145">
        <v>0</v>
      </c>
      <c r="F145">
        <v>0.89</v>
      </c>
      <c r="G145">
        <v>0</v>
      </c>
      <c r="H145">
        <v>0.92</v>
      </c>
    </row>
    <row r="146" spans="1:8" x14ac:dyDescent="0.55000000000000004">
      <c r="A146" s="11" t="str">
        <f t="shared" si="6"/>
        <v>11月</v>
      </c>
      <c r="B146" s="11" t="str">
        <f t="shared" si="7"/>
        <v>11月6日</v>
      </c>
      <c r="C146" s="11" t="str">
        <f t="shared" si="8"/>
        <v>23時</v>
      </c>
      <c r="D146" s="10">
        <v>45602.916666666664</v>
      </c>
      <c r="E146">
        <v>0</v>
      </c>
      <c r="F146">
        <v>0.56000000000000005</v>
      </c>
      <c r="G146">
        <v>0</v>
      </c>
      <c r="H146">
        <v>0.59</v>
      </c>
    </row>
    <row r="147" spans="1:8" x14ac:dyDescent="0.55000000000000004">
      <c r="A147" s="11" t="str">
        <f t="shared" si="6"/>
        <v>11月</v>
      </c>
      <c r="B147" s="11" t="str">
        <f t="shared" si="7"/>
        <v>11月6日</v>
      </c>
      <c r="C147" s="11" t="str">
        <f t="shared" si="8"/>
        <v>24時</v>
      </c>
      <c r="D147" s="10">
        <v>45602.958333333336</v>
      </c>
      <c r="E147">
        <v>0</v>
      </c>
      <c r="F147">
        <v>0.48</v>
      </c>
      <c r="G147">
        <v>0</v>
      </c>
      <c r="H147">
        <v>0.51</v>
      </c>
    </row>
    <row r="148" spans="1:8" x14ac:dyDescent="0.55000000000000004">
      <c r="A148" s="11" t="str">
        <f t="shared" si="6"/>
        <v>11月</v>
      </c>
      <c r="B148" s="11" t="str">
        <f t="shared" si="7"/>
        <v>11月7日</v>
      </c>
      <c r="C148" s="11" t="str">
        <f t="shared" si="8"/>
        <v>1時</v>
      </c>
      <c r="D148" s="10">
        <v>45603</v>
      </c>
      <c r="E148">
        <v>0</v>
      </c>
      <c r="F148">
        <v>0.49</v>
      </c>
      <c r="G148">
        <v>0</v>
      </c>
      <c r="H148">
        <v>0.52</v>
      </c>
    </row>
    <row r="149" spans="1:8" x14ac:dyDescent="0.55000000000000004">
      <c r="A149" s="11" t="str">
        <f t="shared" si="6"/>
        <v>11月</v>
      </c>
      <c r="B149" s="11" t="str">
        <f t="shared" si="7"/>
        <v>11月7日</v>
      </c>
      <c r="C149" s="11" t="str">
        <f t="shared" si="8"/>
        <v>2時</v>
      </c>
      <c r="D149" s="10">
        <v>45603.041666666664</v>
      </c>
      <c r="E149">
        <v>0</v>
      </c>
      <c r="F149">
        <v>0.44</v>
      </c>
      <c r="G149">
        <v>0</v>
      </c>
      <c r="H149">
        <v>0.46</v>
      </c>
    </row>
    <row r="150" spans="1:8" x14ac:dyDescent="0.55000000000000004">
      <c r="A150" s="11" t="str">
        <f t="shared" si="6"/>
        <v>11月</v>
      </c>
      <c r="B150" s="11" t="str">
        <f t="shared" si="7"/>
        <v>11月7日</v>
      </c>
      <c r="C150" s="11" t="str">
        <f t="shared" si="8"/>
        <v>3時</v>
      </c>
      <c r="D150" s="10">
        <v>45603.083333333336</v>
      </c>
      <c r="E150">
        <v>0</v>
      </c>
      <c r="F150">
        <v>0.46</v>
      </c>
      <c r="G150">
        <v>0</v>
      </c>
      <c r="H150">
        <v>0.49</v>
      </c>
    </row>
    <row r="151" spans="1:8" x14ac:dyDescent="0.55000000000000004">
      <c r="A151" s="11" t="str">
        <f t="shared" si="6"/>
        <v>11月</v>
      </c>
      <c r="B151" s="11" t="str">
        <f t="shared" si="7"/>
        <v>11月7日</v>
      </c>
      <c r="C151" s="11" t="str">
        <f t="shared" si="8"/>
        <v>4時</v>
      </c>
      <c r="D151" s="10">
        <v>45603.125</v>
      </c>
      <c r="E151">
        <v>0</v>
      </c>
      <c r="F151">
        <v>0.47</v>
      </c>
      <c r="G151">
        <v>0</v>
      </c>
      <c r="H151">
        <v>0.5</v>
      </c>
    </row>
    <row r="152" spans="1:8" x14ac:dyDescent="0.55000000000000004">
      <c r="A152" s="11" t="str">
        <f t="shared" si="6"/>
        <v>11月</v>
      </c>
      <c r="B152" s="11" t="str">
        <f t="shared" si="7"/>
        <v>11月7日</v>
      </c>
      <c r="C152" s="11" t="str">
        <f t="shared" si="8"/>
        <v>5時</v>
      </c>
      <c r="D152" s="10">
        <v>45603.166666666664</v>
      </c>
      <c r="E152">
        <v>0</v>
      </c>
      <c r="F152">
        <v>0.65</v>
      </c>
      <c r="G152">
        <v>0</v>
      </c>
      <c r="H152">
        <v>0.68</v>
      </c>
    </row>
    <row r="153" spans="1:8" x14ac:dyDescent="0.55000000000000004">
      <c r="A153" s="11" t="str">
        <f t="shared" si="6"/>
        <v>11月</v>
      </c>
      <c r="B153" s="11" t="str">
        <f t="shared" si="7"/>
        <v>11月7日</v>
      </c>
      <c r="C153" s="11" t="str">
        <f t="shared" si="8"/>
        <v>6時</v>
      </c>
      <c r="D153" s="10">
        <v>45603.208333333336</v>
      </c>
      <c r="E153">
        <v>0</v>
      </c>
      <c r="F153">
        <v>0.81</v>
      </c>
      <c r="G153">
        <v>0</v>
      </c>
      <c r="H153">
        <v>0.83</v>
      </c>
    </row>
    <row r="154" spans="1:8" x14ac:dyDescent="0.55000000000000004">
      <c r="A154" s="11" t="str">
        <f t="shared" si="6"/>
        <v>11月</v>
      </c>
      <c r="B154" s="11" t="str">
        <f t="shared" si="7"/>
        <v>11月7日</v>
      </c>
      <c r="C154" s="11" t="str">
        <f t="shared" si="8"/>
        <v>7時</v>
      </c>
      <c r="D154" s="10">
        <v>45603.25</v>
      </c>
      <c r="E154">
        <v>0.04</v>
      </c>
      <c r="F154">
        <v>0.56999999999999995</v>
      </c>
      <c r="G154">
        <v>0</v>
      </c>
      <c r="H154">
        <v>0.54</v>
      </c>
    </row>
    <row r="155" spans="1:8" x14ac:dyDescent="0.55000000000000004">
      <c r="A155" s="11" t="str">
        <f t="shared" si="6"/>
        <v>11月</v>
      </c>
      <c r="B155" s="11" t="str">
        <f t="shared" si="7"/>
        <v>11月7日</v>
      </c>
      <c r="C155" s="11" t="str">
        <f t="shared" si="8"/>
        <v>8時</v>
      </c>
      <c r="D155" s="10">
        <v>45603.291666666664</v>
      </c>
      <c r="E155">
        <v>0.26</v>
      </c>
      <c r="F155">
        <v>0.53</v>
      </c>
      <c r="G155">
        <v>0</v>
      </c>
      <c r="H155">
        <v>0.27</v>
      </c>
    </row>
    <row r="156" spans="1:8" x14ac:dyDescent="0.55000000000000004">
      <c r="A156" s="11" t="str">
        <f t="shared" si="6"/>
        <v>11月</v>
      </c>
      <c r="B156" s="11" t="str">
        <f t="shared" si="7"/>
        <v>11月7日</v>
      </c>
      <c r="C156" s="11" t="str">
        <f t="shared" si="8"/>
        <v>9時</v>
      </c>
      <c r="D156" s="10">
        <v>45603.333333333336</v>
      </c>
      <c r="E156">
        <v>1.68</v>
      </c>
      <c r="F156">
        <v>0.35</v>
      </c>
      <c r="G156">
        <v>0.08</v>
      </c>
      <c r="H156">
        <v>0.02</v>
      </c>
    </row>
    <row r="157" spans="1:8" x14ac:dyDescent="0.55000000000000004">
      <c r="A157" s="11" t="str">
        <f t="shared" si="6"/>
        <v>11月</v>
      </c>
      <c r="B157" s="11" t="str">
        <f t="shared" si="7"/>
        <v>11月7日</v>
      </c>
      <c r="C157" s="11" t="str">
        <f t="shared" si="8"/>
        <v>10時</v>
      </c>
      <c r="D157" s="10">
        <v>45603.375</v>
      </c>
      <c r="E157">
        <v>4.13</v>
      </c>
      <c r="F157">
        <v>0.42</v>
      </c>
      <c r="G157">
        <v>0.93</v>
      </c>
      <c r="H157">
        <v>0</v>
      </c>
    </row>
    <row r="158" spans="1:8" x14ac:dyDescent="0.55000000000000004">
      <c r="A158" s="11" t="str">
        <f t="shared" si="6"/>
        <v>11月</v>
      </c>
      <c r="B158" s="11" t="str">
        <f t="shared" si="7"/>
        <v>11月7日</v>
      </c>
      <c r="C158" s="11" t="str">
        <f t="shared" si="8"/>
        <v>11時</v>
      </c>
      <c r="D158" s="10">
        <v>45603.416666666664</v>
      </c>
      <c r="E158">
        <v>4.49</v>
      </c>
      <c r="F158">
        <v>0.4</v>
      </c>
      <c r="G158">
        <v>1.5</v>
      </c>
      <c r="H158">
        <v>0.01</v>
      </c>
    </row>
    <row r="159" spans="1:8" x14ac:dyDescent="0.55000000000000004">
      <c r="A159" s="11" t="str">
        <f t="shared" si="6"/>
        <v>11月</v>
      </c>
      <c r="B159" s="11" t="str">
        <f t="shared" si="7"/>
        <v>11月7日</v>
      </c>
      <c r="C159" s="11" t="str">
        <f t="shared" si="8"/>
        <v>12時</v>
      </c>
      <c r="D159" s="10">
        <v>45603.458333333336</v>
      </c>
      <c r="E159">
        <v>5.15</v>
      </c>
      <c r="F159">
        <v>0.46</v>
      </c>
      <c r="G159">
        <v>4.6900000000000004</v>
      </c>
      <c r="H159">
        <v>0</v>
      </c>
    </row>
    <row r="160" spans="1:8" x14ac:dyDescent="0.55000000000000004">
      <c r="A160" s="11" t="str">
        <f t="shared" si="6"/>
        <v>11月</v>
      </c>
      <c r="B160" s="11" t="str">
        <f t="shared" si="7"/>
        <v>11月7日</v>
      </c>
      <c r="C160" s="11" t="str">
        <f t="shared" si="8"/>
        <v>13時</v>
      </c>
      <c r="D160" s="10">
        <v>45603.5</v>
      </c>
      <c r="E160">
        <v>7.43</v>
      </c>
      <c r="F160">
        <v>0.4</v>
      </c>
      <c r="G160">
        <v>7.03</v>
      </c>
      <c r="H160">
        <v>0</v>
      </c>
    </row>
    <row r="161" spans="1:8" x14ac:dyDescent="0.55000000000000004">
      <c r="A161" s="11" t="str">
        <f t="shared" si="6"/>
        <v>11月</v>
      </c>
      <c r="B161" s="11" t="str">
        <f t="shared" si="7"/>
        <v>11月7日</v>
      </c>
      <c r="C161" s="11" t="str">
        <f t="shared" si="8"/>
        <v>14時</v>
      </c>
      <c r="D161" s="10">
        <v>45603.541666666664</v>
      </c>
      <c r="E161">
        <v>5.99</v>
      </c>
      <c r="F161">
        <v>0.4</v>
      </c>
      <c r="G161">
        <v>5.59</v>
      </c>
      <c r="H161">
        <v>0</v>
      </c>
    </row>
    <row r="162" spans="1:8" x14ac:dyDescent="0.55000000000000004">
      <c r="A162" s="11" t="str">
        <f t="shared" si="6"/>
        <v>11月</v>
      </c>
      <c r="B162" s="11" t="str">
        <f t="shared" si="7"/>
        <v>11月7日</v>
      </c>
      <c r="C162" s="11" t="str">
        <f t="shared" si="8"/>
        <v>15時</v>
      </c>
      <c r="D162" s="10">
        <v>45603.583333333336</v>
      </c>
      <c r="E162">
        <v>4.16</v>
      </c>
      <c r="F162">
        <v>0.38</v>
      </c>
      <c r="G162">
        <v>3.78</v>
      </c>
      <c r="H162">
        <v>0</v>
      </c>
    </row>
    <row r="163" spans="1:8" x14ac:dyDescent="0.55000000000000004">
      <c r="A163" s="11" t="str">
        <f t="shared" si="6"/>
        <v>11月</v>
      </c>
      <c r="B163" s="11" t="str">
        <f t="shared" si="7"/>
        <v>11月7日</v>
      </c>
      <c r="C163" s="11" t="str">
        <f t="shared" si="8"/>
        <v>16時</v>
      </c>
      <c r="D163" s="10">
        <v>45603.625</v>
      </c>
      <c r="E163">
        <v>1.4</v>
      </c>
      <c r="F163">
        <v>0.38</v>
      </c>
      <c r="G163">
        <v>1.01</v>
      </c>
      <c r="H163">
        <v>0</v>
      </c>
    </row>
    <row r="164" spans="1:8" x14ac:dyDescent="0.55000000000000004">
      <c r="A164" s="11" t="str">
        <f t="shared" si="6"/>
        <v>11月</v>
      </c>
      <c r="B164" s="11" t="str">
        <f t="shared" si="7"/>
        <v>11月7日</v>
      </c>
      <c r="C164" s="11" t="str">
        <f t="shared" si="8"/>
        <v>17時</v>
      </c>
      <c r="D164" s="10">
        <v>45603.666666666664</v>
      </c>
      <c r="E164">
        <v>0.08</v>
      </c>
      <c r="F164">
        <v>1.06</v>
      </c>
      <c r="G164">
        <v>0.01</v>
      </c>
      <c r="H164">
        <v>0.01</v>
      </c>
    </row>
    <row r="165" spans="1:8" x14ac:dyDescent="0.55000000000000004">
      <c r="A165" s="11" t="str">
        <f t="shared" si="6"/>
        <v>11月</v>
      </c>
      <c r="B165" s="11" t="str">
        <f t="shared" si="7"/>
        <v>11月7日</v>
      </c>
      <c r="C165" s="11" t="str">
        <f t="shared" si="8"/>
        <v>18時</v>
      </c>
      <c r="D165" s="10">
        <v>45603.708333333336</v>
      </c>
      <c r="E165">
        <v>0</v>
      </c>
      <c r="F165">
        <v>2.2999999999999998</v>
      </c>
      <c r="G165">
        <v>0</v>
      </c>
      <c r="H165">
        <v>0</v>
      </c>
    </row>
    <row r="166" spans="1:8" x14ac:dyDescent="0.55000000000000004">
      <c r="A166" s="11" t="str">
        <f t="shared" si="6"/>
        <v>11月</v>
      </c>
      <c r="B166" s="11" t="str">
        <f t="shared" si="7"/>
        <v>11月7日</v>
      </c>
      <c r="C166" s="11" t="str">
        <f t="shared" si="8"/>
        <v>19時</v>
      </c>
      <c r="D166" s="10">
        <v>45603.75</v>
      </c>
      <c r="E166">
        <v>0</v>
      </c>
      <c r="F166">
        <v>2.58</v>
      </c>
      <c r="G166">
        <v>0</v>
      </c>
      <c r="H166">
        <v>0.61</v>
      </c>
    </row>
    <row r="167" spans="1:8" x14ac:dyDescent="0.55000000000000004">
      <c r="A167" s="11" t="str">
        <f t="shared" si="6"/>
        <v>11月</v>
      </c>
      <c r="B167" s="11" t="str">
        <f t="shared" si="7"/>
        <v>11月7日</v>
      </c>
      <c r="C167" s="11" t="str">
        <f t="shared" si="8"/>
        <v>20時</v>
      </c>
      <c r="D167" s="10">
        <v>45603.791666666664</v>
      </c>
      <c r="E167">
        <v>0</v>
      </c>
      <c r="F167">
        <v>1.62</v>
      </c>
      <c r="G167">
        <v>0</v>
      </c>
      <c r="H167">
        <v>1.65</v>
      </c>
    </row>
    <row r="168" spans="1:8" x14ac:dyDescent="0.55000000000000004">
      <c r="A168" s="11" t="str">
        <f t="shared" si="6"/>
        <v>11月</v>
      </c>
      <c r="B168" s="11" t="str">
        <f t="shared" si="7"/>
        <v>11月7日</v>
      </c>
      <c r="C168" s="11" t="str">
        <f t="shared" si="8"/>
        <v>21時</v>
      </c>
      <c r="D168" s="10">
        <v>45603.833333333336</v>
      </c>
      <c r="E168">
        <v>0</v>
      </c>
      <c r="F168">
        <v>0.53</v>
      </c>
      <c r="G168">
        <v>0</v>
      </c>
      <c r="H168">
        <v>0.56999999999999995</v>
      </c>
    </row>
    <row r="169" spans="1:8" x14ac:dyDescent="0.55000000000000004">
      <c r="A169" s="11" t="str">
        <f t="shared" si="6"/>
        <v>11月</v>
      </c>
      <c r="B169" s="11" t="str">
        <f t="shared" si="7"/>
        <v>11月7日</v>
      </c>
      <c r="C169" s="11" t="str">
        <f t="shared" si="8"/>
        <v>22時</v>
      </c>
      <c r="D169" s="10">
        <v>45603.875</v>
      </c>
      <c r="E169">
        <v>0</v>
      </c>
      <c r="F169">
        <v>0.76</v>
      </c>
      <c r="G169">
        <v>0</v>
      </c>
      <c r="H169">
        <v>0.8</v>
      </c>
    </row>
    <row r="170" spans="1:8" x14ac:dyDescent="0.55000000000000004">
      <c r="A170" s="11" t="str">
        <f t="shared" si="6"/>
        <v>11月</v>
      </c>
      <c r="B170" s="11" t="str">
        <f t="shared" si="7"/>
        <v>11月7日</v>
      </c>
      <c r="C170" s="11" t="str">
        <f t="shared" si="8"/>
        <v>23時</v>
      </c>
      <c r="D170" s="10">
        <v>45603.916666666664</v>
      </c>
      <c r="E170">
        <v>0</v>
      </c>
      <c r="F170">
        <v>0.87</v>
      </c>
      <c r="G170">
        <v>0</v>
      </c>
      <c r="H170">
        <v>0.91</v>
      </c>
    </row>
    <row r="171" spans="1:8" x14ac:dyDescent="0.55000000000000004">
      <c r="A171" s="11" t="str">
        <f t="shared" si="6"/>
        <v>11月</v>
      </c>
      <c r="B171" s="11" t="str">
        <f t="shared" si="7"/>
        <v>11月7日</v>
      </c>
      <c r="C171" s="11" t="str">
        <f t="shared" si="8"/>
        <v>24時</v>
      </c>
      <c r="D171" s="10">
        <v>45603.958333333336</v>
      </c>
      <c r="E171">
        <v>0</v>
      </c>
      <c r="F171">
        <v>0.55000000000000004</v>
      </c>
      <c r="G171">
        <v>0</v>
      </c>
      <c r="H171">
        <v>0.59</v>
      </c>
    </row>
    <row r="172" spans="1:8" x14ac:dyDescent="0.55000000000000004">
      <c r="A172" s="11" t="str">
        <f t="shared" si="6"/>
        <v>11月</v>
      </c>
      <c r="B172" s="11" t="str">
        <f t="shared" si="7"/>
        <v>11月8日</v>
      </c>
      <c r="C172" s="11" t="str">
        <f t="shared" si="8"/>
        <v>1時</v>
      </c>
      <c r="D172" s="10">
        <v>45604</v>
      </c>
      <c r="E172">
        <v>0</v>
      </c>
      <c r="F172">
        <v>0.51</v>
      </c>
      <c r="G172">
        <v>0</v>
      </c>
      <c r="H172">
        <v>0.55000000000000004</v>
      </c>
    </row>
    <row r="173" spans="1:8" x14ac:dyDescent="0.55000000000000004">
      <c r="A173" s="11" t="str">
        <f t="shared" si="6"/>
        <v>11月</v>
      </c>
      <c r="B173" s="11" t="str">
        <f t="shared" si="7"/>
        <v>11月8日</v>
      </c>
      <c r="C173" s="11" t="str">
        <f t="shared" si="8"/>
        <v>2時</v>
      </c>
      <c r="D173" s="10">
        <v>45604.041666666664</v>
      </c>
      <c r="E173">
        <v>0</v>
      </c>
      <c r="F173">
        <v>0.52</v>
      </c>
      <c r="G173">
        <v>0</v>
      </c>
      <c r="H173">
        <v>0.56000000000000005</v>
      </c>
    </row>
    <row r="174" spans="1:8" x14ac:dyDescent="0.55000000000000004">
      <c r="A174" s="11" t="str">
        <f t="shared" si="6"/>
        <v>11月</v>
      </c>
      <c r="B174" s="11" t="str">
        <f t="shared" si="7"/>
        <v>11月8日</v>
      </c>
      <c r="C174" s="11" t="str">
        <f t="shared" si="8"/>
        <v>3時</v>
      </c>
      <c r="D174" s="10">
        <v>45604.083333333336</v>
      </c>
      <c r="E174">
        <v>0</v>
      </c>
      <c r="F174">
        <v>0.52</v>
      </c>
      <c r="G174">
        <v>0</v>
      </c>
      <c r="H174">
        <v>0.56000000000000005</v>
      </c>
    </row>
    <row r="175" spans="1:8" x14ac:dyDescent="0.55000000000000004">
      <c r="A175" s="11" t="str">
        <f t="shared" si="6"/>
        <v>11月</v>
      </c>
      <c r="B175" s="11" t="str">
        <f t="shared" si="7"/>
        <v>11月8日</v>
      </c>
      <c r="C175" s="11" t="str">
        <f t="shared" si="8"/>
        <v>4時</v>
      </c>
      <c r="D175" s="10">
        <v>45604.125</v>
      </c>
      <c r="E175">
        <v>0</v>
      </c>
      <c r="F175">
        <v>0.49</v>
      </c>
      <c r="G175">
        <v>0</v>
      </c>
      <c r="H175">
        <v>0.52</v>
      </c>
    </row>
    <row r="176" spans="1:8" x14ac:dyDescent="0.55000000000000004">
      <c r="A176" s="11" t="str">
        <f t="shared" si="6"/>
        <v>11月</v>
      </c>
      <c r="B176" s="11" t="str">
        <f t="shared" si="7"/>
        <v>11月8日</v>
      </c>
      <c r="C176" s="11" t="str">
        <f t="shared" si="8"/>
        <v>5時</v>
      </c>
      <c r="D176" s="10">
        <v>45604.166666666664</v>
      </c>
      <c r="E176">
        <v>0</v>
      </c>
      <c r="F176">
        <v>0.76</v>
      </c>
      <c r="G176">
        <v>0</v>
      </c>
      <c r="H176">
        <v>0.8</v>
      </c>
    </row>
    <row r="177" spans="1:8" x14ac:dyDescent="0.55000000000000004">
      <c r="A177" s="11" t="str">
        <f t="shared" si="6"/>
        <v>11月</v>
      </c>
      <c r="B177" s="11" t="str">
        <f t="shared" si="7"/>
        <v>11月8日</v>
      </c>
      <c r="C177" s="11" t="str">
        <f t="shared" si="8"/>
        <v>6時</v>
      </c>
      <c r="D177" s="10">
        <v>45604.208333333336</v>
      </c>
      <c r="E177">
        <v>0</v>
      </c>
      <c r="F177">
        <v>0.54</v>
      </c>
      <c r="G177">
        <v>0</v>
      </c>
      <c r="H177">
        <v>0.57999999999999996</v>
      </c>
    </row>
    <row r="178" spans="1:8" x14ac:dyDescent="0.55000000000000004">
      <c r="A178" s="11" t="str">
        <f t="shared" si="6"/>
        <v>11月</v>
      </c>
      <c r="B178" s="11" t="str">
        <f t="shared" si="7"/>
        <v>11月8日</v>
      </c>
      <c r="C178" s="11" t="str">
        <f t="shared" si="8"/>
        <v>7時</v>
      </c>
      <c r="D178" s="10">
        <v>45604.25</v>
      </c>
      <c r="E178">
        <v>0.09</v>
      </c>
      <c r="F178">
        <v>0.64</v>
      </c>
      <c r="G178">
        <v>0</v>
      </c>
      <c r="H178">
        <v>0.56000000000000005</v>
      </c>
    </row>
    <row r="179" spans="1:8" x14ac:dyDescent="0.55000000000000004">
      <c r="A179" s="11" t="str">
        <f t="shared" si="6"/>
        <v>11月</v>
      </c>
      <c r="B179" s="11" t="str">
        <f t="shared" si="7"/>
        <v>11月8日</v>
      </c>
      <c r="C179" s="11" t="str">
        <f t="shared" si="8"/>
        <v>8時</v>
      </c>
      <c r="D179" s="10">
        <v>45604.291666666664</v>
      </c>
      <c r="E179">
        <v>1.05</v>
      </c>
      <c r="F179">
        <v>0.56999999999999995</v>
      </c>
      <c r="G179">
        <v>0</v>
      </c>
      <c r="H179">
        <v>0.04</v>
      </c>
    </row>
    <row r="180" spans="1:8" x14ac:dyDescent="0.55000000000000004">
      <c r="A180" s="11" t="str">
        <f t="shared" si="6"/>
        <v>11月</v>
      </c>
      <c r="B180" s="11" t="str">
        <f t="shared" si="7"/>
        <v>11月8日</v>
      </c>
      <c r="C180" s="11" t="str">
        <f t="shared" si="8"/>
        <v>9時</v>
      </c>
      <c r="D180" s="10">
        <v>45604.333333333336</v>
      </c>
      <c r="E180">
        <v>2.2799999999999998</v>
      </c>
      <c r="F180">
        <v>0.33</v>
      </c>
      <c r="G180">
        <v>0.06</v>
      </c>
      <c r="H180">
        <v>0</v>
      </c>
    </row>
    <row r="181" spans="1:8" x14ac:dyDescent="0.55000000000000004">
      <c r="A181" s="11" t="str">
        <f t="shared" si="6"/>
        <v>11月</v>
      </c>
      <c r="B181" s="11" t="str">
        <f t="shared" si="7"/>
        <v>11月8日</v>
      </c>
      <c r="C181" s="11" t="str">
        <f t="shared" si="8"/>
        <v>10時</v>
      </c>
      <c r="D181" s="10">
        <v>45604.375</v>
      </c>
      <c r="E181">
        <v>3.07</v>
      </c>
      <c r="F181">
        <v>0.42</v>
      </c>
      <c r="G181">
        <v>0.06</v>
      </c>
      <c r="H181">
        <v>0</v>
      </c>
    </row>
    <row r="182" spans="1:8" x14ac:dyDescent="0.55000000000000004">
      <c r="A182" s="11" t="str">
        <f t="shared" si="6"/>
        <v>11月</v>
      </c>
      <c r="B182" s="11" t="str">
        <f t="shared" si="7"/>
        <v>11月8日</v>
      </c>
      <c r="C182" s="11" t="str">
        <f t="shared" si="8"/>
        <v>11時</v>
      </c>
      <c r="D182" s="10">
        <v>45604.416666666664</v>
      </c>
      <c r="E182">
        <v>3.99</v>
      </c>
      <c r="F182">
        <v>0.39</v>
      </c>
      <c r="G182">
        <v>2.2999999999999998</v>
      </c>
      <c r="H182">
        <v>0</v>
      </c>
    </row>
    <row r="183" spans="1:8" x14ac:dyDescent="0.55000000000000004">
      <c r="A183" s="11" t="str">
        <f t="shared" si="6"/>
        <v>11月</v>
      </c>
      <c r="B183" s="11" t="str">
        <f t="shared" si="7"/>
        <v>11月8日</v>
      </c>
      <c r="C183" s="11" t="str">
        <f t="shared" si="8"/>
        <v>12時</v>
      </c>
      <c r="D183" s="10">
        <v>45604.458333333336</v>
      </c>
      <c r="E183">
        <v>5.34</v>
      </c>
      <c r="F183">
        <v>0.42</v>
      </c>
      <c r="G183">
        <v>4.92</v>
      </c>
      <c r="H183">
        <v>0</v>
      </c>
    </row>
    <row r="184" spans="1:8" x14ac:dyDescent="0.55000000000000004">
      <c r="A184" s="11" t="str">
        <f t="shared" si="6"/>
        <v>11月</v>
      </c>
      <c r="B184" s="11" t="str">
        <f t="shared" si="7"/>
        <v>11月8日</v>
      </c>
      <c r="C184" s="11" t="str">
        <f t="shared" si="8"/>
        <v>13時</v>
      </c>
      <c r="D184" s="10">
        <v>45604.5</v>
      </c>
      <c r="E184">
        <v>3.05</v>
      </c>
      <c r="F184">
        <v>0.37</v>
      </c>
      <c r="G184">
        <v>2.69</v>
      </c>
      <c r="H184">
        <v>0</v>
      </c>
    </row>
    <row r="185" spans="1:8" x14ac:dyDescent="0.55000000000000004">
      <c r="A185" s="11" t="str">
        <f t="shared" si="6"/>
        <v>11月</v>
      </c>
      <c r="B185" s="11" t="str">
        <f t="shared" si="7"/>
        <v>11月8日</v>
      </c>
      <c r="C185" s="11" t="str">
        <f t="shared" si="8"/>
        <v>14時</v>
      </c>
      <c r="D185" s="10">
        <v>45604.541666666664</v>
      </c>
      <c r="E185">
        <v>2.56</v>
      </c>
      <c r="F185">
        <v>0.38</v>
      </c>
      <c r="G185">
        <v>2.1800000000000002</v>
      </c>
      <c r="H185">
        <v>0</v>
      </c>
    </row>
    <row r="186" spans="1:8" x14ac:dyDescent="0.55000000000000004">
      <c r="A186" s="11" t="str">
        <f t="shared" si="6"/>
        <v>11月</v>
      </c>
      <c r="B186" s="11" t="str">
        <f t="shared" si="7"/>
        <v>11月8日</v>
      </c>
      <c r="C186" s="11" t="str">
        <f t="shared" si="8"/>
        <v>15時</v>
      </c>
      <c r="D186" s="10">
        <v>45604.583333333336</v>
      </c>
      <c r="E186">
        <v>1.38</v>
      </c>
      <c r="F186">
        <v>0.36</v>
      </c>
      <c r="G186">
        <v>1.02</v>
      </c>
      <c r="H186">
        <v>0</v>
      </c>
    </row>
    <row r="187" spans="1:8" x14ac:dyDescent="0.55000000000000004">
      <c r="A187" s="11" t="str">
        <f t="shared" si="6"/>
        <v>11月</v>
      </c>
      <c r="B187" s="11" t="str">
        <f t="shared" si="7"/>
        <v>11月8日</v>
      </c>
      <c r="C187" s="11" t="str">
        <f t="shared" si="8"/>
        <v>16時</v>
      </c>
      <c r="D187" s="10">
        <v>45604.625</v>
      </c>
      <c r="E187">
        <v>0.43</v>
      </c>
      <c r="F187">
        <v>0.34</v>
      </c>
      <c r="G187">
        <v>0.13</v>
      </c>
      <c r="H187">
        <v>0</v>
      </c>
    </row>
    <row r="188" spans="1:8" x14ac:dyDescent="0.55000000000000004">
      <c r="A188" s="11" t="str">
        <f t="shared" si="6"/>
        <v>11月</v>
      </c>
      <c r="B188" s="11" t="str">
        <f t="shared" si="7"/>
        <v>11月8日</v>
      </c>
      <c r="C188" s="11" t="str">
        <f t="shared" si="8"/>
        <v>17時</v>
      </c>
      <c r="D188" s="10">
        <v>45604.666666666664</v>
      </c>
      <c r="E188">
        <v>0.02</v>
      </c>
      <c r="F188">
        <v>0.95</v>
      </c>
      <c r="G188">
        <v>0.01</v>
      </c>
      <c r="H188">
        <v>0</v>
      </c>
    </row>
    <row r="189" spans="1:8" x14ac:dyDescent="0.55000000000000004">
      <c r="A189" s="11" t="str">
        <f t="shared" si="6"/>
        <v>11月</v>
      </c>
      <c r="B189" s="11" t="str">
        <f t="shared" si="7"/>
        <v>11月8日</v>
      </c>
      <c r="C189" s="11" t="str">
        <f t="shared" si="8"/>
        <v>18時</v>
      </c>
      <c r="D189" s="10">
        <v>45604.708333333336</v>
      </c>
      <c r="E189">
        <v>0</v>
      </c>
      <c r="F189">
        <v>2.44</v>
      </c>
      <c r="G189">
        <v>0.01</v>
      </c>
      <c r="H189">
        <v>0.02</v>
      </c>
    </row>
    <row r="190" spans="1:8" x14ac:dyDescent="0.55000000000000004">
      <c r="A190" s="11" t="str">
        <f t="shared" si="6"/>
        <v>11月</v>
      </c>
      <c r="B190" s="11" t="str">
        <f t="shared" si="7"/>
        <v>11月8日</v>
      </c>
      <c r="C190" s="11" t="str">
        <f t="shared" si="8"/>
        <v>19時</v>
      </c>
      <c r="D190" s="10">
        <v>45604.75</v>
      </c>
      <c r="E190">
        <v>0</v>
      </c>
      <c r="F190">
        <v>2.62</v>
      </c>
      <c r="G190">
        <v>0.01</v>
      </c>
      <c r="H190">
        <v>0.82</v>
      </c>
    </row>
    <row r="191" spans="1:8" x14ac:dyDescent="0.55000000000000004">
      <c r="A191" s="11" t="str">
        <f t="shared" si="6"/>
        <v>11月</v>
      </c>
      <c r="B191" s="11" t="str">
        <f t="shared" si="7"/>
        <v>11月8日</v>
      </c>
      <c r="C191" s="11" t="str">
        <f t="shared" si="8"/>
        <v>20時</v>
      </c>
      <c r="D191" s="10">
        <v>45604.791666666664</v>
      </c>
      <c r="E191">
        <v>0</v>
      </c>
      <c r="F191">
        <v>1.67</v>
      </c>
      <c r="G191">
        <v>0</v>
      </c>
      <c r="H191">
        <v>1.7</v>
      </c>
    </row>
    <row r="192" spans="1:8" x14ac:dyDescent="0.55000000000000004">
      <c r="A192" s="11" t="str">
        <f t="shared" si="6"/>
        <v>11月</v>
      </c>
      <c r="B192" s="11" t="str">
        <f t="shared" si="7"/>
        <v>11月8日</v>
      </c>
      <c r="C192" s="11" t="str">
        <f t="shared" si="8"/>
        <v>21時</v>
      </c>
      <c r="D192" s="10">
        <v>45604.833333333336</v>
      </c>
      <c r="E192">
        <v>0</v>
      </c>
      <c r="F192">
        <v>0.59</v>
      </c>
      <c r="G192">
        <v>0</v>
      </c>
      <c r="H192">
        <v>0.62</v>
      </c>
    </row>
    <row r="193" spans="1:8" x14ac:dyDescent="0.55000000000000004">
      <c r="A193" s="11" t="str">
        <f t="shared" si="6"/>
        <v>11月</v>
      </c>
      <c r="B193" s="11" t="str">
        <f t="shared" si="7"/>
        <v>11月8日</v>
      </c>
      <c r="C193" s="11" t="str">
        <f t="shared" si="8"/>
        <v>22時</v>
      </c>
      <c r="D193" s="10">
        <v>45604.875</v>
      </c>
      <c r="E193">
        <v>0</v>
      </c>
      <c r="F193">
        <v>0.55000000000000004</v>
      </c>
      <c r="G193">
        <v>0</v>
      </c>
      <c r="H193">
        <v>0.57999999999999996</v>
      </c>
    </row>
    <row r="194" spans="1:8" x14ac:dyDescent="0.55000000000000004">
      <c r="A194" s="11" t="str">
        <f t="shared" si="6"/>
        <v>11月</v>
      </c>
      <c r="B194" s="11" t="str">
        <f t="shared" si="7"/>
        <v>11月8日</v>
      </c>
      <c r="C194" s="11" t="str">
        <f t="shared" si="8"/>
        <v>23時</v>
      </c>
      <c r="D194" s="10">
        <v>45604.916666666664</v>
      </c>
      <c r="E194">
        <v>0</v>
      </c>
      <c r="F194">
        <v>0.54</v>
      </c>
      <c r="G194">
        <v>0</v>
      </c>
      <c r="H194">
        <v>0.56999999999999995</v>
      </c>
    </row>
    <row r="195" spans="1:8" x14ac:dyDescent="0.55000000000000004">
      <c r="A195" s="11" t="str">
        <f t="shared" si="6"/>
        <v>11月</v>
      </c>
      <c r="B195" s="11" t="str">
        <f t="shared" si="7"/>
        <v>11月8日</v>
      </c>
      <c r="C195" s="11" t="str">
        <f t="shared" si="8"/>
        <v>24時</v>
      </c>
      <c r="D195" s="10">
        <v>45604.958333333336</v>
      </c>
      <c r="E195">
        <v>0</v>
      </c>
      <c r="F195">
        <v>0.49</v>
      </c>
      <c r="G195">
        <v>0</v>
      </c>
      <c r="H195">
        <v>0.52</v>
      </c>
    </row>
    <row r="196" spans="1:8" x14ac:dyDescent="0.55000000000000004">
      <c r="A196" s="11" t="str">
        <f t="shared" ref="A196:A259" si="9">MONTH(D196)&amp;"月"</f>
        <v>11月</v>
      </c>
      <c r="B196" s="11" t="str">
        <f t="shared" ref="B196:B259" si="10">A196&amp;DAY(D196)&amp;"日"</f>
        <v>11月9日</v>
      </c>
      <c r="C196" s="11" t="str">
        <f t="shared" ref="C196:C259" si="11">HOUR(D196)+1&amp;"時"</f>
        <v>1時</v>
      </c>
      <c r="D196" s="10">
        <v>45605</v>
      </c>
      <c r="E196">
        <v>0</v>
      </c>
      <c r="F196">
        <v>0.56000000000000005</v>
      </c>
      <c r="G196">
        <v>0</v>
      </c>
      <c r="H196">
        <v>0.59</v>
      </c>
    </row>
    <row r="197" spans="1:8" x14ac:dyDescent="0.55000000000000004">
      <c r="A197" s="11" t="str">
        <f t="shared" si="9"/>
        <v>11月</v>
      </c>
      <c r="B197" s="11" t="str">
        <f t="shared" si="10"/>
        <v>11月9日</v>
      </c>
      <c r="C197" s="11" t="str">
        <f t="shared" si="11"/>
        <v>2時</v>
      </c>
      <c r="D197" s="10">
        <v>45605.041666666664</v>
      </c>
      <c r="E197">
        <v>0</v>
      </c>
      <c r="F197">
        <v>0.5</v>
      </c>
      <c r="G197">
        <v>0</v>
      </c>
      <c r="H197">
        <v>0.53</v>
      </c>
    </row>
    <row r="198" spans="1:8" x14ac:dyDescent="0.55000000000000004">
      <c r="A198" s="11" t="str">
        <f t="shared" si="9"/>
        <v>11月</v>
      </c>
      <c r="B198" s="11" t="str">
        <f t="shared" si="10"/>
        <v>11月9日</v>
      </c>
      <c r="C198" s="11" t="str">
        <f t="shared" si="11"/>
        <v>3時</v>
      </c>
      <c r="D198" s="10">
        <v>45605.083333333336</v>
      </c>
      <c r="E198">
        <v>0</v>
      </c>
      <c r="F198">
        <v>0.56000000000000005</v>
      </c>
      <c r="G198">
        <v>0</v>
      </c>
      <c r="H198">
        <v>0.59</v>
      </c>
    </row>
    <row r="199" spans="1:8" x14ac:dyDescent="0.55000000000000004">
      <c r="A199" s="11" t="str">
        <f t="shared" si="9"/>
        <v>11月</v>
      </c>
      <c r="B199" s="11" t="str">
        <f t="shared" si="10"/>
        <v>11月9日</v>
      </c>
      <c r="C199" s="11" t="str">
        <f t="shared" si="11"/>
        <v>4時</v>
      </c>
      <c r="D199" s="10">
        <v>45605.125</v>
      </c>
      <c r="E199">
        <v>0</v>
      </c>
      <c r="F199">
        <v>0.53</v>
      </c>
      <c r="G199">
        <v>0</v>
      </c>
      <c r="H199">
        <v>0.56000000000000005</v>
      </c>
    </row>
    <row r="200" spans="1:8" x14ac:dyDescent="0.55000000000000004">
      <c r="A200" s="11" t="str">
        <f t="shared" si="9"/>
        <v>11月</v>
      </c>
      <c r="B200" s="11" t="str">
        <f t="shared" si="10"/>
        <v>11月9日</v>
      </c>
      <c r="C200" s="11" t="str">
        <f t="shared" si="11"/>
        <v>5時</v>
      </c>
      <c r="D200" s="10">
        <v>45605.166666666664</v>
      </c>
      <c r="E200">
        <v>0</v>
      </c>
      <c r="F200">
        <v>0.55000000000000004</v>
      </c>
      <c r="G200">
        <v>0</v>
      </c>
      <c r="H200">
        <v>0.57999999999999996</v>
      </c>
    </row>
    <row r="201" spans="1:8" x14ac:dyDescent="0.55000000000000004">
      <c r="A201" s="11" t="str">
        <f t="shared" si="9"/>
        <v>11月</v>
      </c>
      <c r="B201" s="11" t="str">
        <f t="shared" si="10"/>
        <v>11月9日</v>
      </c>
      <c r="C201" s="11" t="str">
        <f t="shared" si="11"/>
        <v>6時</v>
      </c>
      <c r="D201" s="10">
        <v>45605.208333333336</v>
      </c>
      <c r="E201">
        <v>0</v>
      </c>
      <c r="F201">
        <v>0.53</v>
      </c>
      <c r="G201">
        <v>0</v>
      </c>
      <c r="H201">
        <v>0.56999999999999995</v>
      </c>
    </row>
    <row r="202" spans="1:8" x14ac:dyDescent="0.55000000000000004">
      <c r="A202" s="11" t="str">
        <f t="shared" si="9"/>
        <v>11月</v>
      </c>
      <c r="B202" s="11" t="str">
        <f t="shared" si="10"/>
        <v>11月9日</v>
      </c>
      <c r="C202" s="11" t="str">
        <f t="shared" si="11"/>
        <v>7時</v>
      </c>
      <c r="D202" s="10">
        <v>45605.25</v>
      </c>
      <c r="E202">
        <v>0.03</v>
      </c>
      <c r="F202">
        <v>0.53</v>
      </c>
      <c r="G202">
        <v>0</v>
      </c>
      <c r="H202">
        <v>0.53</v>
      </c>
    </row>
    <row r="203" spans="1:8" x14ac:dyDescent="0.55000000000000004">
      <c r="A203" s="11" t="str">
        <f t="shared" si="9"/>
        <v>11月</v>
      </c>
      <c r="B203" s="11" t="str">
        <f t="shared" si="10"/>
        <v>11月9日</v>
      </c>
      <c r="C203" s="11" t="str">
        <f t="shared" si="11"/>
        <v>8時</v>
      </c>
      <c r="D203" s="10">
        <v>45605.291666666664</v>
      </c>
      <c r="E203">
        <v>0.13</v>
      </c>
      <c r="F203">
        <v>0.65</v>
      </c>
      <c r="G203">
        <v>0</v>
      </c>
      <c r="H203">
        <v>0.53</v>
      </c>
    </row>
    <row r="204" spans="1:8" x14ac:dyDescent="0.55000000000000004">
      <c r="A204" s="11" t="str">
        <f t="shared" si="9"/>
        <v>11月</v>
      </c>
      <c r="B204" s="11" t="str">
        <f t="shared" si="10"/>
        <v>11月9日</v>
      </c>
      <c r="C204" s="11" t="str">
        <f t="shared" si="11"/>
        <v>9時</v>
      </c>
      <c r="D204" s="10">
        <v>45605.333333333336</v>
      </c>
      <c r="E204">
        <v>1.69</v>
      </c>
      <c r="F204">
        <v>0.51</v>
      </c>
      <c r="G204">
        <v>0.04</v>
      </c>
      <c r="H204">
        <v>0.08</v>
      </c>
    </row>
    <row r="205" spans="1:8" x14ac:dyDescent="0.55000000000000004">
      <c r="A205" s="11" t="str">
        <f t="shared" si="9"/>
        <v>11月</v>
      </c>
      <c r="B205" s="11" t="str">
        <f t="shared" si="10"/>
        <v>11月9日</v>
      </c>
      <c r="C205" s="11" t="str">
        <f t="shared" si="11"/>
        <v>10時</v>
      </c>
      <c r="D205" s="10">
        <v>45605.375</v>
      </c>
      <c r="E205">
        <v>5.34</v>
      </c>
      <c r="F205">
        <v>0.92</v>
      </c>
      <c r="G205">
        <v>0.2</v>
      </c>
      <c r="H205">
        <v>0</v>
      </c>
    </row>
    <row r="206" spans="1:8" x14ac:dyDescent="0.55000000000000004">
      <c r="A206" s="11" t="str">
        <f t="shared" si="9"/>
        <v>11月</v>
      </c>
      <c r="B206" s="11" t="str">
        <f t="shared" si="10"/>
        <v>11月9日</v>
      </c>
      <c r="C206" s="11" t="str">
        <f t="shared" si="11"/>
        <v>11時</v>
      </c>
      <c r="D206" s="10">
        <v>45605.416666666664</v>
      </c>
      <c r="E206">
        <v>5.88</v>
      </c>
      <c r="F206">
        <v>0.56000000000000005</v>
      </c>
      <c r="G206">
        <v>4.2699999999999996</v>
      </c>
      <c r="H206">
        <v>0</v>
      </c>
    </row>
    <row r="207" spans="1:8" x14ac:dyDescent="0.55000000000000004">
      <c r="A207" s="11" t="str">
        <f t="shared" si="9"/>
        <v>11月</v>
      </c>
      <c r="B207" s="11" t="str">
        <f t="shared" si="10"/>
        <v>11月9日</v>
      </c>
      <c r="C207" s="11" t="str">
        <f t="shared" si="11"/>
        <v>12時</v>
      </c>
      <c r="D207" s="10">
        <v>45605.458333333336</v>
      </c>
      <c r="E207">
        <v>5.68</v>
      </c>
      <c r="F207">
        <v>0.37</v>
      </c>
      <c r="G207">
        <v>5.31</v>
      </c>
      <c r="H207">
        <v>0</v>
      </c>
    </row>
    <row r="208" spans="1:8" x14ac:dyDescent="0.55000000000000004">
      <c r="A208" s="11" t="str">
        <f t="shared" si="9"/>
        <v>11月</v>
      </c>
      <c r="B208" s="11" t="str">
        <f t="shared" si="10"/>
        <v>11月9日</v>
      </c>
      <c r="C208" s="11" t="str">
        <f t="shared" si="11"/>
        <v>13時</v>
      </c>
      <c r="D208" s="10">
        <v>45605.5</v>
      </c>
      <c r="E208">
        <v>4.49</v>
      </c>
      <c r="F208">
        <v>0.39</v>
      </c>
      <c r="G208">
        <v>4.1100000000000003</v>
      </c>
      <c r="H208">
        <v>0</v>
      </c>
    </row>
    <row r="209" spans="1:8" x14ac:dyDescent="0.55000000000000004">
      <c r="A209" s="11" t="str">
        <f t="shared" si="9"/>
        <v>11月</v>
      </c>
      <c r="B209" s="11" t="str">
        <f t="shared" si="10"/>
        <v>11月9日</v>
      </c>
      <c r="C209" s="11" t="str">
        <f t="shared" si="11"/>
        <v>14時</v>
      </c>
      <c r="D209" s="10">
        <v>45605.541666666664</v>
      </c>
      <c r="E209">
        <v>3.91</v>
      </c>
      <c r="F209">
        <v>0.35</v>
      </c>
      <c r="G209">
        <v>3.56</v>
      </c>
      <c r="H209">
        <v>0</v>
      </c>
    </row>
    <row r="210" spans="1:8" x14ac:dyDescent="0.55000000000000004">
      <c r="A210" s="11" t="str">
        <f t="shared" si="9"/>
        <v>11月</v>
      </c>
      <c r="B210" s="11" t="str">
        <f t="shared" si="10"/>
        <v>11月9日</v>
      </c>
      <c r="C210" s="11" t="str">
        <f t="shared" si="11"/>
        <v>15時</v>
      </c>
      <c r="D210" s="10">
        <v>45605.583333333336</v>
      </c>
      <c r="E210">
        <v>1.45</v>
      </c>
      <c r="F210">
        <v>0.34</v>
      </c>
      <c r="G210">
        <v>1.1000000000000001</v>
      </c>
      <c r="H210">
        <v>0</v>
      </c>
    </row>
    <row r="211" spans="1:8" x14ac:dyDescent="0.55000000000000004">
      <c r="A211" s="11" t="str">
        <f t="shared" si="9"/>
        <v>11月</v>
      </c>
      <c r="B211" s="11" t="str">
        <f t="shared" si="10"/>
        <v>11月9日</v>
      </c>
      <c r="C211" s="11" t="str">
        <f t="shared" si="11"/>
        <v>16時</v>
      </c>
      <c r="D211" s="10">
        <v>45605.625</v>
      </c>
      <c r="E211">
        <v>0.93</v>
      </c>
      <c r="F211">
        <v>0.35</v>
      </c>
      <c r="G211">
        <v>0.57999999999999996</v>
      </c>
      <c r="H211">
        <v>0</v>
      </c>
    </row>
    <row r="212" spans="1:8" x14ac:dyDescent="0.55000000000000004">
      <c r="A212" s="11" t="str">
        <f t="shared" si="9"/>
        <v>11月</v>
      </c>
      <c r="B212" s="11" t="str">
        <f t="shared" si="10"/>
        <v>11月9日</v>
      </c>
      <c r="C212" s="11" t="str">
        <f t="shared" si="11"/>
        <v>17時</v>
      </c>
      <c r="D212" s="10">
        <v>45605.666666666664</v>
      </c>
      <c r="E212">
        <v>0.05</v>
      </c>
      <c r="F212">
        <v>1.01</v>
      </c>
      <c r="G212">
        <v>0.01</v>
      </c>
      <c r="H212">
        <v>0</v>
      </c>
    </row>
    <row r="213" spans="1:8" x14ac:dyDescent="0.55000000000000004">
      <c r="A213" s="11" t="str">
        <f t="shared" si="9"/>
        <v>11月</v>
      </c>
      <c r="B213" s="11" t="str">
        <f t="shared" si="10"/>
        <v>11月9日</v>
      </c>
      <c r="C213" s="11" t="str">
        <f t="shared" si="11"/>
        <v>18時</v>
      </c>
      <c r="D213" s="10">
        <v>45605.708333333336</v>
      </c>
      <c r="E213">
        <v>0</v>
      </c>
      <c r="F213">
        <v>2.19</v>
      </c>
      <c r="G213">
        <v>0.01</v>
      </c>
      <c r="H213">
        <v>0.01</v>
      </c>
    </row>
    <row r="214" spans="1:8" x14ac:dyDescent="0.55000000000000004">
      <c r="A214" s="11" t="str">
        <f t="shared" si="9"/>
        <v>11月</v>
      </c>
      <c r="B214" s="11" t="str">
        <f t="shared" si="10"/>
        <v>11月9日</v>
      </c>
      <c r="C214" s="11" t="str">
        <f t="shared" si="11"/>
        <v>19時</v>
      </c>
      <c r="D214" s="10">
        <v>45605.75</v>
      </c>
      <c r="E214">
        <v>0</v>
      </c>
      <c r="F214">
        <v>2.42</v>
      </c>
      <c r="G214">
        <v>0.01</v>
      </c>
      <c r="H214">
        <v>0.14000000000000001</v>
      </c>
    </row>
    <row r="215" spans="1:8" x14ac:dyDescent="0.55000000000000004">
      <c r="A215" s="11" t="str">
        <f t="shared" si="9"/>
        <v>11月</v>
      </c>
      <c r="B215" s="11" t="str">
        <f t="shared" si="10"/>
        <v>11月9日</v>
      </c>
      <c r="C215" s="11" t="str">
        <f t="shared" si="11"/>
        <v>20時</v>
      </c>
      <c r="D215" s="10">
        <v>45605.791666666664</v>
      </c>
      <c r="E215">
        <v>0</v>
      </c>
      <c r="F215">
        <v>1.99</v>
      </c>
      <c r="G215">
        <v>0</v>
      </c>
      <c r="H215">
        <v>2.02</v>
      </c>
    </row>
    <row r="216" spans="1:8" x14ac:dyDescent="0.55000000000000004">
      <c r="A216" s="11" t="str">
        <f t="shared" si="9"/>
        <v>11月</v>
      </c>
      <c r="B216" s="11" t="str">
        <f t="shared" si="10"/>
        <v>11月9日</v>
      </c>
      <c r="C216" s="11" t="str">
        <f t="shared" si="11"/>
        <v>21時</v>
      </c>
      <c r="D216" s="10">
        <v>45605.833333333336</v>
      </c>
      <c r="E216">
        <v>0</v>
      </c>
      <c r="F216">
        <v>0.79</v>
      </c>
      <c r="G216">
        <v>0</v>
      </c>
      <c r="H216">
        <v>0.83</v>
      </c>
    </row>
    <row r="217" spans="1:8" x14ac:dyDescent="0.55000000000000004">
      <c r="A217" s="11" t="str">
        <f t="shared" si="9"/>
        <v>11月</v>
      </c>
      <c r="B217" s="11" t="str">
        <f t="shared" si="10"/>
        <v>11月9日</v>
      </c>
      <c r="C217" s="11" t="str">
        <f t="shared" si="11"/>
        <v>22時</v>
      </c>
      <c r="D217" s="10">
        <v>45605.875</v>
      </c>
      <c r="E217">
        <v>0</v>
      </c>
      <c r="F217">
        <v>0.56000000000000005</v>
      </c>
      <c r="G217">
        <v>0</v>
      </c>
      <c r="H217">
        <v>0.6</v>
      </c>
    </row>
    <row r="218" spans="1:8" x14ac:dyDescent="0.55000000000000004">
      <c r="A218" s="11" t="str">
        <f t="shared" si="9"/>
        <v>11月</v>
      </c>
      <c r="B218" s="11" t="str">
        <f t="shared" si="10"/>
        <v>11月9日</v>
      </c>
      <c r="C218" s="11" t="str">
        <f t="shared" si="11"/>
        <v>23時</v>
      </c>
      <c r="D218" s="10">
        <v>45605.916666666664</v>
      </c>
      <c r="E218">
        <v>0</v>
      </c>
      <c r="F218">
        <v>0.49</v>
      </c>
      <c r="G218">
        <v>0</v>
      </c>
      <c r="H218">
        <v>0.53</v>
      </c>
    </row>
    <row r="219" spans="1:8" x14ac:dyDescent="0.55000000000000004">
      <c r="A219" s="11" t="str">
        <f t="shared" si="9"/>
        <v>11月</v>
      </c>
      <c r="B219" s="11" t="str">
        <f t="shared" si="10"/>
        <v>11月9日</v>
      </c>
      <c r="C219" s="11" t="str">
        <f t="shared" si="11"/>
        <v>24時</v>
      </c>
      <c r="D219" s="10">
        <v>45605.958333333336</v>
      </c>
      <c r="E219">
        <v>0</v>
      </c>
      <c r="F219">
        <v>0.51</v>
      </c>
      <c r="G219">
        <v>0</v>
      </c>
      <c r="H219">
        <v>0.55000000000000004</v>
      </c>
    </row>
    <row r="220" spans="1:8" x14ac:dyDescent="0.55000000000000004">
      <c r="A220" s="11" t="str">
        <f t="shared" si="9"/>
        <v>11月</v>
      </c>
      <c r="B220" s="11" t="str">
        <f t="shared" si="10"/>
        <v>11月10日</v>
      </c>
      <c r="C220" s="11" t="str">
        <f t="shared" si="11"/>
        <v>1時</v>
      </c>
      <c r="D220" s="10">
        <v>45606</v>
      </c>
      <c r="E220">
        <v>0</v>
      </c>
      <c r="F220">
        <v>0.48</v>
      </c>
      <c r="G220">
        <v>0</v>
      </c>
      <c r="H220">
        <v>0.52</v>
      </c>
    </row>
    <row r="221" spans="1:8" x14ac:dyDescent="0.55000000000000004">
      <c r="A221" s="11" t="str">
        <f t="shared" si="9"/>
        <v>11月</v>
      </c>
      <c r="B221" s="11" t="str">
        <f t="shared" si="10"/>
        <v>11月10日</v>
      </c>
      <c r="C221" s="11" t="str">
        <f t="shared" si="11"/>
        <v>2時</v>
      </c>
      <c r="D221" s="10">
        <v>45606.041666666664</v>
      </c>
      <c r="E221">
        <v>0</v>
      </c>
      <c r="F221">
        <v>0.48</v>
      </c>
      <c r="G221">
        <v>0</v>
      </c>
      <c r="H221">
        <v>0.52</v>
      </c>
    </row>
    <row r="222" spans="1:8" x14ac:dyDescent="0.55000000000000004">
      <c r="A222" s="11" t="str">
        <f t="shared" si="9"/>
        <v>11月</v>
      </c>
      <c r="B222" s="11" t="str">
        <f t="shared" si="10"/>
        <v>11月10日</v>
      </c>
      <c r="C222" s="11" t="str">
        <f t="shared" si="11"/>
        <v>3時</v>
      </c>
      <c r="D222" s="10">
        <v>45606.083333333336</v>
      </c>
      <c r="E222">
        <v>0</v>
      </c>
      <c r="F222">
        <v>0.48</v>
      </c>
      <c r="G222">
        <v>0</v>
      </c>
      <c r="H222">
        <v>0.52</v>
      </c>
    </row>
    <row r="223" spans="1:8" x14ac:dyDescent="0.55000000000000004">
      <c r="A223" s="11" t="str">
        <f t="shared" si="9"/>
        <v>11月</v>
      </c>
      <c r="B223" s="11" t="str">
        <f t="shared" si="10"/>
        <v>11月10日</v>
      </c>
      <c r="C223" s="11" t="str">
        <f t="shared" si="11"/>
        <v>4時</v>
      </c>
      <c r="D223" s="10">
        <v>45606.125</v>
      </c>
      <c r="E223">
        <v>0</v>
      </c>
      <c r="F223">
        <v>0.45</v>
      </c>
      <c r="G223">
        <v>0</v>
      </c>
      <c r="H223">
        <v>0.49</v>
      </c>
    </row>
    <row r="224" spans="1:8" x14ac:dyDescent="0.55000000000000004">
      <c r="A224" s="11" t="str">
        <f t="shared" si="9"/>
        <v>11月</v>
      </c>
      <c r="B224" s="11" t="str">
        <f t="shared" si="10"/>
        <v>11月10日</v>
      </c>
      <c r="C224" s="11" t="str">
        <f t="shared" si="11"/>
        <v>5時</v>
      </c>
      <c r="D224" s="10">
        <v>45606.166666666664</v>
      </c>
      <c r="E224">
        <v>0</v>
      </c>
      <c r="F224">
        <v>0.52</v>
      </c>
      <c r="G224">
        <v>0</v>
      </c>
      <c r="H224">
        <v>0.56000000000000005</v>
      </c>
    </row>
    <row r="225" spans="1:8" x14ac:dyDescent="0.55000000000000004">
      <c r="A225" s="11" t="str">
        <f t="shared" si="9"/>
        <v>11月</v>
      </c>
      <c r="B225" s="11" t="str">
        <f t="shared" si="10"/>
        <v>11月10日</v>
      </c>
      <c r="C225" s="11" t="str">
        <f t="shared" si="11"/>
        <v>6時</v>
      </c>
      <c r="D225" s="10">
        <v>45606.208333333336</v>
      </c>
      <c r="E225">
        <v>0</v>
      </c>
      <c r="F225">
        <v>0.5</v>
      </c>
      <c r="G225">
        <v>0</v>
      </c>
      <c r="H225">
        <v>0.54</v>
      </c>
    </row>
    <row r="226" spans="1:8" x14ac:dyDescent="0.55000000000000004">
      <c r="A226" s="11" t="str">
        <f t="shared" si="9"/>
        <v>11月</v>
      </c>
      <c r="B226" s="11" t="str">
        <f t="shared" si="10"/>
        <v>11月10日</v>
      </c>
      <c r="C226" s="11" t="str">
        <f t="shared" si="11"/>
        <v>7時</v>
      </c>
      <c r="D226" s="10">
        <v>45606.25</v>
      </c>
      <c r="E226">
        <v>0.09</v>
      </c>
      <c r="F226">
        <v>0.56999999999999995</v>
      </c>
      <c r="G226">
        <v>0</v>
      </c>
      <c r="H226">
        <v>0.48</v>
      </c>
    </row>
    <row r="227" spans="1:8" x14ac:dyDescent="0.55000000000000004">
      <c r="A227" s="11" t="str">
        <f t="shared" si="9"/>
        <v>11月</v>
      </c>
      <c r="B227" s="11" t="str">
        <f t="shared" si="10"/>
        <v>11月10日</v>
      </c>
      <c r="C227" s="11" t="str">
        <f t="shared" si="11"/>
        <v>8時</v>
      </c>
      <c r="D227" s="10">
        <v>45606.291666666664</v>
      </c>
      <c r="E227">
        <v>1.32</v>
      </c>
      <c r="F227">
        <v>0.71</v>
      </c>
      <c r="G227">
        <v>0</v>
      </c>
      <c r="H227">
        <v>0.03</v>
      </c>
    </row>
    <row r="228" spans="1:8" x14ac:dyDescent="0.55000000000000004">
      <c r="A228" s="11" t="str">
        <f t="shared" si="9"/>
        <v>11月</v>
      </c>
      <c r="B228" s="11" t="str">
        <f t="shared" si="10"/>
        <v>11月10日</v>
      </c>
      <c r="C228" s="11" t="str">
        <f t="shared" si="11"/>
        <v>9時</v>
      </c>
      <c r="D228" s="10">
        <v>45606.333333333336</v>
      </c>
      <c r="E228">
        <v>3.71</v>
      </c>
      <c r="F228">
        <v>0.4</v>
      </c>
      <c r="G228">
        <v>0.01</v>
      </c>
      <c r="H228">
        <v>0.01</v>
      </c>
    </row>
    <row r="229" spans="1:8" x14ac:dyDescent="0.55000000000000004">
      <c r="A229" s="11" t="str">
        <f t="shared" si="9"/>
        <v>11月</v>
      </c>
      <c r="B229" s="11" t="str">
        <f t="shared" si="10"/>
        <v>11月10日</v>
      </c>
      <c r="C229" s="11" t="str">
        <f t="shared" si="11"/>
        <v>10時</v>
      </c>
      <c r="D229" s="10">
        <v>45606.375</v>
      </c>
      <c r="E229">
        <v>5.23</v>
      </c>
      <c r="F229">
        <v>0.43</v>
      </c>
      <c r="G229">
        <v>2.2000000000000002</v>
      </c>
      <c r="H229">
        <v>0</v>
      </c>
    </row>
    <row r="230" spans="1:8" x14ac:dyDescent="0.55000000000000004">
      <c r="A230" s="11" t="str">
        <f t="shared" si="9"/>
        <v>11月</v>
      </c>
      <c r="B230" s="11" t="str">
        <f t="shared" si="10"/>
        <v>11月10日</v>
      </c>
      <c r="C230" s="11" t="str">
        <f t="shared" si="11"/>
        <v>11時</v>
      </c>
      <c r="D230" s="10">
        <v>45606.416666666664</v>
      </c>
      <c r="E230">
        <v>5.89</v>
      </c>
      <c r="F230">
        <v>0.39</v>
      </c>
      <c r="G230">
        <v>5.5</v>
      </c>
      <c r="H230">
        <v>0</v>
      </c>
    </row>
    <row r="231" spans="1:8" x14ac:dyDescent="0.55000000000000004">
      <c r="A231" s="11" t="str">
        <f t="shared" si="9"/>
        <v>11月</v>
      </c>
      <c r="B231" s="11" t="str">
        <f t="shared" si="10"/>
        <v>11月10日</v>
      </c>
      <c r="C231" s="11" t="str">
        <f t="shared" si="11"/>
        <v>12時</v>
      </c>
      <c r="D231" s="10">
        <v>45606.458333333336</v>
      </c>
      <c r="E231">
        <v>6.09</v>
      </c>
      <c r="F231">
        <v>0.37</v>
      </c>
      <c r="G231">
        <v>5.72</v>
      </c>
      <c r="H231">
        <v>0</v>
      </c>
    </row>
    <row r="232" spans="1:8" x14ac:dyDescent="0.55000000000000004">
      <c r="A232" s="11" t="str">
        <f t="shared" si="9"/>
        <v>11月</v>
      </c>
      <c r="B232" s="11" t="str">
        <f t="shared" si="10"/>
        <v>11月10日</v>
      </c>
      <c r="C232" s="11" t="str">
        <f t="shared" si="11"/>
        <v>13時</v>
      </c>
      <c r="D232" s="10">
        <v>45606.5</v>
      </c>
      <c r="E232">
        <v>5.7</v>
      </c>
      <c r="F232">
        <v>0.32</v>
      </c>
      <c r="G232">
        <v>5.38</v>
      </c>
      <c r="H232">
        <v>0</v>
      </c>
    </row>
    <row r="233" spans="1:8" x14ac:dyDescent="0.55000000000000004">
      <c r="A233" s="11" t="str">
        <f t="shared" si="9"/>
        <v>11月</v>
      </c>
      <c r="B233" s="11" t="str">
        <f t="shared" si="10"/>
        <v>11月10日</v>
      </c>
      <c r="C233" s="11" t="str">
        <f t="shared" si="11"/>
        <v>14時</v>
      </c>
      <c r="D233" s="10">
        <v>45606.541666666664</v>
      </c>
      <c r="E233">
        <v>4.66</v>
      </c>
      <c r="F233">
        <v>0.32</v>
      </c>
      <c r="G233">
        <v>4.34</v>
      </c>
      <c r="H233">
        <v>0</v>
      </c>
    </row>
    <row r="234" spans="1:8" x14ac:dyDescent="0.55000000000000004">
      <c r="A234" s="11" t="str">
        <f t="shared" si="9"/>
        <v>11月</v>
      </c>
      <c r="B234" s="11" t="str">
        <f t="shared" si="10"/>
        <v>11月10日</v>
      </c>
      <c r="C234" s="11" t="str">
        <f t="shared" si="11"/>
        <v>15時</v>
      </c>
      <c r="D234" s="10">
        <v>45606.583333333336</v>
      </c>
      <c r="E234">
        <v>2.95</v>
      </c>
      <c r="F234">
        <v>0.35</v>
      </c>
      <c r="G234">
        <v>2.6</v>
      </c>
      <c r="H234">
        <v>0</v>
      </c>
    </row>
    <row r="235" spans="1:8" x14ac:dyDescent="0.55000000000000004">
      <c r="A235" s="11" t="str">
        <f t="shared" si="9"/>
        <v>11月</v>
      </c>
      <c r="B235" s="11" t="str">
        <f t="shared" si="10"/>
        <v>11月10日</v>
      </c>
      <c r="C235" s="11" t="str">
        <f t="shared" si="11"/>
        <v>16時</v>
      </c>
      <c r="D235" s="10">
        <v>45606.625</v>
      </c>
      <c r="E235">
        <v>0.86</v>
      </c>
      <c r="F235">
        <v>0.5</v>
      </c>
      <c r="G235">
        <v>0.57999999999999996</v>
      </c>
      <c r="H235">
        <v>0</v>
      </c>
    </row>
    <row r="236" spans="1:8" x14ac:dyDescent="0.55000000000000004">
      <c r="A236" s="11" t="str">
        <f t="shared" si="9"/>
        <v>11月</v>
      </c>
      <c r="B236" s="11" t="str">
        <f t="shared" si="10"/>
        <v>11月10日</v>
      </c>
      <c r="C236" s="11" t="str">
        <f t="shared" si="11"/>
        <v>17時</v>
      </c>
      <c r="D236" s="10">
        <v>45606.666666666664</v>
      </c>
      <c r="E236">
        <v>0</v>
      </c>
      <c r="F236">
        <v>1.51</v>
      </c>
      <c r="G236">
        <v>0.01</v>
      </c>
      <c r="H236">
        <v>0.02</v>
      </c>
    </row>
    <row r="237" spans="1:8" x14ac:dyDescent="0.55000000000000004">
      <c r="A237" s="11" t="str">
        <f t="shared" si="9"/>
        <v>11月</v>
      </c>
      <c r="B237" s="11" t="str">
        <f t="shared" si="10"/>
        <v>11月10日</v>
      </c>
      <c r="C237" s="11" t="str">
        <f t="shared" si="11"/>
        <v>18時</v>
      </c>
      <c r="D237" s="10">
        <v>45606.708333333336</v>
      </c>
      <c r="E237">
        <v>0</v>
      </c>
      <c r="F237">
        <v>2.2200000000000002</v>
      </c>
      <c r="G237">
        <v>0.01</v>
      </c>
      <c r="H237">
        <v>7.0000000000000007E-2</v>
      </c>
    </row>
    <row r="238" spans="1:8" x14ac:dyDescent="0.55000000000000004">
      <c r="A238" s="11" t="str">
        <f t="shared" si="9"/>
        <v>11月</v>
      </c>
      <c r="B238" s="11" t="str">
        <f t="shared" si="10"/>
        <v>11月10日</v>
      </c>
      <c r="C238" s="11" t="str">
        <f t="shared" si="11"/>
        <v>19時</v>
      </c>
      <c r="D238" s="10">
        <v>45606.75</v>
      </c>
      <c r="E238">
        <v>0</v>
      </c>
      <c r="F238">
        <v>2.36</v>
      </c>
      <c r="G238">
        <v>0.01</v>
      </c>
      <c r="H238">
        <v>0.69</v>
      </c>
    </row>
    <row r="239" spans="1:8" x14ac:dyDescent="0.55000000000000004">
      <c r="A239" s="11" t="str">
        <f t="shared" si="9"/>
        <v>11月</v>
      </c>
      <c r="B239" s="11" t="str">
        <f t="shared" si="10"/>
        <v>11月10日</v>
      </c>
      <c r="C239" s="11" t="str">
        <f t="shared" si="11"/>
        <v>20時</v>
      </c>
      <c r="D239" s="10">
        <v>45606.791666666664</v>
      </c>
      <c r="E239">
        <v>0</v>
      </c>
      <c r="F239">
        <v>1.6</v>
      </c>
      <c r="G239">
        <v>0</v>
      </c>
      <c r="H239">
        <v>1.63</v>
      </c>
    </row>
    <row r="240" spans="1:8" x14ac:dyDescent="0.55000000000000004">
      <c r="A240" s="11" t="str">
        <f t="shared" si="9"/>
        <v>11月</v>
      </c>
      <c r="B240" s="11" t="str">
        <f t="shared" si="10"/>
        <v>11月10日</v>
      </c>
      <c r="C240" s="11" t="str">
        <f t="shared" si="11"/>
        <v>21時</v>
      </c>
      <c r="D240" s="10">
        <v>45606.833333333336</v>
      </c>
      <c r="E240">
        <v>0</v>
      </c>
      <c r="F240">
        <v>0.59</v>
      </c>
      <c r="G240">
        <v>0</v>
      </c>
      <c r="H240">
        <v>0.62</v>
      </c>
    </row>
    <row r="241" spans="1:8" x14ac:dyDescent="0.55000000000000004">
      <c r="A241" s="11" t="str">
        <f t="shared" si="9"/>
        <v>11月</v>
      </c>
      <c r="B241" s="11" t="str">
        <f t="shared" si="10"/>
        <v>11月10日</v>
      </c>
      <c r="C241" s="11" t="str">
        <f t="shared" si="11"/>
        <v>22時</v>
      </c>
      <c r="D241" s="10">
        <v>45606.875</v>
      </c>
      <c r="E241">
        <v>0</v>
      </c>
      <c r="F241">
        <v>0.57999999999999996</v>
      </c>
      <c r="G241">
        <v>0</v>
      </c>
      <c r="H241">
        <v>0.6</v>
      </c>
    </row>
    <row r="242" spans="1:8" x14ac:dyDescent="0.55000000000000004">
      <c r="A242" s="11" t="str">
        <f t="shared" si="9"/>
        <v>11月</v>
      </c>
      <c r="B242" s="11" t="str">
        <f t="shared" si="10"/>
        <v>11月10日</v>
      </c>
      <c r="C242" s="11" t="str">
        <f t="shared" si="11"/>
        <v>23時</v>
      </c>
      <c r="D242" s="10">
        <v>45606.916666666664</v>
      </c>
      <c r="E242">
        <v>0</v>
      </c>
      <c r="F242">
        <v>0.47</v>
      </c>
      <c r="G242">
        <v>0</v>
      </c>
      <c r="H242">
        <v>0.5</v>
      </c>
    </row>
    <row r="243" spans="1:8" x14ac:dyDescent="0.55000000000000004">
      <c r="A243" s="11" t="str">
        <f t="shared" si="9"/>
        <v>11月</v>
      </c>
      <c r="B243" s="11" t="str">
        <f t="shared" si="10"/>
        <v>11月10日</v>
      </c>
      <c r="C243" s="11" t="str">
        <f t="shared" si="11"/>
        <v>24時</v>
      </c>
      <c r="D243" s="10">
        <v>45606.958333333336</v>
      </c>
      <c r="E243">
        <v>0</v>
      </c>
      <c r="F243">
        <v>0.48</v>
      </c>
      <c r="G243">
        <v>0</v>
      </c>
      <c r="H243">
        <v>0.5</v>
      </c>
    </row>
    <row r="244" spans="1:8" x14ac:dyDescent="0.55000000000000004">
      <c r="A244" s="11" t="str">
        <f t="shared" si="9"/>
        <v>11月</v>
      </c>
      <c r="B244" s="11" t="str">
        <f t="shared" si="10"/>
        <v>11月11日</v>
      </c>
      <c r="C244" s="11" t="str">
        <f t="shared" si="11"/>
        <v>1時</v>
      </c>
      <c r="D244" s="10">
        <v>45607</v>
      </c>
      <c r="E244">
        <v>0</v>
      </c>
      <c r="F244">
        <v>0.44</v>
      </c>
      <c r="G244">
        <v>0</v>
      </c>
      <c r="H244">
        <v>0.46</v>
      </c>
    </row>
    <row r="245" spans="1:8" x14ac:dyDescent="0.55000000000000004">
      <c r="A245" s="11" t="str">
        <f t="shared" si="9"/>
        <v>11月</v>
      </c>
      <c r="B245" s="11" t="str">
        <f t="shared" si="10"/>
        <v>11月11日</v>
      </c>
      <c r="C245" s="11" t="str">
        <f t="shared" si="11"/>
        <v>2時</v>
      </c>
      <c r="D245" s="10">
        <v>45607.041666666664</v>
      </c>
      <c r="E245">
        <v>0</v>
      </c>
      <c r="F245">
        <v>0.46</v>
      </c>
      <c r="G245">
        <v>0</v>
      </c>
      <c r="H245">
        <v>0.49</v>
      </c>
    </row>
    <row r="246" spans="1:8" x14ac:dyDescent="0.55000000000000004">
      <c r="A246" s="11" t="str">
        <f t="shared" si="9"/>
        <v>11月</v>
      </c>
      <c r="B246" s="11" t="str">
        <f t="shared" si="10"/>
        <v>11月11日</v>
      </c>
      <c r="C246" s="11" t="str">
        <f t="shared" si="11"/>
        <v>3時</v>
      </c>
      <c r="D246" s="10">
        <v>45607.083333333336</v>
      </c>
      <c r="E246">
        <v>0</v>
      </c>
      <c r="F246">
        <v>0.42</v>
      </c>
      <c r="G246">
        <v>0</v>
      </c>
      <c r="H246">
        <v>0.46</v>
      </c>
    </row>
    <row r="247" spans="1:8" x14ac:dyDescent="0.55000000000000004">
      <c r="A247" s="11" t="str">
        <f t="shared" si="9"/>
        <v>11月</v>
      </c>
      <c r="B247" s="11" t="str">
        <f t="shared" si="10"/>
        <v>11月11日</v>
      </c>
      <c r="C247" s="11" t="str">
        <f t="shared" si="11"/>
        <v>4時</v>
      </c>
      <c r="D247" s="10">
        <v>45607.125</v>
      </c>
      <c r="E247">
        <v>0</v>
      </c>
      <c r="F247">
        <v>0.47</v>
      </c>
      <c r="G247">
        <v>0</v>
      </c>
      <c r="H247">
        <v>0.52</v>
      </c>
    </row>
    <row r="248" spans="1:8" x14ac:dyDescent="0.55000000000000004">
      <c r="A248" s="11" t="str">
        <f t="shared" si="9"/>
        <v>11月</v>
      </c>
      <c r="B248" s="11" t="str">
        <f t="shared" si="10"/>
        <v>11月11日</v>
      </c>
      <c r="C248" s="11" t="str">
        <f t="shared" si="11"/>
        <v>5時</v>
      </c>
      <c r="D248" s="10">
        <v>45607.166666666664</v>
      </c>
      <c r="E248">
        <v>0</v>
      </c>
      <c r="F248">
        <v>0.63</v>
      </c>
      <c r="G248">
        <v>0</v>
      </c>
      <c r="H248">
        <v>0.67</v>
      </c>
    </row>
    <row r="249" spans="1:8" x14ac:dyDescent="0.55000000000000004">
      <c r="A249" s="11" t="str">
        <f t="shared" si="9"/>
        <v>11月</v>
      </c>
      <c r="B249" s="11" t="str">
        <f t="shared" si="10"/>
        <v>11月11日</v>
      </c>
      <c r="C249" s="11" t="str">
        <f t="shared" si="11"/>
        <v>6時</v>
      </c>
      <c r="D249" s="10">
        <v>45607.208333333336</v>
      </c>
      <c r="E249">
        <v>0</v>
      </c>
      <c r="F249">
        <v>0.5</v>
      </c>
      <c r="G249">
        <v>0</v>
      </c>
      <c r="H249">
        <v>0.53</v>
      </c>
    </row>
    <row r="250" spans="1:8" x14ac:dyDescent="0.55000000000000004">
      <c r="A250" s="11" t="str">
        <f t="shared" si="9"/>
        <v>11月</v>
      </c>
      <c r="B250" s="11" t="str">
        <f t="shared" si="10"/>
        <v>11月11日</v>
      </c>
      <c r="C250" s="11" t="str">
        <f t="shared" si="11"/>
        <v>7時</v>
      </c>
      <c r="D250" s="10">
        <v>45607.25</v>
      </c>
      <c r="E250">
        <v>0.02</v>
      </c>
      <c r="F250">
        <v>0.78</v>
      </c>
      <c r="G250">
        <v>0</v>
      </c>
      <c r="H250">
        <v>0.78</v>
      </c>
    </row>
    <row r="251" spans="1:8" x14ac:dyDescent="0.55000000000000004">
      <c r="A251" s="11" t="str">
        <f t="shared" si="9"/>
        <v>11月</v>
      </c>
      <c r="B251" s="11" t="str">
        <f t="shared" si="10"/>
        <v>11月11日</v>
      </c>
      <c r="C251" s="11" t="str">
        <f t="shared" si="11"/>
        <v>8時</v>
      </c>
      <c r="D251" s="10">
        <v>45607.291666666664</v>
      </c>
      <c r="E251">
        <v>1.32</v>
      </c>
      <c r="F251">
        <v>0.6</v>
      </c>
      <c r="G251">
        <v>0</v>
      </c>
      <c r="H251">
        <v>0.11</v>
      </c>
    </row>
    <row r="252" spans="1:8" x14ac:dyDescent="0.55000000000000004">
      <c r="A252" s="11" t="str">
        <f t="shared" si="9"/>
        <v>11月</v>
      </c>
      <c r="B252" s="11" t="str">
        <f t="shared" si="10"/>
        <v>11月11日</v>
      </c>
      <c r="C252" s="11" t="str">
        <f t="shared" si="11"/>
        <v>9時</v>
      </c>
      <c r="D252" s="10">
        <v>45607.333333333336</v>
      </c>
      <c r="E252">
        <v>3.8</v>
      </c>
      <c r="F252">
        <v>0.39</v>
      </c>
      <c r="G252">
        <v>0.01</v>
      </c>
      <c r="H252">
        <v>0</v>
      </c>
    </row>
    <row r="253" spans="1:8" x14ac:dyDescent="0.55000000000000004">
      <c r="A253" s="11" t="str">
        <f t="shared" si="9"/>
        <v>11月</v>
      </c>
      <c r="B253" s="11" t="str">
        <f t="shared" si="10"/>
        <v>11月11日</v>
      </c>
      <c r="C253" s="11" t="str">
        <f t="shared" si="11"/>
        <v>10時</v>
      </c>
      <c r="D253" s="10">
        <v>45607.375</v>
      </c>
      <c r="E253">
        <v>5.14</v>
      </c>
      <c r="F253">
        <v>0.39</v>
      </c>
      <c r="G253">
        <v>2.23</v>
      </c>
      <c r="H253">
        <v>0</v>
      </c>
    </row>
    <row r="254" spans="1:8" x14ac:dyDescent="0.55000000000000004">
      <c r="A254" s="11" t="str">
        <f t="shared" si="9"/>
        <v>11月</v>
      </c>
      <c r="B254" s="11" t="str">
        <f t="shared" si="10"/>
        <v>11月11日</v>
      </c>
      <c r="C254" s="11" t="str">
        <f t="shared" si="11"/>
        <v>11時</v>
      </c>
      <c r="D254" s="10">
        <v>45607.416666666664</v>
      </c>
      <c r="E254">
        <v>5.68</v>
      </c>
      <c r="F254">
        <v>0.39</v>
      </c>
      <c r="G254">
        <v>5.29</v>
      </c>
      <c r="H254">
        <v>0</v>
      </c>
    </row>
    <row r="255" spans="1:8" x14ac:dyDescent="0.55000000000000004">
      <c r="A255" s="11" t="str">
        <f t="shared" si="9"/>
        <v>11月</v>
      </c>
      <c r="B255" s="11" t="str">
        <f t="shared" si="10"/>
        <v>11月11日</v>
      </c>
      <c r="C255" s="11" t="str">
        <f t="shared" si="11"/>
        <v>12時</v>
      </c>
      <c r="D255" s="10">
        <v>45607.458333333336</v>
      </c>
      <c r="E255">
        <v>6.05</v>
      </c>
      <c r="F255">
        <v>0.37</v>
      </c>
      <c r="G255">
        <v>5.68</v>
      </c>
      <c r="H255">
        <v>0</v>
      </c>
    </row>
    <row r="256" spans="1:8" x14ac:dyDescent="0.55000000000000004">
      <c r="A256" s="11" t="str">
        <f t="shared" si="9"/>
        <v>11月</v>
      </c>
      <c r="B256" s="11" t="str">
        <f t="shared" si="10"/>
        <v>11月11日</v>
      </c>
      <c r="C256" s="11" t="str">
        <f t="shared" si="11"/>
        <v>13時</v>
      </c>
      <c r="D256" s="10">
        <v>45607.5</v>
      </c>
      <c r="E256">
        <v>1.42</v>
      </c>
      <c r="F256">
        <v>0.33</v>
      </c>
      <c r="G256">
        <v>1.0900000000000001</v>
      </c>
      <c r="H256">
        <v>0</v>
      </c>
    </row>
    <row r="257" spans="1:8" x14ac:dyDescent="0.55000000000000004">
      <c r="A257" s="11" t="str">
        <f t="shared" si="9"/>
        <v>11月</v>
      </c>
      <c r="B257" s="11" t="str">
        <f t="shared" si="10"/>
        <v>11月11日</v>
      </c>
      <c r="C257" s="11" t="str">
        <f t="shared" si="11"/>
        <v>14時</v>
      </c>
      <c r="D257" s="10">
        <v>45607.541666666664</v>
      </c>
      <c r="E257">
        <v>0.9</v>
      </c>
      <c r="F257">
        <v>0.36</v>
      </c>
      <c r="G257">
        <v>0.54</v>
      </c>
      <c r="H257">
        <v>0</v>
      </c>
    </row>
    <row r="258" spans="1:8" x14ac:dyDescent="0.55000000000000004">
      <c r="A258" s="11" t="str">
        <f t="shared" si="9"/>
        <v>11月</v>
      </c>
      <c r="B258" s="11" t="str">
        <f t="shared" si="10"/>
        <v>11月11日</v>
      </c>
      <c r="C258" s="11" t="str">
        <f t="shared" si="11"/>
        <v>15時</v>
      </c>
      <c r="D258" s="10">
        <v>45607.583333333336</v>
      </c>
      <c r="E258">
        <v>2.7</v>
      </c>
      <c r="F258">
        <v>0.36</v>
      </c>
      <c r="G258">
        <v>2.34</v>
      </c>
      <c r="H258">
        <v>0</v>
      </c>
    </row>
    <row r="259" spans="1:8" x14ac:dyDescent="0.55000000000000004">
      <c r="A259" s="11" t="str">
        <f t="shared" si="9"/>
        <v>11月</v>
      </c>
      <c r="B259" s="11" t="str">
        <f t="shared" si="10"/>
        <v>11月11日</v>
      </c>
      <c r="C259" s="11" t="str">
        <f t="shared" si="11"/>
        <v>16時</v>
      </c>
      <c r="D259" s="10">
        <v>45607.625</v>
      </c>
      <c r="E259">
        <v>0.88</v>
      </c>
      <c r="F259">
        <v>0.36</v>
      </c>
      <c r="G259">
        <v>0.55000000000000004</v>
      </c>
      <c r="H259">
        <v>0</v>
      </c>
    </row>
    <row r="260" spans="1:8" x14ac:dyDescent="0.55000000000000004">
      <c r="A260" s="11" t="str">
        <f t="shared" ref="A260:A323" si="12">MONTH(D260)&amp;"月"</f>
        <v>11月</v>
      </c>
      <c r="B260" s="11" t="str">
        <f t="shared" ref="B260:B323" si="13">A260&amp;DAY(D260)&amp;"日"</f>
        <v>11月11日</v>
      </c>
      <c r="C260" s="11" t="str">
        <f t="shared" ref="C260:C323" si="14">HOUR(D260)+1&amp;"時"</f>
        <v>17時</v>
      </c>
      <c r="D260" s="10">
        <v>45607.666666666664</v>
      </c>
      <c r="E260">
        <v>0.01</v>
      </c>
      <c r="F260">
        <v>0.97</v>
      </c>
      <c r="G260">
        <v>0</v>
      </c>
      <c r="H260">
        <v>0</v>
      </c>
    </row>
    <row r="261" spans="1:8" x14ac:dyDescent="0.55000000000000004">
      <c r="A261" s="11" t="str">
        <f t="shared" si="12"/>
        <v>11月</v>
      </c>
      <c r="B261" s="11" t="str">
        <f t="shared" si="13"/>
        <v>11月11日</v>
      </c>
      <c r="C261" s="11" t="str">
        <f t="shared" si="14"/>
        <v>18時</v>
      </c>
      <c r="D261" s="10">
        <v>45607.708333333336</v>
      </c>
      <c r="E261">
        <v>0</v>
      </c>
      <c r="F261">
        <v>2.5</v>
      </c>
      <c r="G261">
        <v>0.01</v>
      </c>
      <c r="H261">
        <v>0.03</v>
      </c>
    </row>
    <row r="262" spans="1:8" x14ac:dyDescent="0.55000000000000004">
      <c r="A262" s="11" t="str">
        <f t="shared" si="12"/>
        <v>11月</v>
      </c>
      <c r="B262" s="11" t="str">
        <f t="shared" si="13"/>
        <v>11月11日</v>
      </c>
      <c r="C262" s="11" t="str">
        <f t="shared" si="14"/>
        <v>19時</v>
      </c>
      <c r="D262" s="10">
        <v>45607.75</v>
      </c>
      <c r="E262">
        <v>0</v>
      </c>
      <c r="F262">
        <v>2.4700000000000002</v>
      </c>
      <c r="G262">
        <v>0</v>
      </c>
      <c r="H262">
        <v>0.44</v>
      </c>
    </row>
    <row r="263" spans="1:8" x14ac:dyDescent="0.55000000000000004">
      <c r="A263" s="11" t="str">
        <f t="shared" si="12"/>
        <v>11月</v>
      </c>
      <c r="B263" s="11" t="str">
        <f t="shared" si="13"/>
        <v>11月11日</v>
      </c>
      <c r="C263" s="11" t="str">
        <f t="shared" si="14"/>
        <v>20時</v>
      </c>
      <c r="D263" s="10">
        <v>45607.791666666664</v>
      </c>
      <c r="E263">
        <v>0</v>
      </c>
      <c r="F263">
        <v>1.05</v>
      </c>
      <c r="G263">
        <v>0</v>
      </c>
      <c r="H263">
        <v>1.08</v>
      </c>
    </row>
    <row r="264" spans="1:8" x14ac:dyDescent="0.55000000000000004">
      <c r="A264" s="11" t="str">
        <f t="shared" si="12"/>
        <v>11月</v>
      </c>
      <c r="B264" s="11" t="str">
        <f t="shared" si="13"/>
        <v>11月11日</v>
      </c>
      <c r="C264" s="11" t="str">
        <f t="shared" si="14"/>
        <v>21時</v>
      </c>
      <c r="D264" s="10">
        <v>45607.833333333336</v>
      </c>
      <c r="E264">
        <v>0</v>
      </c>
      <c r="F264">
        <v>0.71</v>
      </c>
      <c r="G264">
        <v>0</v>
      </c>
      <c r="H264">
        <v>0.74</v>
      </c>
    </row>
    <row r="265" spans="1:8" x14ac:dyDescent="0.55000000000000004">
      <c r="A265" s="11" t="str">
        <f t="shared" si="12"/>
        <v>11月</v>
      </c>
      <c r="B265" s="11" t="str">
        <f t="shared" si="13"/>
        <v>11月11日</v>
      </c>
      <c r="C265" s="11" t="str">
        <f t="shared" si="14"/>
        <v>22時</v>
      </c>
      <c r="D265" s="10">
        <v>45607.875</v>
      </c>
      <c r="E265">
        <v>0</v>
      </c>
      <c r="F265">
        <v>0.45</v>
      </c>
      <c r="G265">
        <v>0</v>
      </c>
      <c r="H265">
        <v>0.5</v>
      </c>
    </row>
    <row r="266" spans="1:8" x14ac:dyDescent="0.55000000000000004">
      <c r="A266" s="11" t="str">
        <f t="shared" si="12"/>
        <v>11月</v>
      </c>
      <c r="B266" s="11" t="str">
        <f t="shared" si="13"/>
        <v>11月11日</v>
      </c>
      <c r="C266" s="11" t="str">
        <f t="shared" si="14"/>
        <v>23時</v>
      </c>
      <c r="D266" s="10">
        <v>45607.916666666664</v>
      </c>
      <c r="E266">
        <v>0</v>
      </c>
      <c r="F266">
        <v>0.44</v>
      </c>
      <c r="G266">
        <v>0</v>
      </c>
      <c r="H266">
        <v>0.47</v>
      </c>
    </row>
    <row r="267" spans="1:8" x14ac:dyDescent="0.55000000000000004">
      <c r="A267" s="11" t="str">
        <f t="shared" si="12"/>
        <v>11月</v>
      </c>
      <c r="B267" s="11" t="str">
        <f t="shared" si="13"/>
        <v>11月11日</v>
      </c>
      <c r="C267" s="11" t="str">
        <f t="shared" si="14"/>
        <v>24時</v>
      </c>
      <c r="D267" s="10">
        <v>45607.958333333336</v>
      </c>
      <c r="E267">
        <v>0</v>
      </c>
      <c r="F267">
        <v>0.44</v>
      </c>
      <c r="G267">
        <v>0</v>
      </c>
      <c r="H267">
        <v>0.49</v>
      </c>
    </row>
    <row r="268" spans="1:8" x14ac:dyDescent="0.55000000000000004">
      <c r="A268" s="11" t="str">
        <f t="shared" si="12"/>
        <v>11月</v>
      </c>
      <c r="B268" s="11" t="str">
        <f t="shared" si="13"/>
        <v>11月12日</v>
      </c>
      <c r="C268" s="11" t="str">
        <f t="shared" si="14"/>
        <v>1時</v>
      </c>
      <c r="D268" s="10">
        <v>45608</v>
      </c>
      <c r="E268">
        <v>0</v>
      </c>
      <c r="F268">
        <v>0.48</v>
      </c>
      <c r="G268">
        <v>0</v>
      </c>
      <c r="H268">
        <v>0.51</v>
      </c>
    </row>
    <row r="269" spans="1:8" x14ac:dyDescent="0.55000000000000004">
      <c r="A269" s="11" t="str">
        <f t="shared" si="12"/>
        <v>11月</v>
      </c>
      <c r="B269" s="11" t="str">
        <f t="shared" si="13"/>
        <v>11月12日</v>
      </c>
      <c r="C269" s="11" t="str">
        <f t="shared" si="14"/>
        <v>2時</v>
      </c>
      <c r="D269" s="10">
        <v>45608.041666666664</v>
      </c>
      <c r="E269">
        <v>0</v>
      </c>
      <c r="F269">
        <v>0.46</v>
      </c>
      <c r="G269">
        <v>0</v>
      </c>
      <c r="H269">
        <v>0.51</v>
      </c>
    </row>
    <row r="270" spans="1:8" x14ac:dyDescent="0.55000000000000004">
      <c r="A270" s="11" t="str">
        <f t="shared" si="12"/>
        <v>11月</v>
      </c>
      <c r="B270" s="11" t="str">
        <f t="shared" si="13"/>
        <v>11月12日</v>
      </c>
      <c r="C270" s="11" t="str">
        <f t="shared" si="14"/>
        <v>3時</v>
      </c>
      <c r="D270" s="10">
        <v>45608.083333333336</v>
      </c>
      <c r="E270">
        <v>0</v>
      </c>
      <c r="F270">
        <v>0.47</v>
      </c>
      <c r="G270">
        <v>0</v>
      </c>
      <c r="H270">
        <v>0.5</v>
      </c>
    </row>
    <row r="271" spans="1:8" x14ac:dyDescent="0.55000000000000004">
      <c r="A271" s="11" t="str">
        <f t="shared" si="12"/>
        <v>11月</v>
      </c>
      <c r="B271" s="11" t="str">
        <f t="shared" si="13"/>
        <v>11月12日</v>
      </c>
      <c r="C271" s="11" t="str">
        <f t="shared" si="14"/>
        <v>4時</v>
      </c>
      <c r="D271" s="10">
        <v>45608.125</v>
      </c>
      <c r="E271">
        <v>0</v>
      </c>
      <c r="F271">
        <v>0.48</v>
      </c>
      <c r="G271">
        <v>0</v>
      </c>
      <c r="H271">
        <v>0.53</v>
      </c>
    </row>
    <row r="272" spans="1:8" x14ac:dyDescent="0.55000000000000004">
      <c r="A272" s="11" t="str">
        <f t="shared" si="12"/>
        <v>11月</v>
      </c>
      <c r="B272" s="11" t="str">
        <f t="shared" si="13"/>
        <v>11月12日</v>
      </c>
      <c r="C272" s="11" t="str">
        <f t="shared" si="14"/>
        <v>5時</v>
      </c>
      <c r="D272" s="10">
        <v>45608.166666666664</v>
      </c>
      <c r="E272">
        <v>0</v>
      </c>
      <c r="F272">
        <v>0.67</v>
      </c>
      <c r="G272">
        <v>0</v>
      </c>
      <c r="H272">
        <v>0.72</v>
      </c>
    </row>
    <row r="273" spans="1:8" x14ac:dyDescent="0.55000000000000004">
      <c r="A273" s="11" t="str">
        <f t="shared" si="12"/>
        <v>11月</v>
      </c>
      <c r="B273" s="11" t="str">
        <f t="shared" si="13"/>
        <v>11月12日</v>
      </c>
      <c r="C273" s="11" t="str">
        <f t="shared" si="14"/>
        <v>6時</v>
      </c>
      <c r="D273" s="10">
        <v>45608.208333333336</v>
      </c>
      <c r="E273">
        <v>0</v>
      </c>
      <c r="F273">
        <v>0.6</v>
      </c>
      <c r="G273">
        <v>0</v>
      </c>
      <c r="H273">
        <v>0.63</v>
      </c>
    </row>
    <row r="274" spans="1:8" x14ac:dyDescent="0.55000000000000004">
      <c r="A274" s="11" t="str">
        <f t="shared" si="12"/>
        <v>11月</v>
      </c>
      <c r="B274" s="11" t="str">
        <f t="shared" si="13"/>
        <v>11月12日</v>
      </c>
      <c r="C274" s="11" t="str">
        <f t="shared" si="14"/>
        <v>7時</v>
      </c>
      <c r="D274" s="10">
        <v>45608.25</v>
      </c>
      <c r="E274">
        <v>0.04</v>
      </c>
      <c r="F274">
        <v>0.65</v>
      </c>
      <c r="G274">
        <v>0</v>
      </c>
      <c r="H274">
        <v>0.63</v>
      </c>
    </row>
    <row r="275" spans="1:8" x14ac:dyDescent="0.55000000000000004">
      <c r="A275" s="11" t="str">
        <f t="shared" si="12"/>
        <v>11月</v>
      </c>
      <c r="B275" s="11" t="str">
        <f t="shared" si="13"/>
        <v>11月12日</v>
      </c>
      <c r="C275" s="11" t="str">
        <f t="shared" si="14"/>
        <v>8時</v>
      </c>
      <c r="D275" s="10">
        <v>45608.291666666664</v>
      </c>
      <c r="E275">
        <v>1.05</v>
      </c>
      <c r="F275">
        <v>0.5</v>
      </c>
      <c r="G275">
        <v>0</v>
      </c>
      <c r="H275">
        <v>0.05</v>
      </c>
    </row>
    <row r="276" spans="1:8" x14ac:dyDescent="0.55000000000000004">
      <c r="A276" s="11" t="str">
        <f t="shared" si="12"/>
        <v>11月</v>
      </c>
      <c r="B276" s="11" t="str">
        <f t="shared" si="13"/>
        <v>11月12日</v>
      </c>
      <c r="C276" s="11" t="str">
        <f t="shared" si="14"/>
        <v>9時</v>
      </c>
      <c r="D276" s="10">
        <v>45608.333333333336</v>
      </c>
      <c r="E276">
        <v>3.92</v>
      </c>
      <c r="F276">
        <v>0.4</v>
      </c>
      <c r="G276">
        <v>0.2</v>
      </c>
      <c r="H276">
        <v>0</v>
      </c>
    </row>
    <row r="277" spans="1:8" x14ac:dyDescent="0.55000000000000004">
      <c r="A277" s="11" t="str">
        <f t="shared" si="12"/>
        <v>11月</v>
      </c>
      <c r="B277" s="11" t="str">
        <f t="shared" si="13"/>
        <v>11月12日</v>
      </c>
      <c r="C277" s="11" t="str">
        <f t="shared" si="14"/>
        <v>10時</v>
      </c>
      <c r="D277" s="10">
        <v>45608.375</v>
      </c>
      <c r="E277">
        <v>4.71</v>
      </c>
      <c r="F277">
        <v>0.43</v>
      </c>
      <c r="G277">
        <v>1.49</v>
      </c>
      <c r="H277">
        <v>0</v>
      </c>
    </row>
    <row r="278" spans="1:8" x14ac:dyDescent="0.55000000000000004">
      <c r="A278" s="11" t="str">
        <f t="shared" si="12"/>
        <v>11月</v>
      </c>
      <c r="B278" s="11" t="str">
        <f t="shared" si="13"/>
        <v>11月12日</v>
      </c>
      <c r="C278" s="11" t="str">
        <f t="shared" si="14"/>
        <v>11時</v>
      </c>
      <c r="D278" s="10">
        <v>45608.416666666664</v>
      </c>
      <c r="E278">
        <v>4.3099999999999996</v>
      </c>
      <c r="F278">
        <v>0.42</v>
      </c>
      <c r="G278">
        <v>3.89</v>
      </c>
      <c r="H278">
        <v>0</v>
      </c>
    </row>
    <row r="279" spans="1:8" x14ac:dyDescent="0.55000000000000004">
      <c r="A279" s="11" t="str">
        <f t="shared" si="12"/>
        <v>11月</v>
      </c>
      <c r="B279" s="11" t="str">
        <f t="shared" si="13"/>
        <v>11月12日</v>
      </c>
      <c r="C279" s="11" t="str">
        <f t="shared" si="14"/>
        <v>12時</v>
      </c>
      <c r="D279" s="10">
        <v>45608.458333333336</v>
      </c>
      <c r="E279">
        <v>2.69</v>
      </c>
      <c r="F279">
        <v>0.46</v>
      </c>
      <c r="G279">
        <v>2.23</v>
      </c>
      <c r="H279">
        <v>0</v>
      </c>
    </row>
    <row r="280" spans="1:8" x14ac:dyDescent="0.55000000000000004">
      <c r="A280" s="11" t="str">
        <f t="shared" si="12"/>
        <v>11月</v>
      </c>
      <c r="B280" s="11" t="str">
        <f t="shared" si="13"/>
        <v>11月12日</v>
      </c>
      <c r="C280" s="11" t="str">
        <f t="shared" si="14"/>
        <v>13時</v>
      </c>
      <c r="D280" s="10">
        <v>45608.5</v>
      </c>
      <c r="E280">
        <v>2.89</v>
      </c>
      <c r="F280">
        <v>0.43</v>
      </c>
      <c r="G280">
        <v>2.46</v>
      </c>
      <c r="H280">
        <v>0</v>
      </c>
    </row>
    <row r="281" spans="1:8" x14ac:dyDescent="0.55000000000000004">
      <c r="A281" s="11" t="str">
        <f t="shared" si="12"/>
        <v>11月</v>
      </c>
      <c r="B281" s="11" t="str">
        <f t="shared" si="13"/>
        <v>11月12日</v>
      </c>
      <c r="C281" s="11" t="str">
        <f t="shared" si="14"/>
        <v>14時</v>
      </c>
      <c r="D281" s="10">
        <v>45608.541666666664</v>
      </c>
      <c r="E281">
        <v>3.51</v>
      </c>
      <c r="F281">
        <v>0.46</v>
      </c>
      <c r="G281">
        <v>3.05</v>
      </c>
      <c r="H281">
        <v>0</v>
      </c>
    </row>
    <row r="282" spans="1:8" x14ac:dyDescent="0.55000000000000004">
      <c r="A282" s="11" t="str">
        <f t="shared" si="12"/>
        <v>11月</v>
      </c>
      <c r="B282" s="11" t="str">
        <f t="shared" si="13"/>
        <v>11月12日</v>
      </c>
      <c r="C282" s="11" t="str">
        <f t="shared" si="14"/>
        <v>15時</v>
      </c>
      <c r="D282" s="10">
        <v>45608.583333333336</v>
      </c>
      <c r="E282">
        <v>1.94</v>
      </c>
      <c r="F282">
        <v>0.39</v>
      </c>
      <c r="G282">
        <v>1.55</v>
      </c>
      <c r="H282">
        <v>0</v>
      </c>
    </row>
    <row r="283" spans="1:8" x14ac:dyDescent="0.55000000000000004">
      <c r="A283" s="11" t="str">
        <f t="shared" si="12"/>
        <v>11月</v>
      </c>
      <c r="B283" s="11" t="str">
        <f t="shared" si="13"/>
        <v>11月12日</v>
      </c>
      <c r="C283" s="11" t="str">
        <f t="shared" si="14"/>
        <v>16時</v>
      </c>
      <c r="D283" s="10">
        <v>45608.625</v>
      </c>
      <c r="E283">
        <v>0.28000000000000003</v>
      </c>
      <c r="F283">
        <v>0.41</v>
      </c>
      <c r="G283">
        <v>0.02</v>
      </c>
      <c r="H283">
        <v>0</v>
      </c>
    </row>
    <row r="284" spans="1:8" x14ac:dyDescent="0.55000000000000004">
      <c r="A284" s="11" t="str">
        <f t="shared" si="12"/>
        <v>11月</v>
      </c>
      <c r="B284" s="11" t="str">
        <f t="shared" si="13"/>
        <v>11月12日</v>
      </c>
      <c r="C284" s="11" t="str">
        <f t="shared" si="14"/>
        <v>17時</v>
      </c>
      <c r="D284" s="10">
        <v>45608.666666666664</v>
      </c>
      <c r="E284">
        <v>0</v>
      </c>
      <c r="F284">
        <v>1.49</v>
      </c>
      <c r="G284">
        <v>0.01</v>
      </c>
      <c r="H284">
        <v>0.01</v>
      </c>
    </row>
    <row r="285" spans="1:8" x14ac:dyDescent="0.55000000000000004">
      <c r="A285" s="11" t="str">
        <f t="shared" si="12"/>
        <v>11月</v>
      </c>
      <c r="B285" s="11" t="str">
        <f t="shared" si="13"/>
        <v>11月12日</v>
      </c>
      <c r="C285" s="11" t="str">
        <f t="shared" si="14"/>
        <v>18時</v>
      </c>
      <c r="D285" s="10">
        <v>45608.708333333336</v>
      </c>
      <c r="E285">
        <v>0</v>
      </c>
      <c r="F285">
        <v>2.3199999999999998</v>
      </c>
      <c r="G285">
        <v>0.01</v>
      </c>
      <c r="H285">
        <v>0.01</v>
      </c>
    </row>
    <row r="286" spans="1:8" x14ac:dyDescent="0.55000000000000004">
      <c r="A286" s="11" t="str">
        <f t="shared" si="12"/>
        <v>11月</v>
      </c>
      <c r="B286" s="11" t="str">
        <f t="shared" si="13"/>
        <v>11月12日</v>
      </c>
      <c r="C286" s="11" t="str">
        <f t="shared" si="14"/>
        <v>19時</v>
      </c>
      <c r="D286" s="10">
        <v>45608.75</v>
      </c>
      <c r="E286">
        <v>0</v>
      </c>
      <c r="F286">
        <v>2.73</v>
      </c>
      <c r="G286">
        <v>0</v>
      </c>
      <c r="H286">
        <v>1.32</v>
      </c>
    </row>
    <row r="287" spans="1:8" x14ac:dyDescent="0.55000000000000004">
      <c r="A287" s="11" t="str">
        <f t="shared" si="12"/>
        <v>11月</v>
      </c>
      <c r="B287" s="11" t="str">
        <f t="shared" si="13"/>
        <v>11月12日</v>
      </c>
      <c r="C287" s="11" t="str">
        <f t="shared" si="14"/>
        <v>20時</v>
      </c>
      <c r="D287" s="10">
        <v>45608.791666666664</v>
      </c>
      <c r="E287">
        <v>0</v>
      </c>
      <c r="F287">
        <v>1.46</v>
      </c>
      <c r="G287">
        <v>0</v>
      </c>
      <c r="H287">
        <v>1.49</v>
      </c>
    </row>
    <row r="288" spans="1:8" x14ac:dyDescent="0.55000000000000004">
      <c r="A288" s="11" t="str">
        <f t="shared" si="12"/>
        <v>11月</v>
      </c>
      <c r="B288" s="11" t="str">
        <f t="shared" si="13"/>
        <v>11月12日</v>
      </c>
      <c r="C288" s="11" t="str">
        <f t="shared" si="14"/>
        <v>21時</v>
      </c>
      <c r="D288" s="10">
        <v>45608.833333333336</v>
      </c>
      <c r="E288">
        <v>0</v>
      </c>
      <c r="F288">
        <v>1.03</v>
      </c>
      <c r="G288">
        <v>0</v>
      </c>
      <c r="H288">
        <v>1.06</v>
      </c>
    </row>
    <row r="289" spans="1:8" x14ac:dyDescent="0.55000000000000004">
      <c r="A289" s="11" t="str">
        <f t="shared" si="12"/>
        <v>11月</v>
      </c>
      <c r="B289" s="11" t="str">
        <f t="shared" si="13"/>
        <v>11月12日</v>
      </c>
      <c r="C289" s="11" t="str">
        <f t="shared" si="14"/>
        <v>22時</v>
      </c>
      <c r="D289" s="10">
        <v>45608.875</v>
      </c>
      <c r="E289">
        <v>0</v>
      </c>
      <c r="F289">
        <v>0.52</v>
      </c>
      <c r="G289">
        <v>0</v>
      </c>
      <c r="H289">
        <v>0.55000000000000004</v>
      </c>
    </row>
    <row r="290" spans="1:8" x14ac:dyDescent="0.55000000000000004">
      <c r="A290" s="11" t="str">
        <f t="shared" si="12"/>
        <v>11月</v>
      </c>
      <c r="B290" s="11" t="str">
        <f t="shared" si="13"/>
        <v>11月12日</v>
      </c>
      <c r="C290" s="11" t="str">
        <f t="shared" si="14"/>
        <v>23時</v>
      </c>
      <c r="D290" s="10">
        <v>45608.916666666664</v>
      </c>
      <c r="E290">
        <v>0</v>
      </c>
      <c r="F290">
        <v>0.44</v>
      </c>
      <c r="G290">
        <v>0</v>
      </c>
      <c r="H290">
        <v>0.47</v>
      </c>
    </row>
    <row r="291" spans="1:8" x14ac:dyDescent="0.55000000000000004">
      <c r="A291" s="11" t="str">
        <f t="shared" si="12"/>
        <v>11月</v>
      </c>
      <c r="B291" s="11" t="str">
        <f t="shared" si="13"/>
        <v>11月12日</v>
      </c>
      <c r="C291" s="11" t="str">
        <f t="shared" si="14"/>
        <v>24時</v>
      </c>
      <c r="D291" s="10">
        <v>45608.958333333336</v>
      </c>
      <c r="E291">
        <v>0</v>
      </c>
      <c r="F291">
        <v>0.44</v>
      </c>
      <c r="G291">
        <v>0</v>
      </c>
      <c r="H291">
        <v>0.48</v>
      </c>
    </row>
    <row r="292" spans="1:8" x14ac:dyDescent="0.55000000000000004">
      <c r="A292" s="11" t="str">
        <f t="shared" si="12"/>
        <v>11月</v>
      </c>
      <c r="B292" s="11" t="str">
        <f t="shared" si="13"/>
        <v>11月13日</v>
      </c>
      <c r="C292" s="11" t="str">
        <f t="shared" si="14"/>
        <v>1時</v>
      </c>
      <c r="D292" s="10">
        <v>45609</v>
      </c>
      <c r="E292">
        <v>0</v>
      </c>
      <c r="F292">
        <v>0.44</v>
      </c>
      <c r="G292">
        <v>0</v>
      </c>
      <c r="H292">
        <v>0.49</v>
      </c>
    </row>
    <row r="293" spans="1:8" x14ac:dyDescent="0.55000000000000004">
      <c r="A293" s="11" t="str">
        <f t="shared" si="12"/>
        <v>11月</v>
      </c>
      <c r="B293" s="11" t="str">
        <f t="shared" si="13"/>
        <v>11月13日</v>
      </c>
      <c r="C293" s="11" t="str">
        <f t="shared" si="14"/>
        <v>2時</v>
      </c>
      <c r="D293" s="10">
        <v>45609.041666666664</v>
      </c>
      <c r="E293">
        <v>0</v>
      </c>
      <c r="F293">
        <v>0.44</v>
      </c>
      <c r="G293">
        <v>0</v>
      </c>
      <c r="H293">
        <v>0.47</v>
      </c>
    </row>
    <row r="294" spans="1:8" x14ac:dyDescent="0.55000000000000004">
      <c r="A294" s="11" t="str">
        <f t="shared" si="12"/>
        <v>11月</v>
      </c>
      <c r="B294" s="11" t="str">
        <f t="shared" si="13"/>
        <v>11月13日</v>
      </c>
      <c r="C294" s="11" t="str">
        <f t="shared" si="14"/>
        <v>3時</v>
      </c>
      <c r="D294" s="10">
        <v>45609.083333333336</v>
      </c>
      <c r="E294">
        <v>0</v>
      </c>
      <c r="F294">
        <v>0.45</v>
      </c>
      <c r="G294">
        <v>0</v>
      </c>
      <c r="H294">
        <v>0.49</v>
      </c>
    </row>
    <row r="295" spans="1:8" x14ac:dyDescent="0.55000000000000004">
      <c r="A295" s="11" t="str">
        <f t="shared" si="12"/>
        <v>11月</v>
      </c>
      <c r="B295" s="11" t="str">
        <f t="shared" si="13"/>
        <v>11月13日</v>
      </c>
      <c r="C295" s="11" t="str">
        <f t="shared" si="14"/>
        <v>4時</v>
      </c>
      <c r="D295" s="10">
        <v>45609.125</v>
      </c>
      <c r="E295">
        <v>0</v>
      </c>
      <c r="F295">
        <v>0.43</v>
      </c>
      <c r="G295">
        <v>0</v>
      </c>
      <c r="H295">
        <v>0.47</v>
      </c>
    </row>
    <row r="296" spans="1:8" x14ac:dyDescent="0.55000000000000004">
      <c r="A296" s="11" t="str">
        <f t="shared" si="12"/>
        <v>11月</v>
      </c>
      <c r="B296" s="11" t="str">
        <f t="shared" si="13"/>
        <v>11月13日</v>
      </c>
      <c r="C296" s="11" t="str">
        <f t="shared" si="14"/>
        <v>5時</v>
      </c>
      <c r="D296" s="10">
        <v>45609.166666666664</v>
      </c>
      <c r="E296">
        <v>0</v>
      </c>
      <c r="F296">
        <v>0.63</v>
      </c>
      <c r="G296">
        <v>0</v>
      </c>
      <c r="H296">
        <v>0.66</v>
      </c>
    </row>
    <row r="297" spans="1:8" x14ac:dyDescent="0.55000000000000004">
      <c r="A297" s="11" t="str">
        <f t="shared" si="12"/>
        <v>11月</v>
      </c>
      <c r="B297" s="11" t="str">
        <f t="shared" si="13"/>
        <v>11月13日</v>
      </c>
      <c r="C297" s="11" t="str">
        <f t="shared" si="14"/>
        <v>6時</v>
      </c>
      <c r="D297" s="10">
        <v>45609.208333333336</v>
      </c>
      <c r="E297">
        <v>0</v>
      </c>
      <c r="F297">
        <v>0.54</v>
      </c>
      <c r="G297">
        <v>0</v>
      </c>
      <c r="H297">
        <v>0.57999999999999996</v>
      </c>
    </row>
    <row r="298" spans="1:8" x14ac:dyDescent="0.55000000000000004">
      <c r="A298" s="11" t="str">
        <f t="shared" si="12"/>
        <v>11月</v>
      </c>
      <c r="B298" s="11" t="str">
        <f t="shared" si="13"/>
        <v>11月13日</v>
      </c>
      <c r="C298" s="11" t="str">
        <f t="shared" si="14"/>
        <v>7時</v>
      </c>
      <c r="D298" s="10">
        <v>45609.25</v>
      </c>
      <c r="E298">
        <v>0.08</v>
      </c>
      <c r="F298">
        <v>0.73</v>
      </c>
      <c r="G298">
        <v>0</v>
      </c>
      <c r="H298">
        <v>0.68</v>
      </c>
    </row>
    <row r="299" spans="1:8" x14ac:dyDescent="0.55000000000000004">
      <c r="A299" s="11" t="str">
        <f t="shared" si="12"/>
        <v>11月</v>
      </c>
      <c r="B299" s="11" t="str">
        <f t="shared" si="13"/>
        <v>11月13日</v>
      </c>
      <c r="C299" s="11" t="str">
        <f t="shared" si="14"/>
        <v>8時</v>
      </c>
      <c r="D299" s="10">
        <v>45609.291666666664</v>
      </c>
      <c r="E299">
        <v>1.27</v>
      </c>
      <c r="F299">
        <v>0.54</v>
      </c>
      <c r="G299">
        <v>0</v>
      </c>
      <c r="H299">
        <v>0.02</v>
      </c>
    </row>
    <row r="300" spans="1:8" x14ac:dyDescent="0.55000000000000004">
      <c r="A300" s="11" t="str">
        <f t="shared" si="12"/>
        <v>11月</v>
      </c>
      <c r="B300" s="11" t="str">
        <f t="shared" si="13"/>
        <v>11月13日</v>
      </c>
      <c r="C300" s="11" t="str">
        <f t="shared" si="14"/>
        <v>9時</v>
      </c>
      <c r="D300" s="10">
        <v>45609.333333333336</v>
      </c>
      <c r="E300">
        <v>3.59</v>
      </c>
      <c r="F300">
        <v>0.42</v>
      </c>
      <c r="G300">
        <v>0</v>
      </c>
      <c r="H300">
        <v>0</v>
      </c>
    </row>
    <row r="301" spans="1:8" x14ac:dyDescent="0.55000000000000004">
      <c r="A301" s="11" t="str">
        <f t="shared" si="12"/>
        <v>11月</v>
      </c>
      <c r="B301" s="11" t="str">
        <f t="shared" si="13"/>
        <v>11月13日</v>
      </c>
      <c r="C301" s="11" t="str">
        <f t="shared" si="14"/>
        <v>10時</v>
      </c>
      <c r="D301" s="10">
        <v>45609.375</v>
      </c>
      <c r="E301">
        <v>5.18</v>
      </c>
      <c r="F301">
        <v>0.45</v>
      </c>
      <c r="G301">
        <v>2.14</v>
      </c>
      <c r="H301">
        <v>0</v>
      </c>
    </row>
    <row r="302" spans="1:8" x14ac:dyDescent="0.55000000000000004">
      <c r="A302" s="11" t="str">
        <f t="shared" si="12"/>
        <v>11月</v>
      </c>
      <c r="B302" s="11" t="str">
        <f t="shared" si="13"/>
        <v>11月13日</v>
      </c>
      <c r="C302" s="11" t="str">
        <f t="shared" si="14"/>
        <v>11時</v>
      </c>
      <c r="D302" s="10">
        <v>45609.416666666664</v>
      </c>
      <c r="E302">
        <v>5.82</v>
      </c>
      <c r="F302">
        <v>0.44</v>
      </c>
      <c r="G302">
        <v>5.39</v>
      </c>
      <c r="H302">
        <v>0</v>
      </c>
    </row>
    <row r="303" spans="1:8" x14ac:dyDescent="0.55000000000000004">
      <c r="A303" s="11" t="str">
        <f t="shared" si="12"/>
        <v>11月</v>
      </c>
      <c r="B303" s="11" t="str">
        <f t="shared" si="13"/>
        <v>11月13日</v>
      </c>
      <c r="C303" s="11" t="str">
        <f t="shared" si="14"/>
        <v>12時</v>
      </c>
      <c r="D303" s="10">
        <v>45609.458333333336</v>
      </c>
      <c r="E303">
        <v>5.89</v>
      </c>
      <c r="F303">
        <v>0.45</v>
      </c>
      <c r="G303">
        <v>5.44</v>
      </c>
      <c r="H303">
        <v>0</v>
      </c>
    </row>
    <row r="304" spans="1:8" x14ac:dyDescent="0.55000000000000004">
      <c r="A304" s="11" t="str">
        <f t="shared" si="12"/>
        <v>11月</v>
      </c>
      <c r="B304" s="11" t="str">
        <f t="shared" si="13"/>
        <v>11月13日</v>
      </c>
      <c r="C304" s="11" t="str">
        <f t="shared" si="14"/>
        <v>13時</v>
      </c>
      <c r="D304" s="10">
        <v>45609.5</v>
      </c>
      <c r="E304">
        <v>5.48</v>
      </c>
      <c r="F304">
        <v>0.42</v>
      </c>
      <c r="G304">
        <v>5.07</v>
      </c>
      <c r="H304">
        <v>0</v>
      </c>
    </row>
    <row r="305" spans="1:8" x14ac:dyDescent="0.55000000000000004">
      <c r="A305" s="11" t="str">
        <f t="shared" si="12"/>
        <v>11月</v>
      </c>
      <c r="B305" s="11" t="str">
        <f t="shared" si="13"/>
        <v>11月13日</v>
      </c>
      <c r="C305" s="11" t="str">
        <f t="shared" si="14"/>
        <v>14時</v>
      </c>
      <c r="D305" s="10">
        <v>45609.541666666664</v>
      </c>
      <c r="E305">
        <v>4.4400000000000004</v>
      </c>
      <c r="F305">
        <v>0.41</v>
      </c>
      <c r="G305">
        <v>4.03</v>
      </c>
      <c r="H305">
        <v>0</v>
      </c>
    </row>
    <row r="306" spans="1:8" x14ac:dyDescent="0.55000000000000004">
      <c r="A306" s="11" t="str">
        <f t="shared" si="12"/>
        <v>11月</v>
      </c>
      <c r="B306" s="11" t="str">
        <f t="shared" si="13"/>
        <v>11月13日</v>
      </c>
      <c r="C306" s="11" t="str">
        <f t="shared" si="14"/>
        <v>15時</v>
      </c>
      <c r="D306" s="10">
        <v>45609.583333333336</v>
      </c>
      <c r="E306">
        <v>2.81</v>
      </c>
      <c r="F306">
        <v>0.41</v>
      </c>
      <c r="G306">
        <v>2.4</v>
      </c>
      <c r="H306">
        <v>0</v>
      </c>
    </row>
    <row r="307" spans="1:8" x14ac:dyDescent="0.55000000000000004">
      <c r="A307" s="11" t="str">
        <f t="shared" si="12"/>
        <v>11月</v>
      </c>
      <c r="B307" s="11" t="str">
        <f t="shared" si="13"/>
        <v>11月13日</v>
      </c>
      <c r="C307" s="11" t="str">
        <f t="shared" si="14"/>
        <v>16時</v>
      </c>
      <c r="D307" s="10">
        <v>45609.625</v>
      </c>
      <c r="E307">
        <v>0.85</v>
      </c>
      <c r="F307">
        <v>0.4</v>
      </c>
      <c r="G307">
        <v>0.49</v>
      </c>
      <c r="H307">
        <v>0</v>
      </c>
    </row>
    <row r="308" spans="1:8" x14ac:dyDescent="0.55000000000000004">
      <c r="A308" s="11" t="str">
        <f t="shared" si="12"/>
        <v>11月</v>
      </c>
      <c r="B308" s="11" t="str">
        <f t="shared" si="13"/>
        <v>11月13日</v>
      </c>
      <c r="C308" s="11" t="str">
        <f t="shared" si="14"/>
        <v>17時</v>
      </c>
      <c r="D308" s="10">
        <v>45609.666666666664</v>
      </c>
      <c r="E308">
        <v>0.01</v>
      </c>
      <c r="F308">
        <v>1.1399999999999999</v>
      </c>
      <c r="G308">
        <v>0.01</v>
      </c>
      <c r="H308">
        <v>0.02</v>
      </c>
    </row>
    <row r="309" spans="1:8" x14ac:dyDescent="0.55000000000000004">
      <c r="A309" s="11" t="str">
        <f t="shared" si="12"/>
        <v>11月</v>
      </c>
      <c r="B309" s="11" t="str">
        <f t="shared" si="13"/>
        <v>11月13日</v>
      </c>
      <c r="C309" s="11" t="str">
        <f t="shared" si="14"/>
        <v>18時</v>
      </c>
      <c r="D309" s="10">
        <v>45609.708333333336</v>
      </c>
      <c r="E309">
        <v>0</v>
      </c>
      <c r="F309">
        <v>2.4500000000000002</v>
      </c>
      <c r="G309">
        <v>0.01</v>
      </c>
      <c r="H309">
        <v>0.01</v>
      </c>
    </row>
    <row r="310" spans="1:8" x14ac:dyDescent="0.55000000000000004">
      <c r="A310" s="11" t="str">
        <f t="shared" si="12"/>
        <v>11月</v>
      </c>
      <c r="B310" s="11" t="str">
        <f t="shared" si="13"/>
        <v>11月13日</v>
      </c>
      <c r="C310" s="11" t="str">
        <f t="shared" si="14"/>
        <v>19時</v>
      </c>
      <c r="D310" s="10">
        <v>45609.75</v>
      </c>
      <c r="E310">
        <v>0</v>
      </c>
      <c r="F310">
        <v>2.62</v>
      </c>
      <c r="G310">
        <v>0</v>
      </c>
      <c r="H310">
        <v>0.82</v>
      </c>
    </row>
    <row r="311" spans="1:8" x14ac:dyDescent="0.55000000000000004">
      <c r="A311" s="11" t="str">
        <f t="shared" si="12"/>
        <v>11月</v>
      </c>
      <c r="B311" s="11" t="str">
        <f t="shared" si="13"/>
        <v>11月13日</v>
      </c>
      <c r="C311" s="11" t="str">
        <f t="shared" si="14"/>
        <v>20時</v>
      </c>
      <c r="D311" s="10">
        <v>45609.791666666664</v>
      </c>
      <c r="E311">
        <v>0</v>
      </c>
      <c r="F311">
        <v>1.78</v>
      </c>
      <c r="G311">
        <v>0</v>
      </c>
      <c r="H311">
        <v>1.81</v>
      </c>
    </row>
    <row r="312" spans="1:8" x14ac:dyDescent="0.55000000000000004">
      <c r="A312" s="11" t="str">
        <f t="shared" si="12"/>
        <v>11月</v>
      </c>
      <c r="B312" s="11" t="str">
        <f t="shared" si="13"/>
        <v>11月13日</v>
      </c>
      <c r="C312" s="11" t="str">
        <f t="shared" si="14"/>
        <v>21時</v>
      </c>
      <c r="D312" s="10">
        <v>45609.833333333336</v>
      </c>
      <c r="E312">
        <v>0</v>
      </c>
      <c r="F312">
        <v>0.8</v>
      </c>
      <c r="G312">
        <v>0</v>
      </c>
      <c r="H312">
        <v>0.83</v>
      </c>
    </row>
    <row r="313" spans="1:8" x14ac:dyDescent="0.55000000000000004">
      <c r="A313" s="11" t="str">
        <f t="shared" si="12"/>
        <v>11月</v>
      </c>
      <c r="B313" s="11" t="str">
        <f t="shared" si="13"/>
        <v>11月13日</v>
      </c>
      <c r="C313" s="11" t="str">
        <f t="shared" si="14"/>
        <v>22時</v>
      </c>
      <c r="D313" s="10">
        <v>45609.875</v>
      </c>
      <c r="E313">
        <v>0</v>
      </c>
      <c r="F313">
        <v>0.94</v>
      </c>
      <c r="G313">
        <v>0</v>
      </c>
      <c r="H313">
        <v>0.97</v>
      </c>
    </row>
    <row r="314" spans="1:8" x14ac:dyDescent="0.55000000000000004">
      <c r="A314" s="11" t="str">
        <f t="shared" si="12"/>
        <v>11月</v>
      </c>
      <c r="B314" s="11" t="str">
        <f t="shared" si="13"/>
        <v>11月13日</v>
      </c>
      <c r="C314" s="11" t="str">
        <f t="shared" si="14"/>
        <v>23時</v>
      </c>
      <c r="D314" s="10">
        <v>45609.916666666664</v>
      </c>
      <c r="E314">
        <v>0</v>
      </c>
      <c r="F314">
        <v>0.57999999999999996</v>
      </c>
      <c r="G314">
        <v>0</v>
      </c>
      <c r="H314">
        <v>0.61</v>
      </c>
    </row>
    <row r="315" spans="1:8" x14ac:dyDescent="0.55000000000000004">
      <c r="A315" s="11" t="str">
        <f t="shared" si="12"/>
        <v>11月</v>
      </c>
      <c r="B315" s="11" t="str">
        <f t="shared" si="13"/>
        <v>11月13日</v>
      </c>
      <c r="C315" s="11" t="str">
        <f t="shared" si="14"/>
        <v>24時</v>
      </c>
      <c r="D315" s="10">
        <v>45609.958333333336</v>
      </c>
      <c r="E315">
        <v>0</v>
      </c>
      <c r="F315">
        <v>0.55000000000000004</v>
      </c>
      <c r="G315">
        <v>0</v>
      </c>
      <c r="H315">
        <v>0.57999999999999996</v>
      </c>
    </row>
    <row r="316" spans="1:8" x14ac:dyDescent="0.55000000000000004">
      <c r="A316" s="11" t="str">
        <f t="shared" si="12"/>
        <v>11月</v>
      </c>
      <c r="B316" s="11" t="str">
        <f t="shared" si="13"/>
        <v>11月14日</v>
      </c>
      <c r="C316" s="11" t="str">
        <f t="shared" si="14"/>
        <v>1時</v>
      </c>
      <c r="D316" s="10">
        <v>45610</v>
      </c>
      <c r="E316">
        <v>0</v>
      </c>
      <c r="F316">
        <v>0.51</v>
      </c>
      <c r="G316">
        <v>0</v>
      </c>
      <c r="H316">
        <v>0.54</v>
      </c>
    </row>
    <row r="317" spans="1:8" x14ac:dyDescent="0.55000000000000004">
      <c r="A317" s="11" t="str">
        <f t="shared" si="12"/>
        <v>11月</v>
      </c>
      <c r="B317" s="11" t="str">
        <f t="shared" si="13"/>
        <v>11月14日</v>
      </c>
      <c r="C317" s="11" t="str">
        <f t="shared" si="14"/>
        <v>2時</v>
      </c>
      <c r="D317" s="10">
        <v>45610.041666666664</v>
      </c>
      <c r="E317">
        <v>0</v>
      </c>
      <c r="F317">
        <v>0.45</v>
      </c>
      <c r="G317">
        <v>0</v>
      </c>
      <c r="H317">
        <v>0.48</v>
      </c>
    </row>
    <row r="318" spans="1:8" x14ac:dyDescent="0.55000000000000004">
      <c r="A318" s="11" t="str">
        <f t="shared" si="12"/>
        <v>11月</v>
      </c>
      <c r="B318" s="11" t="str">
        <f t="shared" si="13"/>
        <v>11月14日</v>
      </c>
      <c r="C318" s="11" t="str">
        <f t="shared" si="14"/>
        <v>3時</v>
      </c>
      <c r="D318" s="10">
        <v>45610.083333333336</v>
      </c>
      <c r="E318">
        <v>0</v>
      </c>
      <c r="F318">
        <v>0.51</v>
      </c>
      <c r="G318">
        <v>0</v>
      </c>
      <c r="H318">
        <v>0.53</v>
      </c>
    </row>
    <row r="319" spans="1:8" x14ac:dyDescent="0.55000000000000004">
      <c r="A319" s="11" t="str">
        <f t="shared" si="12"/>
        <v>11月</v>
      </c>
      <c r="B319" s="11" t="str">
        <f t="shared" si="13"/>
        <v>11月14日</v>
      </c>
      <c r="C319" s="11" t="str">
        <f t="shared" si="14"/>
        <v>4時</v>
      </c>
      <c r="D319" s="10">
        <v>45610.125</v>
      </c>
      <c r="E319">
        <v>0</v>
      </c>
      <c r="F319">
        <v>0.47</v>
      </c>
      <c r="G319">
        <v>0</v>
      </c>
      <c r="H319">
        <v>0.5</v>
      </c>
    </row>
    <row r="320" spans="1:8" x14ac:dyDescent="0.55000000000000004">
      <c r="A320" s="11" t="str">
        <f t="shared" si="12"/>
        <v>11月</v>
      </c>
      <c r="B320" s="11" t="str">
        <f t="shared" si="13"/>
        <v>11月14日</v>
      </c>
      <c r="C320" s="11" t="str">
        <f t="shared" si="14"/>
        <v>5時</v>
      </c>
      <c r="D320" s="10">
        <v>45610.166666666664</v>
      </c>
      <c r="E320">
        <v>0</v>
      </c>
      <c r="F320">
        <v>0.68</v>
      </c>
      <c r="G320">
        <v>0</v>
      </c>
      <c r="H320">
        <v>0.73</v>
      </c>
    </row>
    <row r="321" spans="1:8" x14ac:dyDescent="0.55000000000000004">
      <c r="A321" s="11" t="str">
        <f t="shared" si="12"/>
        <v>11月</v>
      </c>
      <c r="B321" s="11" t="str">
        <f t="shared" si="13"/>
        <v>11月14日</v>
      </c>
      <c r="C321" s="11" t="str">
        <f t="shared" si="14"/>
        <v>6時</v>
      </c>
      <c r="D321" s="10">
        <v>45610.208333333336</v>
      </c>
      <c r="E321">
        <v>0</v>
      </c>
      <c r="F321">
        <v>0.65</v>
      </c>
      <c r="G321">
        <v>0</v>
      </c>
      <c r="H321">
        <v>0.68</v>
      </c>
    </row>
    <row r="322" spans="1:8" x14ac:dyDescent="0.55000000000000004">
      <c r="A322" s="11" t="str">
        <f t="shared" si="12"/>
        <v>11月</v>
      </c>
      <c r="B322" s="11" t="str">
        <f t="shared" si="13"/>
        <v>11月14日</v>
      </c>
      <c r="C322" s="11" t="str">
        <f t="shared" si="14"/>
        <v>7時</v>
      </c>
      <c r="D322" s="10">
        <v>45610.25</v>
      </c>
      <c r="E322">
        <v>0.06</v>
      </c>
      <c r="F322">
        <v>0.62</v>
      </c>
      <c r="G322">
        <v>0</v>
      </c>
      <c r="H322">
        <v>0.56999999999999995</v>
      </c>
    </row>
    <row r="323" spans="1:8" x14ac:dyDescent="0.55000000000000004">
      <c r="A323" s="11" t="str">
        <f t="shared" si="12"/>
        <v>11月</v>
      </c>
      <c r="B323" s="11" t="str">
        <f t="shared" si="13"/>
        <v>11月14日</v>
      </c>
      <c r="C323" s="11" t="str">
        <f t="shared" si="14"/>
        <v>8時</v>
      </c>
      <c r="D323" s="10">
        <v>45610.291666666664</v>
      </c>
      <c r="E323">
        <v>1.27</v>
      </c>
      <c r="F323">
        <v>0.6</v>
      </c>
      <c r="G323">
        <v>0</v>
      </c>
      <c r="H323">
        <v>0.06</v>
      </c>
    </row>
    <row r="324" spans="1:8" x14ac:dyDescent="0.55000000000000004">
      <c r="A324" s="11" t="str">
        <f t="shared" ref="A324:A387" si="15">MONTH(D324)&amp;"月"</f>
        <v>11月</v>
      </c>
      <c r="B324" s="11" t="str">
        <f t="shared" ref="B324:B387" si="16">A324&amp;DAY(D324)&amp;"日"</f>
        <v>11月14日</v>
      </c>
      <c r="C324" s="11" t="str">
        <f t="shared" ref="C324:C387" si="17">HOUR(D324)+1&amp;"時"</f>
        <v>9時</v>
      </c>
      <c r="D324" s="10">
        <v>45610.333333333336</v>
      </c>
      <c r="E324">
        <v>3.81</v>
      </c>
      <c r="F324">
        <v>0.41</v>
      </c>
      <c r="G324">
        <v>0.02</v>
      </c>
      <c r="H324">
        <v>0</v>
      </c>
    </row>
    <row r="325" spans="1:8" x14ac:dyDescent="0.55000000000000004">
      <c r="A325" s="11" t="str">
        <f t="shared" si="15"/>
        <v>11月</v>
      </c>
      <c r="B325" s="11" t="str">
        <f t="shared" si="16"/>
        <v>11月14日</v>
      </c>
      <c r="C325" s="11" t="str">
        <f t="shared" si="17"/>
        <v>10時</v>
      </c>
      <c r="D325" s="10">
        <v>45610.375</v>
      </c>
      <c r="E325">
        <v>5.39</v>
      </c>
      <c r="F325">
        <v>0.47</v>
      </c>
      <c r="G325">
        <v>2.38</v>
      </c>
      <c r="H325">
        <v>0</v>
      </c>
    </row>
    <row r="326" spans="1:8" x14ac:dyDescent="0.55000000000000004">
      <c r="A326" s="11" t="str">
        <f t="shared" si="15"/>
        <v>11月</v>
      </c>
      <c r="B326" s="11" t="str">
        <f t="shared" si="16"/>
        <v>11月14日</v>
      </c>
      <c r="C326" s="11" t="str">
        <f t="shared" si="17"/>
        <v>11時</v>
      </c>
      <c r="D326" s="10">
        <v>45610.416666666664</v>
      </c>
      <c r="E326">
        <v>5.76</v>
      </c>
      <c r="F326">
        <v>0.47</v>
      </c>
      <c r="G326">
        <v>5.29</v>
      </c>
      <c r="H326">
        <v>0</v>
      </c>
    </row>
    <row r="327" spans="1:8" x14ac:dyDescent="0.55000000000000004">
      <c r="A327" s="11" t="str">
        <f t="shared" si="15"/>
        <v>11月</v>
      </c>
      <c r="B327" s="11" t="str">
        <f t="shared" si="16"/>
        <v>11月14日</v>
      </c>
      <c r="C327" s="11" t="str">
        <f t="shared" si="17"/>
        <v>12時</v>
      </c>
      <c r="D327" s="10">
        <v>45610.458333333336</v>
      </c>
      <c r="E327">
        <v>6.09</v>
      </c>
      <c r="F327">
        <v>0.45</v>
      </c>
      <c r="G327">
        <v>5.64</v>
      </c>
      <c r="H327">
        <v>0</v>
      </c>
    </row>
    <row r="328" spans="1:8" x14ac:dyDescent="0.55000000000000004">
      <c r="A328" s="11" t="str">
        <f t="shared" si="15"/>
        <v>11月</v>
      </c>
      <c r="B328" s="11" t="str">
        <f t="shared" si="16"/>
        <v>11月14日</v>
      </c>
      <c r="C328" s="11" t="str">
        <f t="shared" si="17"/>
        <v>13時</v>
      </c>
      <c r="D328" s="10">
        <v>45610.5</v>
      </c>
      <c r="E328">
        <v>5.08</v>
      </c>
      <c r="F328">
        <v>0.51</v>
      </c>
      <c r="G328">
        <v>4.57</v>
      </c>
      <c r="H328">
        <v>0</v>
      </c>
    </row>
    <row r="329" spans="1:8" x14ac:dyDescent="0.55000000000000004">
      <c r="A329" s="11" t="str">
        <f t="shared" si="15"/>
        <v>11月</v>
      </c>
      <c r="B329" s="11" t="str">
        <f t="shared" si="16"/>
        <v>11月14日</v>
      </c>
      <c r="C329" s="11" t="str">
        <f t="shared" si="17"/>
        <v>14時</v>
      </c>
      <c r="D329" s="10">
        <v>45610.541666666664</v>
      </c>
      <c r="E329">
        <v>3.45</v>
      </c>
      <c r="F329">
        <v>0.42</v>
      </c>
      <c r="G329">
        <v>3.03</v>
      </c>
      <c r="H329">
        <v>0</v>
      </c>
    </row>
    <row r="330" spans="1:8" x14ac:dyDescent="0.55000000000000004">
      <c r="A330" s="11" t="str">
        <f t="shared" si="15"/>
        <v>11月</v>
      </c>
      <c r="B330" s="11" t="str">
        <f t="shared" si="16"/>
        <v>11月14日</v>
      </c>
      <c r="C330" s="11" t="str">
        <f t="shared" si="17"/>
        <v>15時</v>
      </c>
      <c r="D330" s="10">
        <v>45610.583333333336</v>
      </c>
      <c r="E330">
        <v>2.54</v>
      </c>
      <c r="F330">
        <v>0.42</v>
      </c>
      <c r="G330">
        <v>2.12</v>
      </c>
      <c r="H330">
        <v>0</v>
      </c>
    </row>
    <row r="331" spans="1:8" x14ac:dyDescent="0.55000000000000004">
      <c r="A331" s="11" t="str">
        <f t="shared" si="15"/>
        <v>11月</v>
      </c>
      <c r="B331" s="11" t="str">
        <f t="shared" si="16"/>
        <v>11月14日</v>
      </c>
      <c r="C331" s="11" t="str">
        <f t="shared" si="17"/>
        <v>16時</v>
      </c>
      <c r="D331" s="10">
        <v>45610.625</v>
      </c>
      <c r="E331">
        <v>0.85</v>
      </c>
      <c r="F331">
        <v>0.42</v>
      </c>
      <c r="G331">
        <v>0.49</v>
      </c>
      <c r="H331">
        <v>0</v>
      </c>
    </row>
    <row r="332" spans="1:8" x14ac:dyDescent="0.55000000000000004">
      <c r="A332" s="11" t="str">
        <f t="shared" si="15"/>
        <v>11月</v>
      </c>
      <c r="B332" s="11" t="str">
        <f t="shared" si="16"/>
        <v>11月14日</v>
      </c>
      <c r="C332" s="11" t="str">
        <f t="shared" si="17"/>
        <v>17時</v>
      </c>
      <c r="D332" s="10">
        <v>45610.666666666664</v>
      </c>
      <c r="E332">
        <v>0</v>
      </c>
      <c r="F332">
        <v>1.07</v>
      </c>
      <c r="G332">
        <v>0</v>
      </c>
      <c r="H332">
        <v>0</v>
      </c>
    </row>
    <row r="333" spans="1:8" x14ac:dyDescent="0.55000000000000004">
      <c r="A333" s="11" t="str">
        <f t="shared" si="15"/>
        <v>11月</v>
      </c>
      <c r="B333" s="11" t="str">
        <f t="shared" si="16"/>
        <v>11月14日</v>
      </c>
      <c r="C333" s="11" t="str">
        <f t="shared" si="17"/>
        <v>18時</v>
      </c>
      <c r="D333" s="10">
        <v>45610.708333333336</v>
      </c>
      <c r="E333">
        <v>0</v>
      </c>
      <c r="F333">
        <v>2.3199999999999998</v>
      </c>
      <c r="G333">
        <v>0</v>
      </c>
      <c r="H333">
        <v>0.02</v>
      </c>
    </row>
    <row r="334" spans="1:8" x14ac:dyDescent="0.55000000000000004">
      <c r="A334" s="11" t="str">
        <f t="shared" si="15"/>
        <v>11月</v>
      </c>
      <c r="B334" s="11" t="str">
        <f t="shared" si="16"/>
        <v>11月14日</v>
      </c>
      <c r="C334" s="11" t="str">
        <f t="shared" si="17"/>
        <v>19時</v>
      </c>
      <c r="D334" s="10">
        <v>45610.75</v>
      </c>
      <c r="E334">
        <v>0</v>
      </c>
      <c r="F334">
        <v>1.34</v>
      </c>
      <c r="G334">
        <v>0.01</v>
      </c>
      <c r="H334">
        <v>0.02</v>
      </c>
    </row>
    <row r="335" spans="1:8" x14ac:dyDescent="0.55000000000000004">
      <c r="A335" s="11" t="str">
        <f t="shared" si="15"/>
        <v>11月</v>
      </c>
      <c r="B335" s="11" t="str">
        <f t="shared" si="16"/>
        <v>11月14日</v>
      </c>
      <c r="C335" s="11" t="str">
        <f t="shared" si="17"/>
        <v>20時</v>
      </c>
      <c r="D335" s="10">
        <v>45610.791666666664</v>
      </c>
      <c r="E335">
        <v>0</v>
      </c>
      <c r="F335">
        <v>0.73</v>
      </c>
      <c r="G335">
        <v>0</v>
      </c>
      <c r="H335">
        <v>0</v>
      </c>
    </row>
    <row r="336" spans="1:8" x14ac:dyDescent="0.55000000000000004">
      <c r="A336" s="11" t="str">
        <f t="shared" si="15"/>
        <v>11月</v>
      </c>
      <c r="B336" s="11" t="str">
        <f t="shared" si="16"/>
        <v>11月14日</v>
      </c>
      <c r="C336" s="11" t="str">
        <f t="shared" si="17"/>
        <v>21時</v>
      </c>
      <c r="D336" s="10">
        <v>45610.833333333336</v>
      </c>
      <c r="E336">
        <v>0</v>
      </c>
      <c r="F336">
        <v>1.1000000000000001</v>
      </c>
      <c r="G336">
        <v>0</v>
      </c>
      <c r="H336">
        <v>1.1399999999999999</v>
      </c>
    </row>
    <row r="337" spans="1:8" x14ac:dyDescent="0.55000000000000004">
      <c r="A337" s="11" t="str">
        <f t="shared" si="15"/>
        <v>11月</v>
      </c>
      <c r="B337" s="11" t="str">
        <f t="shared" si="16"/>
        <v>11月14日</v>
      </c>
      <c r="C337" s="11" t="str">
        <f t="shared" si="17"/>
        <v>22時</v>
      </c>
      <c r="D337" s="10">
        <v>45610.875</v>
      </c>
      <c r="E337">
        <v>0</v>
      </c>
      <c r="F337">
        <v>0.61</v>
      </c>
      <c r="G337">
        <v>0</v>
      </c>
      <c r="H337">
        <v>0.64</v>
      </c>
    </row>
    <row r="338" spans="1:8" x14ac:dyDescent="0.55000000000000004">
      <c r="A338" s="11" t="str">
        <f t="shared" si="15"/>
        <v>11月</v>
      </c>
      <c r="B338" s="11" t="str">
        <f t="shared" si="16"/>
        <v>11月14日</v>
      </c>
      <c r="C338" s="11" t="str">
        <f t="shared" si="17"/>
        <v>23時</v>
      </c>
      <c r="D338" s="10">
        <v>45610.916666666664</v>
      </c>
      <c r="E338">
        <v>0</v>
      </c>
      <c r="F338">
        <v>0.47</v>
      </c>
      <c r="G338">
        <v>0</v>
      </c>
      <c r="H338">
        <v>0.5</v>
      </c>
    </row>
    <row r="339" spans="1:8" x14ac:dyDescent="0.55000000000000004">
      <c r="A339" s="11" t="str">
        <f t="shared" si="15"/>
        <v>11月</v>
      </c>
      <c r="B339" s="11" t="str">
        <f t="shared" si="16"/>
        <v>11月14日</v>
      </c>
      <c r="C339" s="11" t="str">
        <f t="shared" si="17"/>
        <v>24時</v>
      </c>
      <c r="D339" s="10">
        <v>45610.958333333336</v>
      </c>
      <c r="E339">
        <v>0</v>
      </c>
      <c r="F339">
        <v>0.47</v>
      </c>
      <c r="G339">
        <v>0</v>
      </c>
      <c r="H339">
        <v>0.5</v>
      </c>
    </row>
    <row r="340" spans="1:8" x14ac:dyDescent="0.55000000000000004">
      <c r="A340" s="11" t="str">
        <f t="shared" si="15"/>
        <v>11月</v>
      </c>
      <c r="B340" s="11" t="str">
        <f t="shared" si="16"/>
        <v>11月15日</v>
      </c>
      <c r="C340" s="11" t="str">
        <f t="shared" si="17"/>
        <v>1時</v>
      </c>
      <c r="D340" s="10">
        <v>45611</v>
      </c>
      <c r="E340">
        <v>0</v>
      </c>
      <c r="F340">
        <v>0.47</v>
      </c>
      <c r="G340">
        <v>0</v>
      </c>
      <c r="H340">
        <v>0.5</v>
      </c>
    </row>
    <row r="341" spans="1:8" x14ac:dyDescent="0.55000000000000004">
      <c r="A341" s="11" t="str">
        <f t="shared" si="15"/>
        <v>11月</v>
      </c>
      <c r="B341" s="11" t="str">
        <f t="shared" si="16"/>
        <v>11月15日</v>
      </c>
      <c r="C341" s="11" t="str">
        <f t="shared" si="17"/>
        <v>2時</v>
      </c>
      <c r="D341" s="10">
        <v>45611.041666666664</v>
      </c>
      <c r="E341">
        <v>0</v>
      </c>
      <c r="F341">
        <v>0.46</v>
      </c>
      <c r="G341">
        <v>0</v>
      </c>
      <c r="H341">
        <v>0.49</v>
      </c>
    </row>
    <row r="342" spans="1:8" x14ac:dyDescent="0.55000000000000004">
      <c r="A342" s="11" t="str">
        <f t="shared" si="15"/>
        <v>11月</v>
      </c>
      <c r="B342" s="11" t="str">
        <f t="shared" si="16"/>
        <v>11月15日</v>
      </c>
      <c r="C342" s="11" t="str">
        <f t="shared" si="17"/>
        <v>3時</v>
      </c>
      <c r="D342" s="10">
        <v>45611.083333333336</v>
      </c>
      <c r="E342">
        <v>0</v>
      </c>
      <c r="F342">
        <v>0.41</v>
      </c>
      <c r="G342">
        <v>0</v>
      </c>
      <c r="H342">
        <v>0.44</v>
      </c>
    </row>
    <row r="343" spans="1:8" x14ac:dyDescent="0.55000000000000004">
      <c r="A343" s="11" t="str">
        <f t="shared" si="15"/>
        <v>11月</v>
      </c>
      <c r="B343" s="11" t="str">
        <f t="shared" si="16"/>
        <v>11月15日</v>
      </c>
      <c r="C343" s="11" t="str">
        <f t="shared" si="17"/>
        <v>4時</v>
      </c>
      <c r="D343" s="10">
        <v>45611.125</v>
      </c>
      <c r="E343">
        <v>0</v>
      </c>
      <c r="F343">
        <v>0.54</v>
      </c>
      <c r="G343">
        <v>0</v>
      </c>
      <c r="H343">
        <v>0.56999999999999995</v>
      </c>
    </row>
    <row r="344" spans="1:8" x14ac:dyDescent="0.55000000000000004">
      <c r="A344" s="11" t="str">
        <f t="shared" si="15"/>
        <v>11月</v>
      </c>
      <c r="B344" s="11" t="str">
        <f t="shared" si="16"/>
        <v>11月15日</v>
      </c>
      <c r="C344" s="11" t="str">
        <f t="shared" si="17"/>
        <v>5時</v>
      </c>
      <c r="D344" s="10">
        <v>45611.166666666664</v>
      </c>
      <c r="E344">
        <v>0</v>
      </c>
      <c r="F344">
        <v>0.66</v>
      </c>
      <c r="G344">
        <v>0</v>
      </c>
      <c r="H344">
        <v>0.68</v>
      </c>
    </row>
    <row r="345" spans="1:8" x14ac:dyDescent="0.55000000000000004">
      <c r="A345" s="11" t="str">
        <f t="shared" si="15"/>
        <v>11月</v>
      </c>
      <c r="B345" s="11" t="str">
        <f t="shared" si="16"/>
        <v>11月15日</v>
      </c>
      <c r="C345" s="11" t="str">
        <f t="shared" si="17"/>
        <v>6時</v>
      </c>
      <c r="D345" s="10">
        <v>45611.208333333336</v>
      </c>
      <c r="E345">
        <v>0</v>
      </c>
      <c r="F345">
        <v>0.5</v>
      </c>
      <c r="G345">
        <v>0</v>
      </c>
      <c r="H345">
        <v>0.53</v>
      </c>
    </row>
    <row r="346" spans="1:8" x14ac:dyDescent="0.55000000000000004">
      <c r="A346" s="11" t="str">
        <f t="shared" si="15"/>
        <v>11月</v>
      </c>
      <c r="B346" s="11" t="str">
        <f t="shared" si="16"/>
        <v>11月15日</v>
      </c>
      <c r="C346" s="11" t="str">
        <f t="shared" si="17"/>
        <v>7時</v>
      </c>
      <c r="D346" s="10">
        <v>45611.25</v>
      </c>
      <c r="E346">
        <v>0.06</v>
      </c>
      <c r="F346">
        <v>0.53</v>
      </c>
      <c r="G346">
        <v>0</v>
      </c>
      <c r="H346">
        <v>0.5</v>
      </c>
    </row>
    <row r="347" spans="1:8" x14ac:dyDescent="0.55000000000000004">
      <c r="A347" s="11" t="str">
        <f t="shared" si="15"/>
        <v>11月</v>
      </c>
      <c r="B347" s="11" t="str">
        <f t="shared" si="16"/>
        <v>11月15日</v>
      </c>
      <c r="C347" s="11" t="str">
        <f t="shared" si="17"/>
        <v>8時</v>
      </c>
      <c r="D347" s="10">
        <v>45611.291666666664</v>
      </c>
      <c r="E347">
        <v>0.56000000000000005</v>
      </c>
      <c r="F347">
        <v>0.45</v>
      </c>
      <c r="G347">
        <v>0</v>
      </c>
      <c r="H347">
        <v>0.03</v>
      </c>
    </row>
    <row r="348" spans="1:8" x14ac:dyDescent="0.55000000000000004">
      <c r="A348" s="11" t="str">
        <f t="shared" si="15"/>
        <v>11月</v>
      </c>
      <c r="B348" s="11" t="str">
        <f t="shared" si="16"/>
        <v>11月15日</v>
      </c>
      <c r="C348" s="11" t="str">
        <f t="shared" si="17"/>
        <v>9時</v>
      </c>
      <c r="D348" s="10">
        <v>45611.333333333336</v>
      </c>
      <c r="E348">
        <v>0.97</v>
      </c>
      <c r="F348">
        <v>0.43</v>
      </c>
      <c r="G348">
        <v>0</v>
      </c>
      <c r="H348">
        <v>0</v>
      </c>
    </row>
    <row r="349" spans="1:8" x14ac:dyDescent="0.55000000000000004">
      <c r="A349" s="11" t="str">
        <f t="shared" si="15"/>
        <v>11月</v>
      </c>
      <c r="B349" s="11" t="str">
        <f t="shared" si="16"/>
        <v>11月15日</v>
      </c>
      <c r="C349" s="11" t="str">
        <f t="shared" si="17"/>
        <v>10時</v>
      </c>
      <c r="D349" s="10">
        <v>45611.375</v>
      </c>
      <c r="E349">
        <v>2.56</v>
      </c>
      <c r="F349">
        <v>0.4</v>
      </c>
      <c r="G349">
        <v>0.19</v>
      </c>
      <c r="H349">
        <v>0</v>
      </c>
    </row>
    <row r="350" spans="1:8" x14ac:dyDescent="0.55000000000000004">
      <c r="A350" s="11" t="str">
        <f t="shared" si="15"/>
        <v>11月</v>
      </c>
      <c r="B350" s="11" t="str">
        <f t="shared" si="16"/>
        <v>11月15日</v>
      </c>
      <c r="C350" s="11" t="str">
        <f t="shared" si="17"/>
        <v>11時</v>
      </c>
      <c r="D350" s="10">
        <v>45611.416666666664</v>
      </c>
      <c r="E350">
        <v>3.49</v>
      </c>
      <c r="F350">
        <v>0.41</v>
      </c>
      <c r="G350">
        <v>0.18</v>
      </c>
      <c r="H350">
        <v>0.01</v>
      </c>
    </row>
    <row r="351" spans="1:8" x14ac:dyDescent="0.55000000000000004">
      <c r="A351" s="11" t="str">
        <f t="shared" si="15"/>
        <v>11月</v>
      </c>
      <c r="B351" s="11" t="str">
        <f t="shared" si="16"/>
        <v>11月15日</v>
      </c>
      <c r="C351" s="11" t="str">
        <f t="shared" si="17"/>
        <v>12時</v>
      </c>
      <c r="D351" s="10">
        <v>45611.458333333336</v>
      </c>
      <c r="E351">
        <v>1.68</v>
      </c>
      <c r="F351">
        <v>0.5</v>
      </c>
      <c r="G351">
        <v>0.05</v>
      </c>
      <c r="H351">
        <v>0.01</v>
      </c>
    </row>
    <row r="352" spans="1:8" x14ac:dyDescent="0.55000000000000004">
      <c r="A352" s="11" t="str">
        <f t="shared" si="15"/>
        <v>11月</v>
      </c>
      <c r="B352" s="11" t="str">
        <f t="shared" si="16"/>
        <v>11月15日</v>
      </c>
      <c r="C352" s="11" t="str">
        <f t="shared" si="17"/>
        <v>13時</v>
      </c>
      <c r="D352" s="10">
        <v>45611.5</v>
      </c>
      <c r="E352">
        <v>1.42</v>
      </c>
      <c r="F352">
        <v>0.38</v>
      </c>
      <c r="G352">
        <v>1.02</v>
      </c>
      <c r="H352">
        <v>0</v>
      </c>
    </row>
    <row r="353" spans="1:8" x14ac:dyDescent="0.55000000000000004">
      <c r="A353" s="11" t="str">
        <f t="shared" si="15"/>
        <v>11月</v>
      </c>
      <c r="B353" s="11" t="str">
        <f t="shared" si="16"/>
        <v>11月15日</v>
      </c>
      <c r="C353" s="11" t="str">
        <f t="shared" si="17"/>
        <v>14時</v>
      </c>
      <c r="D353" s="10">
        <v>45611.541666666664</v>
      </c>
      <c r="E353">
        <v>1.1399999999999999</v>
      </c>
      <c r="F353">
        <v>0.37</v>
      </c>
      <c r="G353">
        <v>0.77</v>
      </c>
      <c r="H353">
        <v>0</v>
      </c>
    </row>
    <row r="354" spans="1:8" x14ac:dyDescent="0.55000000000000004">
      <c r="A354" s="11" t="str">
        <f t="shared" si="15"/>
        <v>11月</v>
      </c>
      <c r="B354" s="11" t="str">
        <f t="shared" si="16"/>
        <v>11月15日</v>
      </c>
      <c r="C354" s="11" t="str">
        <f t="shared" si="17"/>
        <v>15時</v>
      </c>
      <c r="D354" s="10">
        <v>45611.583333333336</v>
      </c>
      <c r="E354">
        <v>1.42</v>
      </c>
      <c r="F354">
        <v>0.41</v>
      </c>
      <c r="G354">
        <v>1.01</v>
      </c>
      <c r="H354">
        <v>0</v>
      </c>
    </row>
    <row r="355" spans="1:8" x14ac:dyDescent="0.55000000000000004">
      <c r="A355" s="11" t="str">
        <f t="shared" si="15"/>
        <v>11月</v>
      </c>
      <c r="B355" s="11" t="str">
        <f t="shared" si="16"/>
        <v>11月15日</v>
      </c>
      <c r="C355" s="11" t="str">
        <f t="shared" si="17"/>
        <v>16時</v>
      </c>
      <c r="D355" s="10">
        <v>45611.625</v>
      </c>
      <c r="E355">
        <v>0.75</v>
      </c>
      <c r="F355">
        <v>0.64</v>
      </c>
      <c r="G355">
        <v>0.41</v>
      </c>
      <c r="H355">
        <v>0</v>
      </c>
    </row>
    <row r="356" spans="1:8" x14ac:dyDescent="0.55000000000000004">
      <c r="A356" s="11" t="str">
        <f t="shared" si="15"/>
        <v>11月</v>
      </c>
      <c r="B356" s="11" t="str">
        <f t="shared" si="16"/>
        <v>11月15日</v>
      </c>
      <c r="C356" s="11" t="str">
        <f t="shared" si="17"/>
        <v>17時</v>
      </c>
      <c r="D356" s="10">
        <v>45611.666666666664</v>
      </c>
      <c r="E356">
        <v>0.01</v>
      </c>
      <c r="F356">
        <v>2.11</v>
      </c>
      <c r="G356">
        <v>0.01</v>
      </c>
      <c r="H356">
        <v>0.01</v>
      </c>
    </row>
    <row r="357" spans="1:8" x14ac:dyDescent="0.55000000000000004">
      <c r="A357" s="11" t="str">
        <f t="shared" si="15"/>
        <v>11月</v>
      </c>
      <c r="B357" s="11" t="str">
        <f t="shared" si="16"/>
        <v>11月15日</v>
      </c>
      <c r="C357" s="11" t="str">
        <f t="shared" si="17"/>
        <v>18時</v>
      </c>
      <c r="D357" s="10">
        <v>45611.708333333336</v>
      </c>
      <c r="E357">
        <v>0</v>
      </c>
      <c r="F357">
        <v>2.2000000000000002</v>
      </c>
      <c r="G357">
        <v>0.01</v>
      </c>
      <c r="H357">
        <v>0.01</v>
      </c>
    </row>
    <row r="358" spans="1:8" x14ac:dyDescent="0.55000000000000004">
      <c r="A358" s="11" t="str">
        <f t="shared" si="15"/>
        <v>11月</v>
      </c>
      <c r="B358" s="11" t="str">
        <f t="shared" si="16"/>
        <v>11月15日</v>
      </c>
      <c r="C358" s="11" t="str">
        <f t="shared" si="17"/>
        <v>19時</v>
      </c>
      <c r="D358" s="10">
        <v>45611.75</v>
      </c>
      <c r="E358">
        <v>0</v>
      </c>
      <c r="F358">
        <v>1</v>
      </c>
      <c r="G358">
        <v>0.01</v>
      </c>
      <c r="H358">
        <v>0.02</v>
      </c>
    </row>
    <row r="359" spans="1:8" x14ac:dyDescent="0.55000000000000004">
      <c r="A359" s="11" t="str">
        <f t="shared" si="15"/>
        <v>11月</v>
      </c>
      <c r="B359" s="11" t="str">
        <f t="shared" si="16"/>
        <v>11月15日</v>
      </c>
      <c r="C359" s="11" t="str">
        <f t="shared" si="17"/>
        <v>20時</v>
      </c>
      <c r="D359" s="10">
        <v>45611.791666666664</v>
      </c>
      <c r="E359">
        <v>0</v>
      </c>
      <c r="F359">
        <v>0.59</v>
      </c>
      <c r="G359">
        <v>0</v>
      </c>
      <c r="H359">
        <v>0.59</v>
      </c>
    </row>
    <row r="360" spans="1:8" x14ac:dyDescent="0.55000000000000004">
      <c r="A360" s="11" t="str">
        <f t="shared" si="15"/>
        <v>11月</v>
      </c>
      <c r="B360" s="11" t="str">
        <f t="shared" si="16"/>
        <v>11月15日</v>
      </c>
      <c r="C360" s="11" t="str">
        <f t="shared" si="17"/>
        <v>21時</v>
      </c>
      <c r="D360" s="10">
        <v>45611.833333333336</v>
      </c>
      <c r="E360">
        <v>0</v>
      </c>
      <c r="F360">
        <v>0.66</v>
      </c>
      <c r="G360">
        <v>0</v>
      </c>
      <c r="H360">
        <v>0.69</v>
      </c>
    </row>
    <row r="361" spans="1:8" x14ac:dyDescent="0.55000000000000004">
      <c r="A361" s="11" t="str">
        <f t="shared" si="15"/>
        <v>11月</v>
      </c>
      <c r="B361" s="11" t="str">
        <f t="shared" si="16"/>
        <v>11月15日</v>
      </c>
      <c r="C361" s="11" t="str">
        <f t="shared" si="17"/>
        <v>22時</v>
      </c>
      <c r="D361" s="10">
        <v>45611.875</v>
      </c>
      <c r="E361">
        <v>0</v>
      </c>
      <c r="F361">
        <v>0.62</v>
      </c>
      <c r="G361">
        <v>0</v>
      </c>
      <c r="H361">
        <v>0.65</v>
      </c>
    </row>
    <row r="362" spans="1:8" x14ac:dyDescent="0.55000000000000004">
      <c r="A362" s="11" t="str">
        <f t="shared" si="15"/>
        <v>11月</v>
      </c>
      <c r="B362" s="11" t="str">
        <f t="shared" si="16"/>
        <v>11月15日</v>
      </c>
      <c r="C362" s="11" t="str">
        <f t="shared" si="17"/>
        <v>23時</v>
      </c>
      <c r="D362" s="10">
        <v>45611.916666666664</v>
      </c>
      <c r="E362">
        <v>0</v>
      </c>
      <c r="F362">
        <v>0.53</v>
      </c>
      <c r="G362">
        <v>0</v>
      </c>
      <c r="H362">
        <v>0.56000000000000005</v>
      </c>
    </row>
    <row r="363" spans="1:8" x14ac:dyDescent="0.55000000000000004">
      <c r="A363" s="11" t="str">
        <f t="shared" si="15"/>
        <v>11月</v>
      </c>
      <c r="B363" s="11" t="str">
        <f t="shared" si="16"/>
        <v>11月15日</v>
      </c>
      <c r="C363" s="11" t="str">
        <f t="shared" si="17"/>
        <v>24時</v>
      </c>
      <c r="D363" s="10">
        <v>45611.958333333336</v>
      </c>
      <c r="E363">
        <v>0</v>
      </c>
      <c r="F363">
        <v>0.45</v>
      </c>
      <c r="G363">
        <v>0</v>
      </c>
      <c r="H363">
        <v>0.48</v>
      </c>
    </row>
    <row r="364" spans="1:8" x14ac:dyDescent="0.55000000000000004">
      <c r="A364" s="11" t="str">
        <f t="shared" si="15"/>
        <v>11月</v>
      </c>
      <c r="B364" s="11" t="str">
        <f t="shared" si="16"/>
        <v>11月16日</v>
      </c>
      <c r="C364" s="11" t="str">
        <f t="shared" si="17"/>
        <v>1時</v>
      </c>
      <c r="D364" s="10">
        <v>45612</v>
      </c>
      <c r="E364">
        <v>0</v>
      </c>
      <c r="F364">
        <v>0.48</v>
      </c>
      <c r="G364">
        <v>0</v>
      </c>
      <c r="H364">
        <v>0.51</v>
      </c>
    </row>
    <row r="365" spans="1:8" x14ac:dyDescent="0.55000000000000004">
      <c r="A365" s="11" t="str">
        <f t="shared" si="15"/>
        <v>11月</v>
      </c>
      <c r="B365" s="11" t="str">
        <f t="shared" si="16"/>
        <v>11月16日</v>
      </c>
      <c r="C365" s="11" t="str">
        <f t="shared" si="17"/>
        <v>2時</v>
      </c>
      <c r="D365" s="10">
        <v>45612.041666666664</v>
      </c>
      <c r="E365">
        <v>0</v>
      </c>
      <c r="F365">
        <v>0.48</v>
      </c>
      <c r="G365">
        <v>0</v>
      </c>
      <c r="H365">
        <v>0.51</v>
      </c>
    </row>
    <row r="366" spans="1:8" x14ac:dyDescent="0.55000000000000004">
      <c r="A366" s="11" t="str">
        <f t="shared" si="15"/>
        <v>11月</v>
      </c>
      <c r="B366" s="11" t="str">
        <f t="shared" si="16"/>
        <v>11月16日</v>
      </c>
      <c r="C366" s="11" t="str">
        <f t="shared" si="17"/>
        <v>3時</v>
      </c>
      <c r="D366" s="10">
        <v>45612.083333333336</v>
      </c>
      <c r="E366">
        <v>0</v>
      </c>
      <c r="F366">
        <v>0.49</v>
      </c>
      <c r="G366">
        <v>0</v>
      </c>
      <c r="H366">
        <v>0.52</v>
      </c>
    </row>
    <row r="367" spans="1:8" x14ac:dyDescent="0.55000000000000004">
      <c r="A367" s="11" t="str">
        <f t="shared" si="15"/>
        <v>11月</v>
      </c>
      <c r="B367" s="11" t="str">
        <f t="shared" si="16"/>
        <v>11月16日</v>
      </c>
      <c r="C367" s="11" t="str">
        <f t="shared" si="17"/>
        <v>4時</v>
      </c>
      <c r="D367" s="10">
        <v>45612.125</v>
      </c>
      <c r="E367">
        <v>0</v>
      </c>
      <c r="F367">
        <v>0.53</v>
      </c>
      <c r="G367">
        <v>0</v>
      </c>
      <c r="H367">
        <v>0.56000000000000005</v>
      </c>
    </row>
    <row r="368" spans="1:8" x14ac:dyDescent="0.55000000000000004">
      <c r="A368" s="11" t="str">
        <f t="shared" si="15"/>
        <v>11月</v>
      </c>
      <c r="B368" s="11" t="str">
        <f t="shared" si="16"/>
        <v>11月16日</v>
      </c>
      <c r="C368" s="11" t="str">
        <f t="shared" si="17"/>
        <v>5時</v>
      </c>
      <c r="D368" s="10">
        <v>45612.166666666664</v>
      </c>
      <c r="E368">
        <v>0</v>
      </c>
      <c r="F368">
        <v>0.59</v>
      </c>
      <c r="G368">
        <v>0</v>
      </c>
      <c r="H368">
        <v>0.62</v>
      </c>
    </row>
    <row r="369" spans="1:8" x14ac:dyDescent="0.55000000000000004">
      <c r="A369" s="11" t="str">
        <f t="shared" si="15"/>
        <v>11月</v>
      </c>
      <c r="B369" s="11" t="str">
        <f t="shared" si="16"/>
        <v>11月16日</v>
      </c>
      <c r="C369" s="11" t="str">
        <f t="shared" si="17"/>
        <v>6時</v>
      </c>
      <c r="D369" s="10">
        <v>45612.208333333336</v>
      </c>
      <c r="E369">
        <v>0</v>
      </c>
      <c r="F369">
        <v>0.51</v>
      </c>
      <c r="G369">
        <v>0</v>
      </c>
      <c r="H369">
        <v>0.54</v>
      </c>
    </row>
    <row r="370" spans="1:8" x14ac:dyDescent="0.55000000000000004">
      <c r="A370" s="11" t="str">
        <f t="shared" si="15"/>
        <v>11月</v>
      </c>
      <c r="B370" s="11" t="str">
        <f t="shared" si="16"/>
        <v>11月16日</v>
      </c>
      <c r="C370" s="11" t="str">
        <f t="shared" si="17"/>
        <v>7時</v>
      </c>
      <c r="D370" s="10">
        <v>45612.25</v>
      </c>
      <c r="E370">
        <v>0.06</v>
      </c>
      <c r="F370">
        <v>0.56999999999999995</v>
      </c>
      <c r="G370">
        <v>0</v>
      </c>
      <c r="H370">
        <v>0.52</v>
      </c>
    </row>
    <row r="371" spans="1:8" x14ac:dyDescent="0.55000000000000004">
      <c r="A371" s="11" t="str">
        <f t="shared" si="15"/>
        <v>11月</v>
      </c>
      <c r="B371" s="11" t="str">
        <f t="shared" si="16"/>
        <v>11月16日</v>
      </c>
      <c r="C371" s="11" t="str">
        <f t="shared" si="17"/>
        <v>8時</v>
      </c>
      <c r="D371" s="10">
        <v>45612.291666666664</v>
      </c>
      <c r="E371">
        <v>1.21</v>
      </c>
      <c r="F371">
        <v>0.56999999999999995</v>
      </c>
      <c r="G371">
        <v>0</v>
      </c>
      <c r="H371">
        <v>0.03</v>
      </c>
    </row>
    <row r="372" spans="1:8" x14ac:dyDescent="0.55000000000000004">
      <c r="A372" s="11" t="str">
        <f t="shared" si="15"/>
        <v>11月</v>
      </c>
      <c r="B372" s="11" t="str">
        <f t="shared" si="16"/>
        <v>11月16日</v>
      </c>
      <c r="C372" s="11" t="str">
        <f t="shared" si="17"/>
        <v>9時</v>
      </c>
      <c r="D372" s="10">
        <v>45612.333333333336</v>
      </c>
      <c r="E372">
        <v>3.7</v>
      </c>
      <c r="F372">
        <v>0.46</v>
      </c>
      <c r="G372">
        <v>0.01</v>
      </c>
      <c r="H372">
        <v>0.01</v>
      </c>
    </row>
    <row r="373" spans="1:8" x14ac:dyDescent="0.55000000000000004">
      <c r="A373" s="11" t="str">
        <f t="shared" si="15"/>
        <v>11月</v>
      </c>
      <c r="B373" s="11" t="str">
        <f t="shared" si="16"/>
        <v>11月16日</v>
      </c>
      <c r="C373" s="11" t="str">
        <f t="shared" si="17"/>
        <v>10時</v>
      </c>
      <c r="D373" s="10">
        <v>45612.375</v>
      </c>
      <c r="E373">
        <v>5.23</v>
      </c>
      <c r="F373">
        <v>0.41</v>
      </c>
      <c r="G373">
        <v>1.84</v>
      </c>
      <c r="H373">
        <v>0</v>
      </c>
    </row>
    <row r="374" spans="1:8" x14ac:dyDescent="0.55000000000000004">
      <c r="A374" s="11" t="str">
        <f t="shared" si="15"/>
        <v>11月</v>
      </c>
      <c r="B374" s="11" t="str">
        <f t="shared" si="16"/>
        <v>11月16日</v>
      </c>
      <c r="C374" s="11" t="str">
        <f t="shared" si="17"/>
        <v>11時</v>
      </c>
      <c r="D374" s="10">
        <v>45612.416666666664</v>
      </c>
      <c r="E374">
        <v>5.85</v>
      </c>
      <c r="F374">
        <v>0.41</v>
      </c>
      <c r="G374">
        <v>5.45</v>
      </c>
      <c r="H374">
        <v>0</v>
      </c>
    </row>
    <row r="375" spans="1:8" x14ac:dyDescent="0.55000000000000004">
      <c r="A375" s="11" t="str">
        <f t="shared" si="15"/>
        <v>11月</v>
      </c>
      <c r="B375" s="11" t="str">
        <f t="shared" si="16"/>
        <v>11月16日</v>
      </c>
      <c r="C375" s="11" t="str">
        <f t="shared" si="17"/>
        <v>12時</v>
      </c>
      <c r="D375" s="10">
        <v>45612.458333333336</v>
      </c>
      <c r="E375">
        <v>6.09</v>
      </c>
      <c r="F375">
        <v>0.37</v>
      </c>
      <c r="G375">
        <v>5.72</v>
      </c>
      <c r="H375">
        <v>0</v>
      </c>
    </row>
    <row r="376" spans="1:8" x14ac:dyDescent="0.55000000000000004">
      <c r="A376" s="11" t="str">
        <f t="shared" si="15"/>
        <v>11月</v>
      </c>
      <c r="B376" s="11" t="str">
        <f t="shared" si="16"/>
        <v>11月16日</v>
      </c>
      <c r="C376" s="11" t="str">
        <f t="shared" si="17"/>
        <v>13時</v>
      </c>
      <c r="D376" s="10">
        <v>45612.5</v>
      </c>
      <c r="E376">
        <v>5.67</v>
      </c>
      <c r="F376">
        <v>0.38</v>
      </c>
      <c r="G376">
        <v>5.29</v>
      </c>
      <c r="H376">
        <v>0</v>
      </c>
    </row>
    <row r="377" spans="1:8" x14ac:dyDescent="0.55000000000000004">
      <c r="A377" s="11" t="str">
        <f t="shared" si="15"/>
        <v>11月</v>
      </c>
      <c r="B377" s="11" t="str">
        <f t="shared" si="16"/>
        <v>11月16日</v>
      </c>
      <c r="C377" s="11" t="str">
        <f t="shared" si="17"/>
        <v>14時</v>
      </c>
      <c r="D377" s="10">
        <v>45612.541666666664</v>
      </c>
      <c r="E377">
        <v>4.57</v>
      </c>
      <c r="F377">
        <v>0.36</v>
      </c>
      <c r="G377">
        <v>4.21</v>
      </c>
      <c r="H377">
        <v>0</v>
      </c>
    </row>
    <row r="378" spans="1:8" x14ac:dyDescent="0.55000000000000004">
      <c r="A378" s="11" t="str">
        <f t="shared" si="15"/>
        <v>11月</v>
      </c>
      <c r="B378" s="11" t="str">
        <f t="shared" si="16"/>
        <v>11月16日</v>
      </c>
      <c r="C378" s="11" t="str">
        <f t="shared" si="17"/>
        <v>15時</v>
      </c>
      <c r="D378" s="10">
        <v>45612.583333333336</v>
      </c>
      <c r="E378">
        <v>2.8</v>
      </c>
      <c r="F378">
        <v>0.38</v>
      </c>
      <c r="G378">
        <v>2.42</v>
      </c>
      <c r="H378">
        <v>0</v>
      </c>
    </row>
    <row r="379" spans="1:8" x14ac:dyDescent="0.55000000000000004">
      <c r="A379" s="11" t="str">
        <f t="shared" si="15"/>
        <v>11月</v>
      </c>
      <c r="B379" s="11" t="str">
        <f t="shared" si="16"/>
        <v>11月16日</v>
      </c>
      <c r="C379" s="11" t="str">
        <f t="shared" si="17"/>
        <v>16時</v>
      </c>
      <c r="D379" s="10">
        <v>45612.625</v>
      </c>
      <c r="E379">
        <v>0.75</v>
      </c>
      <c r="F379">
        <v>0.94</v>
      </c>
      <c r="G379">
        <v>0.45</v>
      </c>
      <c r="H379">
        <v>0</v>
      </c>
    </row>
    <row r="380" spans="1:8" x14ac:dyDescent="0.55000000000000004">
      <c r="A380" s="11" t="str">
        <f t="shared" si="15"/>
        <v>11月</v>
      </c>
      <c r="B380" s="11" t="str">
        <f t="shared" si="16"/>
        <v>11月16日</v>
      </c>
      <c r="C380" s="11" t="str">
        <f t="shared" si="17"/>
        <v>17時</v>
      </c>
      <c r="D380" s="10">
        <v>45612.666666666664</v>
      </c>
      <c r="E380">
        <v>0.02</v>
      </c>
      <c r="F380">
        <v>2.08</v>
      </c>
      <c r="G380">
        <v>0.01</v>
      </c>
      <c r="H380">
        <v>0.01</v>
      </c>
    </row>
    <row r="381" spans="1:8" x14ac:dyDescent="0.55000000000000004">
      <c r="A381" s="11" t="str">
        <f t="shared" si="15"/>
        <v>11月</v>
      </c>
      <c r="B381" s="11" t="str">
        <f t="shared" si="16"/>
        <v>11月16日</v>
      </c>
      <c r="C381" s="11" t="str">
        <f t="shared" si="17"/>
        <v>18時</v>
      </c>
      <c r="D381" s="10">
        <v>45612.708333333336</v>
      </c>
      <c r="E381">
        <v>0</v>
      </c>
      <c r="F381">
        <v>2.16</v>
      </c>
      <c r="G381">
        <v>0.01</v>
      </c>
      <c r="H381">
        <v>0.01</v>
      </c>
    </row>
    <row r="382" spans="1:8" x14ac:dyDescent="0.55000000000000004">
      <c r="A382" s="11" t="str">
        <f t="shared" si="15"/>
        <v>11月</v>
      </c>
      <c r="B382" s="11" t="str">
        <f t="shared" si="16"/>
        <v>11月16日</v>
      </c>
      <c r="C382" s="11" t="str">
        <f t="shared" si="17"/>
        <v>19時</v>
      </c>
      <c r="D382" s="10">
        <v>45612.75</v>
      </c>
      <c r="E382">
        <v>0</v>
      </c>
      <c r="F382">
        <v>0.94</v>
      </c>
      <c r="G382">
        <v>0</v>
      </c>
      <c r="H382">
        <v>0.32</v>
      </c>
    </row>
    <row r="383" spans="1:8" x14ac:dyDescent="0.55000000000000004">
      <c r="A383" s="11" t="str">
        <f t="shared" si="15"/>
        <v>11月</v>
      </c>
      <c r="B383" s="11" t="str">
        <f t="shared" si="16"/>
        <v>11月16日</v>
      </c>
      <c r="C383" s="11" t="str">
        <f t="shared" si="17"/>
        <v>20時</v>
      </c>
      <c r="D383" s="10">
        <v>45612.791666666664</v>
      </c>
      <c r="E383">
        <v>0</v>
      </c>
      <c r="F383">
        <v>0.72</v>
      </c>
      <c r="G383">
        <v>0</v>
      </c>
      <c r="H383">
        <v>0.75</v>
      </c>
    </row>
    <row r="384" spans="1:8" x14ac:dyDescent="0.55000000000000004">
      <c r="A384" s="11" t="str">
        <f t="shared" si="15"/>
        <v>11月</v>
      </c>
      <c r="B384" s="11" t="str">
        <f t="shared" si="16"/>
        <v>11月16日</v>
      </c>
      <c r="C384" s="11" t="str">
        <f t="shared" si="17"/>
        <v>21時</v>
      </c>
      <c r="D384" s="10">
        <v>45612.833333333336</v>
      </c>
      <c r="E384">
        <v>0</v>
      </c>
      <c r="F384">
        <v>1.08</v>
      </c>
      <c r="G384">
        <v>0</v>
      </c>
      <c r="H384">
        <v>1.1100000000000001</v>
      </c>
    </row>
    <row r="385" spans="1:8" x14ac:dyDescent="0.55000000000000004">
      <c r="A385" s="11" t="str">
        <f t="shared" si="15"/>
        <v>11月</v>
      </c>
      <c r="B385" s="11" t="str">
        <f t="shared" si="16"/>
        <v>11月16日</v>
      </c>
      <c r="C385" s="11" t="str">
        <f t="shared" si="17"/>
        <v>22時</v>
      </c>
      <c r="D385" s="10">
        <v>45612.875</v>
      </c>
      <c r="E385">
        <v>0</v>
      </c>
      <c r="F385">
        <v>0.57999999999999996</v>
      </c>
      <c r="G385">
        <v>0</v>
      </c>
      <c r="H385">
        <v>0.61</v>
      </c>
    </row>
    <row r="386" spans="1:8" x14ac:dyDescent="0.55000000000000004">
      <c r="A386" s="11" t="str">
        <f t="shared" si="15"/>
        <v>11月</v>
      </c>
      <c r="B386" s="11" t="str">
        <f t="shared" si="16"/>
        <v>11月16日</v>
      </c>
      <c r="C386" s="11" t="str">
        <f t="shared" si="17"/>
        <v>23時</v>
      </c>
      <c r="D386" s="10">
        <v>45612.916666666664</v>
      </c>
      <c r="E386">
        <v>0</v>
      </c>
      <c r="F386">
        <v>0.45</v>
      </c>
      <c r="G386">
        <v>0</v>
      </c>
      <c r="H386">
        <v>0.48</v>
      </c>
    </row>
    <row r="387" spans="1:8" x14ac:dyDescent="0.55000000000000004">
      <c r="A387" s="11" t="str">
        <f t="shared" si="15"/>
        <v>11月</v>
      </c>
      <c r="B387" s="11" t="str">
        <f t="shared" si="16"/>
        <v>11月16日</v>
      </c>
      <c r="C387" s="11" t="str">
        <f t="shared" si="17"/>
        <v>24時</v>
      </c>
      <c r="D387" s="10">
        <v>45612.958333333336</v>
      </c>
      <c r="E387">
        <v>0</v>
      </c>
      <c r="F387">
        <v>0.43</v>
      </c>
      <c r="G387">
        <v>0</v>
      </c>
      <c r="H387">
        <v>0.46</v>
      </c>
    </row>
    <row r="388" spans="1:8" x14ac:dyDescent="0.55000000000000004">
      <c r="A388" s="11" t="str">
        <f t="shared" ref="A388:A451" si="18">MONTH(D388)&amp;"月"</f>
        <v>11月</v>
      </c>
      <c r="B388" s="11" t="str">
        <f t="shared" ref="B388:B451" si="19">A388&amp;DAY(D388)&amp;"日"</f>
        <v>11月17日</v>
      </c>
      <c r="C388" s="11" t="str">
        <f t="shared" ref="C388:C451" si="20">HOUR(D388)+1&amp;"時"</f>
        <v>1時</v>
      </c>
      <c r="D388" s="10">
        <v>45613</v>
      </c>
      <c r="E388">
        <v>0</v>
      </c>
      <c r="F388">
        <v>0.41</v>
      </c>
      <c r="G388">
        <v>0</v>
      </c>
      <c r="H388">
        <v>0.44</v>
      </c>
    </row>
    <row r="389" spans="1:8" x14ac:dyDescent="0.55000000000000004">
      <c r="A389" s="11" t="str">
        <f t="shared" si="18"/>
        <v>11月</v>
      </c>
      <c r="B389" s="11" t="str">
        <f t="shared" si="19"/>
        <v>11月17日</v>
      </c>
      <c r="C389" s="11" t="str">
        <f t="shared" si="20"/>
        <v>2時</v>
      </c>
      <c r="D389" s="10">
        <v>45613.041666666664</v>
      </c>
      <c r="E389">
        <v>0</v>
      </c>
      <c r="F389">
        <v>0.43</v>
      </c>
      <c r="G389">
        <v>0</v>
      </c>
      <c r="H389">
        <v>0.45</v>
      </c>
    </row>
    <row r="390" spans="1:8" x14ac:dyDescent="0.55000000000000004">
      <c r="A390" s="11" t="str">
        <f t="shared" si="18"/>
        <v>11月</v>
      </c>
      <c r="B390" s="11" t="str">
        <f t="shared" si="19"/>
        <v>11月17日</v>
      </c>
      <c r="C390" s="11" t="str">
        <f t="shared" si="20"/>
        <v>3時</v>
      </c>
      <c r="D390" s="10">
        <v>45613.083333333336</v>
      </c>
      <c r="E390">
        <v>0</v>
      </c>
      <c r="F390">
        <v>0.4</v>
      </c>
      <c r="G390">
        <v>0</v>
      </c>
      <c r="H390">
        <v>0.43</v>
      </c>
    </row>
    <row r="391" spans="1:8" x14ac:dyDescent="0.55000000000000004">
      <c r="A391" s="11" t="str">
        <f t="shared" si="18"/>
        <v>11月</v>
      </c>
      <c r="B391" s="11" t="str">
        <f t="shared" si="19"/>
        <v>11月17日</v>
      </c>
      <c r="C391" s="11" t="str">
        <f t="shared" si="20"/>
        <v>4時</v>
      </c>
      <c r="D391" s="10">
        <v>45613.125</v>
      </c>
      <c r="E391">
        <v>0</v>
      </c>
      <c r="F391">
        <v>0.39</v>
      </c>
      <c r="G391">
        <v>0</v>
      </c>
      <c r="H391">
        <v>0.42</v>
      </c>
    </row>
    <row r="392" spans="1:8" x14ac:dyDescent="0.55000000000000004">
      <c r="A392" s="11" t="str">
        <f t="shared" si="18"/>
        <v>11月</v>
      </c>
      <c r="B392" s="11" t="str">
        <f t="shared" si="19"/>
        <v>11月17日</v>
      </c>
      <c r="C392" s="11" t="str">
        <f t="shared" si="20"/>
        <v>5時</v>
      </c>
      <c r="D392" s="10">
        <v>45613.166666666664</v>
      </c>
      <c r="E392">
        <v>0</v>
      </c>
      <c r="F392">
        <v>0.41</v>
      </c>
      <c r="G392">
        <v>0</v>
      </c>
      <c r="H392">
        <v>0.44</v>
      </c>
    </row>
    <row r="393" spans="1:8" x14ac:dyDescent="0.55000000000000004">
      <c r="A393" s="11" t="str">
        <f t="shared" si="18"/>
        <v>11月</v>
      </c>
      <c r="B393" s="11" t="str">
        <f t="shared" si="19"/>
        <v>11月17日</v>
      </c>
      <c r="C393" s="11" t="str">
        <f t="shared" si="20"/>
        <v>6時</v>
      </c>
      <c r="D393" s="10">
        <v>45613.208333333336</v>
      </c>
      <c r="E393">
        <v>0</v>
      </c>
      <c r="F393">
        <v>0.4</v>
      </c>
      <c r="G393">
        <v>0</v>
      </c>
      <c r="H393">
        <v>0.43</v>
      </c>
    </row>
    <row r="394" spans="1:8" x14ac:dyDescent="0.55000000000000004">
      <c r="A394" s="11" t="str">
        <f t="shared" si="18"/>
        <v>11月</v>
      </c>
      <c r="B394" s="11" t="str">
        <f t="shared" si="19"/>
        <v>11月17日</v>
      </c>
      <c r="C394" s="11" t="str">
        <f t="shared" si="20"/>
        <v>7時</v>
      </c>
      <c r="D394" s="10">
        <v>45613.25</v>
      </c>
      <c r="E394">
        <v>0</v>
      </c>
      <c r="F394">
        <v>0.45</v>
      </c>
      <c r="G394">
        <v>0</v>
      </c>
      <c r="H394">
        <v>0.46</v>
      </c>
    </row>
    <row r="395" spans="1:8" x14ac:dyDescent="0.55000000000000004">
      <c r="A395" s="11" t="str">
        <f t="shared" si="18"/>
        <v>11月</v>
      </c>
      <c r="B395" s="11" t="str">
        <f t="shared" si="19"/>
        <v>11月17日</v>
      </c>
      <c r="C395" s="11" t="str">
        <f t="shared" si="20"/>
        <v>8時</v>
      </c>
      <c r="D395" s="10">
        <v>45613.291666666664</v>
      </c>
      <c r="E395">
        <v>0.08</v>
      </c>
      <c r="F395">
        <v>0.57999999999999996</v>
      </c>
      <c r="G395">
        <v>0</v>
      </c>
      <c r="H395">
        <v>0.5</v>
      </c>
    </row>
    <row r="396" spans="1:8" x14ac:dyDescent="0.55000000000000004">
      <c r="A396" s="11" t="str">
        <f t="shared" si="18"/>
        <v>11月</v>
      </c>
      <c r="B396" s="11" t="str">
        <f t="shared" si="19"/>
        <v>11月17日</v>
      </c>
      <c r="C396" s="11" t="str">
        <f t="shared" si="20"/>
        <v>9時</v>
      </c>
      <c r="D396" s="10">
        <v>45613.333333333336</v>
      </c>
      <c r="E396">
        <v>0.35</v>
      </c>
      <c r="F396">
        <v>0.42</v>
      </c>
      <c r="G396">
        <v>0</v>
      </c>
      <c r="H396">
        <v>0.1</v>
      </c>
    </row>
    <row r="397" spans="1:8" x14ac:dyDescent="0.55000000000000004">
      <c r="A397" s="11" t="str">
        <f t="shared" si="18"/>
        <v>11月</v>
      </c>
      <c r="B397" s="11" t="str">
        <f t="shared" si="19"/>
        <v>11月17日</v>
      </c>
      <c r="C397" s="11" t="str">
        <f t="shared" si="20"/>
        <v>10時</v>
      </c>
      <c r="D397" s="10">
        <v>45613.375</v>
      </c>
      <c r="E397">
        <v>0.57999999999999996</v>
      </c>
      <c r="F397">
        <v>0.38</v>
      </c>
      <c r="G397">
        <v>0</v>
      </c>
      <c r="H397">
        <v>0.08</v>
      </c>
    </row>
    <row r="398" spans="1:8" x14ac:dyDescent="0.55000000000000004">
      <c r="A398" s="11" t="str">
        <f t="shared" si="18"/>
        <v>11月</v>
      </c>
      <c r="B398" s="11" t="str">
        <f t="shared" si="19"/>
        <v>11月17日</v>
      </c>
      <c r="C398" s="11" t="str">
        <f t="shared" si="20"/>
        <v>11時</v>
      </c>
      <c r="D398" s="10">
        <v>45613.416666666664</v>
      </c>
      <c r="E398">
        <v>1.1599999999999999</v>
      </c>
      <c r="F398">
        <v>0.56000000000000005</v>
      </c>
      <c r="G398">
        <v>0.02</v>
      </c>
      <c r="H398">
        <v>0.02</v>
      </c>
    </row>
    <row r="399" spans="1:8" x14ac:dyDescent="0.55000000000000004">
      <c r="A399" s="11" t="str">
        <f t="shared" si="18"/>
        <v>11月</v>
      </c>
      <c r="B399" s="11" t="str">
        <f t="shared" si="19"/>
        <v>11月17日</v>
      </c>
      <c r="C399" s="11" t="str">
        <f t="shared" si="20"/>
        <v>12時</v>
      </c>
      <c r="D399" s="10">
        <v>45613.458333333336</v>
      </c>
      <c r="E399">
        <v>2.82</v>
      </c>
      <c r="F399">
        <v>0.45</v>
      </c>
      <c r="G399">
        <v>0.33</v>
      </c>
      <c r="H399">
        <v>0.01</v>
      </c>
    </row>
    <row r="400" spans="1:8" x14ac:dyDescent="0.55000000000000004">
      <c r="A400" s="11" t="str">
        <f t="shared" si="18"/>
        <v>11月</v>
      </c>
      <c r="B400" s="11" t="str">
        <f t="shared" si="19"/>
        <v>11月17日</v>
      </c>
      <c r="C400" s="11" t="str">
        <f t="shared" si="20"/>
        <v>13時</v>
      </c>
      <c r="D400" s="10">
        <v>45613.5</v>
      </c>
      <c r="E400">
        <v>5.27</v>
      </c>
      <c r="F400">
        <v>0.4</v>
      </c>
      <c r="G400">
        <v>1.01</v>
      </c>
      <c r="H400">
        <v>0</v>
      </c>
    </row>
    <row r="401" spans="1:8" x14ac:dyDescent="0.55000000000000004">
      <c r="A401" s="11" t="str">
        <f t="shared" si="18"/>
        <v>11月</v>
      </c>
      <c r="B401" s="11" t="str">
        <f t="shared" si="19"/>
        <v>11月17日</v>
      </c>
      <c r="C401" s="11" t="str">
        <f t="shared" si="20"/>
        <v>14時</v>
      </c>
      <c r="D401" s="10">
        <v>45613.541666666664</v>
      </c>
      <c r="E401">
        <v>2.11</v>
      </c>
      <c r="F401">
        <v>1.04</v>
      </c>
      <c r="G401">
        <v>1.1599999999999999</v>
      </c>
      <c r="H401">
        <v>0</v>
      </c>
    </row>
    <row r="402" spans="1:8" x14ac:dyDescent="0.55000000000000004">
      <c r="A402" s="11" t="str">
        <f t="shared" si="18"/>
        <v>11月</v>
      </c>
      <c r="B402" s="11" t="str">
        <f t="shared" si="19"/>
        <v>11月17日</v>
      </c>
      <c r="C402" s="11" t="str">
        <f t="shared" si="20"/>
        <v>15時</v>
      </c>
      <c r="D402" s="10">
        <v>45613.583333333336</v>
      </c>
      <c r="E402">
        <v>0.27</v>
      </c>
      <c r="F402">
        <v>0.47</v>
      </c>
      <c r="G402">
        <v>7.0000000000000007E-2</v>
      </c>
      <c r="H402">
        <v>0.01</v>
      </c>
    </row>
    <row r="403" spans="1:8" x14ac:dyDescent="0.55000000000000004">
      <c r="A403" s="11" t="str">
        <f t="shared" si="18"/>
        <v>11月</v>
      </c>
      <c r="B403" s="11" t="str">
        <f t="shared" si="19"/>
        <v>11月17日</v>
      </c>
      <c r="C403" s="11" t="str">
        <f t="shared" si="20"/>
        <v>16時</v>
      </c>
      <c r="D403" s="10">
        <v>45613.625</v>
      </c>
      <c r="E403">
        <v>0</v>
      </c>
      <c r="F403">
        <v>0.36</v>
      </c>
      <c r="G403">
        <v>0.01</v>
      </c>
      <c r="H403">
        <v>0.01</v>
      </c>
    </row>
    <row r="404" spans="1:8" x14ac:dyDescent="0.55000000000000004">
      <c r="A404" s="11" t="str">
        <f t="shared" si="18"/>
        <v>11月</v>
      </c>
      <c r="B404" s="11" t="str">
        <f t="shared" si="19"/>
        <v>11月17日</v>
      </c>
      <c r="C404" s="11" t="str">
        <f t="shared" si="20"/>
        <v>17時</v>
      </c>
      <c r="D404" s="10">
        <v>45613.666666666664</v>
      </c>
      <c r="E404">
        <v>0</v>
      </c>
      <c r="F404">
        <v>1.44</v>
      </c>
      <c r="G404">
        <v>0.01</v>
      </c>
      <c r="H404">
        <v>0.01</v>
      </c>
    </row>
    <row r="405" spans="1:8" x14ac:dyDescent="0.55000000000000004">
      <c r="A405" s="11" t="str">
        <f t="shared" si="18"/>
        <v>11月</v>
      </c>
      <c r="B405" s="11" t="str">
        <f t="shared" si="19"/>
        <v>11月17日</v>
      </c>
      <c r="C405" s="11" t="str">
        <f t="shared" si="20"/>
        <v>18時</v>
      </c>
      <c r="D405" s="10">
        <v>45613.708333333336</v>
      </c>
      <c r="E405">
        <v>0</v>
      </c>
      <c r="F405">
        <v>2.67</v>
      </c>
      <c r="G405">
        <v>0.01</v>
      </c>
      <c r="H405">
        <v>0.01</v>
      </c>
    </row>
    <row r="406" spans="1:8" x14ac:dyDescent="0.55000000000000004">
      <c r="A406" s="11" t="str">
        <f t="shared" si="18"/>
        <v>11月</v>
      </c>
      <c r="B406" s="11" t="str">
        <f t="shared" si="19"/>
        <v>11月17日</v>
      </c>
      <c r="C406" s="11" t="str">
        <f t="shared" si="20"/>
        <v>19時</v>
      </c>
      <c r="D406" s="10">
        <v>45613.75</v>
      </c>
      <c r="E406">
        <v>0</v>
      </c>
      <c r="F406">
        <v>0.72</v>
      </c>
      <c r="G406">
        <v>0.01</v>
      </c>
      <c r="H406">
        <v>0.01</v>
      </c>
    </row>
    <row r="407" spans="1:8" x14ac:dyDescent="0.55000000000000004">
      <c r="A407" s="11" t="str">
        <f t="shared" si="18"/>
        <v>11月</v>
      </c>
      <c r="B407" s="11" t="str">
        <f t="shared" si="19"/>
        <v>11月17日</v>
      </c>
      <c r="C407" s="11" t="str">
        <f t="shared" si="20"/>
        <v>20時</v>
      </c>
      <c r="D407" s="10">
        <v>45613.791666666664</v>
      </c>
      <c r="E407">
        <v>0</v>
      </c>
      <c r="F407">
        <v>0.79</v>
      </c>
      <c r="G407">
        <v>0</v>
      </c>
      <c r="H407">
        <v>0.67</v>
      </c>
    </row>
    <row r="408" spans="1:8" x14ac:dyDescent="0.55000000000000004">
      <c r="A408" s="11" t="str">
        <f t="shared" si="18"/>
        <v>11月</v>
      </c>
      <c r="B408" s="11" t="str">
        <f t="shared" si="19"/>
        <v>11月17日</v>
      </c>
      <c r="C408" s="11" t="str">
        <f t="shared" si="20"/>
        <v>21時</v>
      </c>
      <c r="D408" s="10">
        <v>45613.833333333336</v>
      </c>
      <c r="E408">
        <v>0</v>
      </c>
      <c r="F408">
        <v>0.9</v>
      </c>
      <c r="G408">
        <v>0</v>
      </c>
      <c r="H408">
        <v>0.93</v>
      </c>
    </row>
    <row r="409" spans="1:8" x14ac:dyDescent="0.55000000000000004">
      <c r="A409" s="11" t="str">
        <f t="shared" si="18"/>
        <v>11月</v>
      </c>
      <c r="B409" s="11" t="str">
        <f t="shared" si="19"/>
        <v>11月17日</v>
      </c>
      <c r="C409" s="11" t="str">
        <f t="shared" si="20"/>
        <v>22時</v>
      </c>
      <c r="D409" s="10">
        <v>45613.875</v>
      </c>
      <c r="E409">
        <v>0</v>
      </c>
      <c r="F409">
        <v>0.49</v>
      </c>
      <c r="G409">
        <v>0</v>
      </c>
      <c r="H409">
        <v>0.52</v>
      </c>
    </row>
    <row r="410" spans="1:8" x14ac:dyDescent="0.55000000000000004">
      <c r="A410" s="11" t="str">
        <f t="shared" si="18"/>
        <v>11月</v>
      </c>
      <c r="B410" s="11" t="str">
        <f t="shared" si="19"/>
        <v>11月17日</v>
      </c>
      <c r="C410" s="11" t="str">
        <f t="shared" si="20"/>
        <v>23時</v>
      </c>
      <c r="D410" s="10">
        <v>45613.916666666664</v>
      </c>
      <c r="E410">
        <v>0</v>
      </c>
      <c r="F410">
        <v>0.42</v>
      </c>
      <c r="G410">
        <v>0</v>
      </c>
      <c r="H410">
        <v>0.45</v>
      </c>
    </row>
    <row r="411" spans="1:8" x14ac:dyDescent="0.55000000000000004">
      <c r="A411" s="11" t="str">
        <f t="shared" si="18"/>
        <v>11月</v>
      </c>
      <c r="B411" s="11" t="str">
        <f t="shared" si="19"/>
        <v>11月17日</v>
      </c>
      <c r="C411" s="11" t="str">
        <f t="shared" si="20"/>
        <v>24時</v>
      </c>
      <c r="D411" s="10">
        <v>45613.958333333336</v>
      </c>
      <c r="E411">
        <v>0</v>
      </c>
      <c r="F411">
        <v>0.41</v>
      </c>
      <c r="G411">
        <v>0</v>
      </c>
      <c r="H411">
        <v>0.44</v>
      </c>
    </row>
    <row r="412" spans="1:8" x14ac:dyDescent="0.55000000000000004">
      <c r="A412" s="11" t="str">
        <f t="shared" si="18"/>
        <v>11月</v>
      </c>
      <c r="B412" s="11" t="str">
        <f t="shared" si="19"/>
        <v>11月18日</v>
      </c>
      <c r="C412" s="11" t="str">
        <f t="shared" si="20"/>
        <v>1時</v>
      </c>
      <c r="D412" s="10">
        <v>45614</v>
      </c>
      <c r="E412">
        <v>0</v>
      </c>
      <c r="F412">
        <v>0.42</v>
      </c>
      <c r="G412">
        <v>0</v>
      </c>
      <c r="H412">
        <v>0.45</v>
      </c>
    </row>
    <row r="413" spans="1:8" x14ac:dyDescent="0.55000000000000004">
      <c r="A413" s="11" t="str">
        <f t="shared" si="18"/>
        <v>11月</v>
      </c>
      <c r="B413" s="11" t="str">
        <f t="shared" si="19"/>
        <v>11月18日</v>
      </c>
      <c r="C413" s="11" t="str">
        <f t="shared" si="20"/>
        <v>2時</v>
      </c>
      <c r="D413" s="10">
        <v>45614.041666666664</v>
      </c>
      <c r="E413">
        <v>0</v>
      </c>
      <c r="F413">
        <v>0.43</v>
      </c>
      <c r="G413">
        <v>0</v>
      </c>
      <c r="H413">
        <v>0.46</v>
      </c>
    </row>
    <row r="414" spans="1:8" x14ac:dyDescent="0.55000000000000004">
      <c r="A414" s="11" t="str">
        <f t="shared" si="18"/>
        <v>11月</v>
      </c>
      <c r="B414" s="11" t="str">
        <f t="shared" si="19"/>
        <v>11月18日</v>
      </c>
      <c r="C414" s="11" t="str">
        <f t="shared" si="20"/>
        <v>3時</v>
      </c>
      <c r="D414" s="10">
        <v>45614.083333333336</v>
      </c>
      <c r="E414">
        <v>0</v>
      </c>
      <c r="F414">
        <v>0.44</v>
      </c>
      <c r="G414">
        <v>0</v>
      </c>
      <c r="H414">
        <v>0.47</v>
      </c>
    </row>
    <row r="415" spans="1:8" x14ac:dyDescent="0.55000000000000004">
      <c r="A415" s="11" t="str">
        <f t="shared" si="18"/>
        <v>11月</v>
      </c>
      <c r="B415" s="11" t="str">
        <f t="shared" si="19"/>
        <v>11月18日</v>
      </c>
      <c r="C415" s="11" t="str">
        <f t="shared" si="20"/>
        <v>4時</v>
      </c>
      <c r="D415" s="10">
        <v>45614.125</v>
      </c>
      <c r="E415">
        <v>0</v>
      </c>
      <c r="F415">
        <v>0.44</v>
      </c>
      <c r="G415">
        <v>0</v>
      </c>
      <c r="H415">
        <v>0.47</v>
      </c>
    </row>
    <row r="416" spans="1:8" x14ac:dyDescent="0.55000000000000004">
      <c r="A416" s="11" t="str">
        <f t="shared" si="18"/>
        <v>11月</v>
      </c>
      <c r="B416" s="11" t="str">
        <f t="shared" si="19"/>
        <v>11月18日</v>
      </c>
      <c r="C416" s="11" t="str">
        <f t="shared" si="20"/>
        <v>5時</v>
      </c>
      <c r="D416" s="10">
        <v>45614.166666666664</v>
      </c>
      <c r="E416">
        <v>0</v>
      </c>
      <c r="F416">
        <v>0.65</v>
      </c>
      <c r="G416">
        <v>0</v>
      </c>
      <c r="H416">
        <v>0.68</v>
      </c>
    </row>
    <row r="417" spans="1:8" x14ac:dyDescent="0.55000000000000004">
      <c r="A417" s="11" t="str">
        <f t="shared" si="18"/>
        <v>11月</v>
      </c>
      <c r="B417" s="11" t="str">
        <f t="shared" si="19"/>
        <v>11月18日</v>
      </c>
      <c r="C417" s="11" t="str">
        <f t="shared" si="20"/>
        <v>6時</v>
      </c>
      <c r="D417" s="10">
        <v>45614.208333333336</v>
      </c>
      <c r="E417">
        <v>0</v>
      </c>
      <c r="F417">
        <v>1.19</v>
      </c>
      <c r="G417">
        <v>0</v>
      </c>
      <c r="H417">
        <v>1.23</v>
      </c>
    </row>
    <row r="418" spans="1:8" x14ac:dyDescent="0.55000000000000004">
      <c r="A418" s="11" t="str">
        <f t="shared" si="18"/>
        <v>11月</v>
      </c>
      <c r="B418" s="11" t="str">
        <f t="shared" si="19"/>
        <v>11月18日</v>
      </c>
      <c r="C418" s="11" t="str">
        <f t="shared" si="20"/>
        <v>7時</v>
      </c>
      <c r="D418" s="10">
        <v>45614.25</v>
      </c>
      <c r="E418">
        <v>0.05</v>
      </c>
      <c r="F418">
        <v>0.88</v>
      </c>
      <c r="G418">
        <v>0</v>
      </c>
      <c r="H418">
        <v>0.86</v>
      </c>
    </row>
    <row r="419" spans="1:8" x14ac:dyDescent="0.55000000000000004">
      <c r="A419" s="11" t="str">
        <f t="shared" si="18"/>
        <v>11月</v>
      </c>
      <c r="B419" s="11" t="str">
        <f t="shared" si="19"/>
        <v>11月18日</v>
      </c>
      <c r="C419" s="11" t="str">
        <f t="shared" si="20"/>
        <v>8時</v>
      </c>
      <c r="D419" s="10">
        <v>45614.291666666664</v>
      </c>
      <c r="E419">
        <v>0.54</v>
      </c>
      <c r="F419">
        <v>0.59</v>
      </c>
      <c r="G419">
        <v>0</v>
      </c>
      <c r="H419">
        <v>0.15</v>
      </c>
    </row>
    <row r="420" spans="1:8" x14ac:dyDescent="0.55000000000000004">
      <c r="A420" s="11" t="str">
        <f t="shared" si="18"/>
        <v>11月</v>
      </c>
      <c r="B420" s="11" t="str">
        <f t="shared" si="19"/>
        <v>11月18日</v>
      </c>
      <c r="C420" s="11" t="str">
        <f t="shared" si="20"/>
        <v>9時</v>
      </c>
      <c r="D420" s="10">
        <v>45614.333333333336</v>
      </c>
      <c r="E420">
        <v>0.67</v>
      </c>
      <c r="F420">
        <v>0.42</v>
      </c>
      <c r="G420">
        <v>0</v>
      </c>
      <c r="H420">
        <v>0</v>
      </c>
    </row>
    <row r="421" spans="1:8" x14ac:dyDescent="0.55000000000000004">
      <c r="A421" s="11" t="str">
        <f t="shared" si="18"/>
        <v>11月</v>
      </c>
      <c r="B421" s="11" t="str">
        <f t="shared" si="19"/>
        <v>11月18日</v>
      </c>
      <c r="C421" s="11" t="str">
        <f t="shared" si="20"/>
        <v>10時</v>
      </c>
      <c r="D421" s="10">
        <v>45614.375</v>
      </c>
      <c r="E421">
        <v>3.54</v>
      </c>
      <c r="F421">
        <v>0.47</v>
      </c>
      <c r="G421">
        <v>0.56999999999999995</v>
      </c>
      <c r="H421">
        <v>0.01</v>
      </c>
    </row>
    <row r="422" spans="1:8" x14ac:dyDescent="0.55000000000000004">
      <c r="A422" s="11" t="str">
        <f t="shared" si="18"/>
        <v>11月</v>
      </c>
      <c r="B422" s="11" t="str">
        <f t="shared" si="19"/>
        <v>11月18日</v>
      </c>
      <c r="C422" s="11" t="str">
        <f t="shared" si="20"/>
        <v>11時</v>
      </c>
      <c r="D422" s="10">
        <v>45614.416666666664</v>
      </c>
      <c r="E422">
        <v>6.3</v>
      </c>
      <c r="F422">
        <v>0.44</v>
      </c>
      <c r="G422">
        <v>1.83</v>
      </c>
      <c r="H422">
        <v>0</v>
      </c>
    </row>
    <row r="423" spans="1:8" x14ac:dyDescent="0.55000000000000004">
      <c r="A423" s="11" t="str">
        <f t="shared" si="18"/>
        <v>11月</v>
      </c>
      <c r="B423" s="11" t="str">
        <f t="shared" si="19"/>
        <v>11月18日</v>
      </c>
      <c r="C423" s="11" t="str">
        <f t="shared" si="20"/>
        <v>12時</v>
      </c>
      <c r="D423" s="10">
        <v>45614.458333333336</v>
      </c>
      <c r="E423">
        <v>3.23</v>
      </c>
      <c r="F423">
        <v>0.43</v>
      </c>
      <c r="G423">
        <v>2.76</v>
      </c>
      <c r="H423">
        <v>0</v>
      </c>
    </row>
    <row r="424" spans="1:8" x14ac:dyDescent="0.55000000000000004">
      <c r="A424" s="11" t="str">
        <f t="shared" si="18"/>
        <v>11月</v>
      </c>
      <c r="B424" s="11" t="str">
        <f t="shared" si="19"/>
        <v>11月18日</v>
      </c>
      <c r="C424" s="11" t="str">
        <f t="shared" si="20"/>
        <v>13時</v>
      </c>
      <c r="D424" s="10">
        <v>45614.5</v>
      </c>
      <c r="E424">
        <v>4.53</v>
      </c>
      <c r="F424">
        <v>0.71</v>
      </c>
      <c r="G424">
        <v>3.83</v>
      </c>
      <c r="H424">
        <v>0</v>
      </c>
    </row>
    <row r="425" spans="1:8" x14ac:dyDescent="0.55000000000000004">
      <c r="A425" s="11" t="str">
        <f t="shared" si="18"/>
        <v>11月</v>
      </c>
      <c r="B425" s="11" t="str">
        <f t="shared" si="19"/>
        <v>11月18日</v>
      </c>
      <c r="C425" s="11" t="str">
        <f t="shared" si="20"/>
        <v>14時</v>
      </c>
      <c r="D425" s="10">
        <v>45614.541666666664</v>
      </c>
      <c r="E425">
        <v>2.1800000000000002</v>
      </c>
      <c r="F425">
        <v>0.97</v>
      </c>
      <c r="G425">
        <v>1.36</v>
      </c>
      <c r="H425">
        <v>0</v>
      </c>
    </row>
    <row r="426" spans="1:8" x14ac:dyDescent="0.55000000000000004">
      <c r="A426" s="11" t="str">
        <f t="shared" si="18"/>
        <v>11月</v>
      </c>
      <c r="B426" s="11" t="str">
        <f t="shared" si="19"/>
        <v>11月18日</v>
      </c>
      <c r="C426" s="11" t="str">
        <f t="shared" si="20"/>
        <v>15時</v>
      </c>
      <c r="D426" s="10">
        <v>45614.583333333336</v>
      </c>
      <c r="E426">
        <v>1.68</v>
      </c>
      <c r="F426">
        <v>0.47</v>
      </c>
      <c r="G426">
        <v>1.21</v>
      </c>
      <c r="H426">
        <v>0</v>
      </c>
    </row>
    <row r="427" spans="1:8" x14ac:dyDescent="0.55000000000000004">
      <c r="A427" s="11" t="str">
        <f t="shared" si="18"/>
        <v>11月</v>
      </c>
      <c r="B427" s="11" t="str">
        <f t="shared" si="19"/>
        <v>11月18日</v>
      </c>
      <c r="C427" s="11" t="str">
        <f t="shared" si="20"/>
        <v>16時</v>
      </c>
      <c r="D427" s="10">
        <v>45614.625</v>
      </c>
      <c r="E427">
        <v>0.17</v>
      </c>
      <c r="F427">
        <v>0.46</v>
      </c>
      <c r="G427">
        <v>0.03</v>
      </c>
      <c r="H427">
        <v>0</v>
      </c>
    </row>
    <row r="428" spans="1:8" x14ac:dyDescent="0.55000000000000004">
      <c r="A428" s="11" t="str">
        <f t="shared" si="18"/>
        <v>11月</v>
      </c>
      <c r="B428" s="11" t="str">
        <f t="shared" si="19"/>
        <v>11月18日</v>
      </c>
      <c r="C428" s="11" t="str">
        <f t="shared" si="20"/>
        <v>17時</v>
      </c>
      <c r="D428" s="10">
        <v>45614.666666666664</v>
      </c>
      <c r="E428">
        <v>0</v>
      </c>
      <c r="F428">
        <v>1.54</v>
      </c>
      <c r="G428">
        <v>0</v>
      </c>
      <c r="H428">
        <v>0</v>
      </c>
    </row>
    <row r="429" spans="1:8" x14ac:dyDescent="0.55000000000000004">
      <c r="A429" s="11" t="str">
        <f t="shared" si="18"/>
        <v>11月</v>
      </c>
      <c r="B429" s="11" t="str">
        <f t="shared" si="19"/>
        <v>11月18日</v>
      </c>
      <c r="C429" s="11" t="str">
        <f t="shared" si="20"/>
        <v>18時</v>
      </c>
      <c r="D429" s="10">
        <v>45614.708333333336</v>
      </c>
      <c r="E429">
        <v>0</v>
      </c>
      <c r="F429">
        <v>2.39</v>
      </c>
      <c r="G429">
        <v>0</v>
      </c>
      <c r="H429">
        <v>0.01</v>
      </c>
    </row>
    <row r="430" spans="1:8" x14ac:dyDescent="0.55000000000000004">
      <c r="A430" s="11" t="str">
        <f t="shared" si="18"/>
        <v>11月</v>
      </c>
      <c r="B430" s="11" t="str">
        <f t="shared" si="19"/>
        <v>11月18日</v>
      </c>
      <c r="C430" s="11" t="str">
        <f t="shared" si="20"/>
        <v>19時</v>
      </c>
      <c r="D430" s="10">
        <v>45614.75</v>
      </c>
      <c r="E430">
        <v>0</v>
      </c>
      <c r="F430">
        <v>1.94</v>
      </c>
      <c r="G430">
        <v>0</v>
      </c>
      <c r="H430">
        <v>1.2</v>
      </c>
    </row>
    <row r="431" spans="1:8" x14ac:dyDescent="0.55000000000000004">
      <c r="A431" s="11" t="str">
        <f t="shared" si="18"/>
        <v>11月</v>
      </c>
      <c r="B431" s="11" t="str">
        <f t="shared" si="19"/>
        <v>11月18日</v>
      </c>
      <c r="C431" s="11" t="str">
        <f t="shared" si="20"/>
        <v>20時</v>
      </c>
      <c r="D431" s="10">
        <v>45614.791666666664</v>
      </c>
      <c r="E431">
        <v>0</v>
      </c>
      <c r="F431">
        <v>0.89</v>
      </c>
      <c r="G431">
        <v>0</v>
      </c>
      <c r="H431">
        <v>0.92</v>
      </c>
    </row>
    <row r="432" spans="1:8" x14ac:dyDescent="0.55000000000000004">
      <c r="A432" s="11" t="str">
        <f t="shared" si="18"/>
        <v>11月</v>
      </c>
      <c r="B432" s="11" t="str">
        <f t="shared" si="19"/>
        <v>11月18日</v>
      </c>
      <c r="C432" s="11" t="str">
        <f t="shared" si="20"/>
        <v>21時</v>
      </c>
      <c r="D432" s="10">
        <v>45614.833333333336</v>
      </c>
      <c r="E432">
        <v>0</v>
      </c>
      <c r="F432">
        <v>1.18</v>
      </c>
      <c r="G432">
        <v>0</v>
      </c>
      <c r="H432">
        <v>1.23</v>
      </c>
    </row>
    <row r="433" spans="1:8" x14ac:dyDescent="0.55000000000000004">
      <c r="A433" s="11" t="str">
        <f t="shared" si="18"/>
        <v>11月</v>
      </c>
      <c r="B433" s="11" t="str">
        <f t="shared" si="19"/>
        <v>11月18日</v>
      </c>
      <c r="C433" s="11" t="str">
        <f t="shared" si="20"/>
        <v>22時</v>
      </c>
      <c r="D433" s="10">
        <v>45614.875</v>
      </c>
      <c r="E433">
        <v>0</v>
      </c>
      <c r="F433">
        <v>0.6</v>
      </c>
      <c r="G433">
        <v>0</v>
      </c>
      <c r="H433">
        <v>0.64</v>
      </c>
    </row>
    <row r="434" spans="1:8" x14ac:dyDescent="0.55000000000000004">
      <c r="A434" s="11" t="str">
        <f t="shared" si="18"/>
        <v>11月</v>
      </c>
      <c r="B434" s="11" t="str">
        <f t="shared" si="19"/>
        <v>11月18日</v>
      </c>
      <c r="C434" s="11" t="str">
        <f t="shared" si="20"/>
        <v>23時</v>
      </c>
      <c r="D434" s="10">
        <v>45614.916666666664</v>
      </c>
      <c r="E434">
        <v>0</v>
      </c>
      <c r="F434">
        <v>0.49</v>
      </c>
      <c r="G434">
        <v>0</v>
      </c>
      <c r="H434">
        <v>0.52</v>
      </c>
    </row>
    <row r="435" spans="1:8" x14ac:dyDescent="0.55000000000000004">
      <c r="A435" s="11" t="str">
        <f t="shared" si="18"/>
        <v>11月</v>
      </c>
      <c r="B435" s="11" t="str">
        <f t="shared" si="19"/>
        <v>11月18日</v>
      </c>
      <c r="C435" s="11" t="str">
        <f t="shared" si="20"/>
        <v>24時</v>
      </c>
      <c r="D435" s="10">
        <v>45614.958333333336</v>
      </c>
      <c r="E435">
        <v>0</v>
      </c>
      <c r="F435">
        <v>0.54</v>
      </c>
      <c r="G435">
        <v>0</v>
      </c>
      <c r="H435">
        <v>0.57999999999999996</v>
      </c>
    </row>
    <row r="436" spans="1:8" x14ac:dyDescent="0.55000000000000004">
      <c r="A436" s="11" t="str">
        <f t="shared" si="18"/>
        <v>11月</v>
      </c>
      <c r="B436" s="11" t="str">
        <f t="shared" si="19"/>
        <v>11月19日</v>
      </c>
      <c r="C436" s="11" t="str">
        <f t="shared" si="20"/>
        <v>1時</v>
      </c>
      <c r="D436" s="10">
        <v>45615</v>
      </c>
      <c r="E436">
        <v>0</v>
      </c>
      <c r="F436">
        <v>0.61</v>
      </c>
      <c r="G436">
        <v>0</v>
      </c>
      <c r="H436">
        <v>0.65</v>
      </c>
    </row>
    <row r="437" spans="1:8" x14ac:dyDescent="0.55000000000000004">
      <c r="A437" s="11" t="str">
        <f t="shared" si="18"/>
        <v>11月</v>
      </c>
      <c r="B437" s="11" t="str">
        <f t="shared" si="19"/>
        <v>11月19日</v>
      </c>
      <c r="C437" s="11" t="str">
        <f t="shared" si="20"/>
        <v>2時</v>
      </c>
      <c r="D437" s="10">
        <v>45615.041666666664</v>
      </c>
      <c r="E437">
        <v>0</v>
      </c>
      <c r="F437">
        <v>0.57999999999999996</v>
      </c>
      <c r="G437">
        <v>0</v>
      </c>
      <c r="H437">
        <v>0.61</v>
      </c>
    </row>
    <row r="438" spans="1:8" x14ac:dyDescent="0.55000000000000004">
      <c r="A438" s="11" t="str">
        <f t="shared" si="18"/>
        <v>11月</v>
      </c>
      <c r="B438" s="11" t="str">
        <f t="shared" si="19"/>
        <v>11月19日</v>
      </c>
      <c r="C438" s="11" t="str">
        <f t="shared" si="20"/>
        <v>3時</v>
      </c>
      <c r="D438" s="10">
        <v>45615.083333333336</v>
      </c>
      <c r="E438">
        <v>0</v>
      </c>
      <c r="F438">
        <v>0.54</v>
      </c>
      <c r="G438">
        <v>0</v>
      </c>
      <c r="H438">
        <v>0.57999999999999996</v>
      </c>
    </row>
    <row r="439" spans="1:8" x14ac:dyDescent="0.55000000000000004">
      <c r="A439" s="11" t="str">
        <f t="shared" si="18"/>
        <v>11月</v>
      </c>
      <c r="B439" s="11" t="str">
        <f t="shared" si="19"/>
        <v>11月19日</v>
      </c>
      <c r="C439" s="11" t="str">
        <f t="shared" si="20"/>
        <v>4時</v>
      </c>
      <c r="D439" s="10">
        <v>45615.125</v>
      </c>
      <c r="E439">
        <v>0</v>
      </c>
      <c r="F439">
        <v>0.56999999999999995</v>
      </c>
      <c r="G439">
        <v>0</v>
      </c>
      <c r="H439">
        <v>0.61</v>
      </c>
    </row>
    <row r="440" spans="1:8" x14ac:dyDescent="0.55000000000000004">
      <c r="A440" s="11" t="str">
        <f t="shared" si="18"/>
        <v>11月</v>
      </c>
      <c r="B440" s="11" t="str">
        <f t="shared" si="19"/>
        <v>11月19日</v>
      </c>
      <c r="C440" s="11" t="str">
        <f t="shared" si="20"/>
        <v>5時</v>
      </c>
      <c r="D440" s="10">
        <v>45615.166666666664</v>
      </c>
      <c r="E440">
        <v>0</v>
      </c>
      <c r="F440">
        <v>0.7</v>
      </c>
      <c r="G440">
        <v>0</v>
      </c>
      <c r="H440">
        <v>0.74</v>
      </c>
    </row>
    <row r="441" spans="1:8" x14ac:dyDescent="0.55000000000000004">
      <c r="A441" s="11" t="str">
        <f t="shared" si="18"/>
        <v>11月</v>
      </c>
      <c r="B441" s="11" t="str">
        <f t="shared" si="19"/>
        <v>11月19日</v>
      </c>
      <c r="C441" s="11" t="str">
        <f t="shared" si="20"/>
        <v>6時</v>
      </c>
      <c r="D441" s="10">
        <v>45615.208333333336</v>
      </c>
      <c r="E441">
        <v>0</v>
      </c>
      <c r="F441">
        <v>0.7</v>
      </c>
      <c r="G441">
        <v>0</v>
      </c>
      <c r="H441">
        <v>0.74</v>
      </c>
    </row>
    <row r="442" spans="1:8" x14ac:dyDescent="0.55000000000000004">
      <c r="A442" s="11" t="str">
        <f t="shared" si="18"/>
        <v>11月</v>
      </c>
      <c r="B442" s="11" t="str">
        <f t="shared" si="19"/>
        <v>11月19日</v>
      </c>
      <c r="C442" s="11" t="str">
        <f t="shared" si="20"/>
        <v>7時</v>
      </c>
      <c r="D442" s="10">
        <v>45615.25</v>
      </c>
      <c r="E442">
        <v>0.06</v>
      </c>
      <c r="F442">
        <v>0.63</v>
      </c>
      <c r="G442">
        <v>0</v>
      </c>
      <c r="H442">
        <v>0.59</v>
      </c>
    </row>
    <row r="443" spans="1:8" x14ac:dyDescent="0.55000000000000004">
      <c r="A443" s="11" t="str">
        <f t="shared" si="18"/>
        <v>11月</v>
      </c>
      <c r="B443" s="11" t="str">
        <f t="shared" si="19"/>
        <v>11月19日</v>
      </c>
      <c r="C443" s="11" t="str">
        <f t="shared" si="20"/>
        <v>8時</v>
      </c>
      <c r="D443" s="10">
        <v>45615.291666666664</v>
      </c>
      <c r="E443">
        <v>0.69</v>
      </c>
      <c r="F443">
        <v>0.61</v>
      </c>
      <c r="G443">
        <v>0</v>
      </c>
      <c r="H443">
        <v>0.24</v>
      </c>
    </row>
    <row r="444" spans="1:8" x14ac:dyDescent="0.55000000000000004">
      <c r="A444" s="11" t="str">
        <f t="shared" si="18"/>
        <v>11月</v>
      </c>
      <c r="B444" s="11" t="str">
        <f t="shared" si="19"/>
        <v>11月19日</v>
      </c>
      <c r="C444" s="11" t="str">
        <f t="shared" si="20"/>
        <v>9時</v>
      </c>
      <c r="D444" s="10">
        <v>45615.333333333336</v>
      </c>
      <c r="E444">
        <v>1.71</v>
      </c>
      <c r="F444">
        <v>0.47</v>
      </c>
      <c r="G444">
        <v>0.13</v>
      </c>
      <c r="H444">
        <v>0.01</v>
      </c>
    </row>
    <row r="445" spans="1:8" x14ac:dyDescent="0.55000000000000004">
      <c r="A445" s="11" t="str">
        <f t="shared" si="18"/>
        <v>11月</v>
      </c>
      <c r="B445" s="11" t="str">
        <f t="shared" si="19"/>
        <v>11月19日</v>
      </c>
      <c r="C445" s="11" t="str">
        <f t="shared" si="20"/>
        <v>10時</v>
      </c>
      <c r="D445" s="10">
        <v>45615.375</v>
      </c>
      <c r="E445">
        <v>5.63</v>
      </c>
      <c r="F445">
        <v>0.49</v>
      </c>
      <c r="G445">
        <v>1.36</v>
      </c>
      <c r="H445">
        <v>0</v>
      </c>
    </row>
    <row r="446" spans="1:8" x14ac:dyDescent="0.55000000000000004">
      <c r="A446" s="11" t="str">
        <f t="shared" si="18"/>
        <v>11月</v>
      </c>
      <c r="B446" s="11" t="str">
        <f t="shared" si="19"/>
        <v>11月19日</v>
      </c>
      <c r="C446" s="11" t="str">
        <f t="shared" si="20"/>
        <v>11時</v>
      </c>
      <c r="D446" s="10">
        <v>45615.416666666664</v>
      </c>
      <c r="E446">
        <v>2.0499999999999998</v>
      </c>
      <c r="F446">
        <v>0.55000000000000004</v>
      </c>
      <c r="G446">
        <v>0.51</v>
      </c>
      <c r="H446">
        <v>0</v>
      </c>
    </row>
    <row r="447" spans="1:8" x14ac:dyDescent="0.55000000000000004">
      <c r="A447" s="11" t="str">
        <f t="shared" si="18"/>
        <v>11月</v>
      </c>
      <c r="B447" s="11" t="str">
        <f t="shared" si="19"/>
        <v>11月19日</v>
      </c>
      <c r="C447" s="11" t="str">
        <f t="shared" si="20"/>
        <v>12時</v>
      </c>
      <c r="D447" s="10">
        <v>45615.458333333336</v>
      </c>
      <c r="E447">
        <v>3.29</v>
      </c>
      <c r="F447">
        <v>0.51</v>
      </c>
      <c r="G447">
        <v>2.78</v>
      </c>
      <c r="H447">
        <v>0</v>
      </c>
    </row>
    <row r="448" spans="1:8" x14ac:dyDescent="0.55000000000000004">
      <c r="A448" s="11" t="str">
        <f t="shared" si="18"/>
        <v>11月</v>
      </c>
      <c r="B448" s="11" t="str">
        <f t="shared" si="19"/>
        <v>11月19日</v>
      </c>
      <c r="C448" s="11" t="str">
        <f t="shared" si="20"/>
        <v>13時</v>
      </c>
      <c r="D448" s="10">
        <v>45615.5</v>
      </c>
      <c r="E448">
        <v>5.21</v>
      </c>
      <c r="F448">
        <v>0.51</v>
      </c>
      <c r="G448">
        <v>4.7</v>
      </c>
      <c r="H448">
        <v>0</v>
      </c>
    </row>
    <row r="449" spans="1:8" x14ac:dyDescent="0.55000000000000004">
      <c r="A449" s="11" t="str">
        <f t="shared" si="18"/>
        <v>11月</v>
      </c>
      <c r="B449" s="11" t="str">
        <f t="shared" si="19"/>
        <v>11月19日</v>
      </c>
      <c r="C449" s="11" t="str">
        <f t="shared" si="20"/>
        <v>14時</v>
      </c>
      <c r="D449" s="10">
        <v>45615.541666666664</v>
      </c>
      <c r="E449">
        <v>5.57</v>
      </c>
      <c r="F449">
        <v>0.49</v>
      </c>
      <c r="G449">
        <v>5.08</v>
      </c>
      <c r="H449">
        <v>0</v>
      </c>
    </row>
    <row r="450" spans="1:8" x14ac:dyDescent="0.55000000000000004">
      <c r="A450" s="11" t="str">
        <f t="shared" si="18"/>
        <v>11月</v>
      </c>
      <c r="B450" s="11" t="str">
        <f t="shared" si="19"/>
        <v>11月19日</v>
      </c>
      <c r="C450" s="11" t="str">
        <f t="shared" si="20"/>
        <v>15時</v>
      </c>
      <c r="D450" s="10">
        <v>45615.583333333336</v>
      </c>
      <c r="E450">
        <v>3.77</v>
      </c>
      <c r="F450">
        <v>0.49</v>
      </c>
      <c r="G450">
        <v>3.28</v>
      </c>
      <c r="H450">
        <v>0</v>
      </c>
    </row>
    <row r="451" spans="1:8" x14ac:dyDescent="0.55000000000000004">
      <c r="A451" s="11" t="str">
        <f t="shared" si="18"/>
        <v>11月</v>
      </c>
      <c r="B451" s="11" t="str">
        <f t="shared" si="19"/>
        <v>11月19日</v>
      </c>
      <c r="C451" s="11" t="str">
        <f t="shared" si="20"/>
        <v>16時</v>
      </c>
      <c r="D451" s="10">
        <v>45615.625</v>
      </c>
      <c r="E451">
        <v>0.68</v>
      </c>
      <c r="F451">
        <v>1.26</v>
      </c>
      <c r="G451">
        <v>0.36</v>
      </c>
      <c r="H451">
        <v>0</v>
      </c>
    </row>
    <row r="452" spans="1:8" x14ac:dyDescent="0.55000000000000004">
      <c r="A452" s="11" t="str">
        <f t="shared" ref="A452:A515" si="21">MONTH(D452)&amp;"月"</f>
        <v>11月</v>
      </c>
      <c r="B452" s="11" t="str">
        <f t="shared" ref="B452:B515" si="22">A452&amp;DAY(D452)&amp;"日"</f>
        <v>11月19日</v>
      </c>
      <c r="C452" s="11" t="str">
        <f t="shared" ref="C452:C515" si="23">HOUR(D452)+1&amp;"時"</f>
        <v>17時</v>
      </c>
      <c r="D452" s="10">
        <v>45615.666666666664</v>
      </c>
      <c r="E452">
        <v>0.01</v>
      </c>
      <c r="F452">
        <v>2.5299999999999998</v>
      </c>
      <c r="G452">
        <v>0.01</v>
      </c>
      <c r="H452">
        <v>0.02</v>
      </c>
    </row>
    <row r="453" spans="1:8" x14ac:dyDescent="0.55000000000000004">
      <c r="A453" s="11" t="str">
        <f t="shared" si="21"/>
        <v>11月</v>
      </c>
      <c r="B453" s="11" t="str">
        <f t="shared" si="22"/>
        <v>11月19日</v>
      </c>
      <c r="C453" s="11" t="str">
        <f t="shared" si="23"/>
        <v>18時</v>
      </c>
      <c r="D453" s="10">
        <v>45615.708333333336</v>
      </c>
      <c r="E453">
        <v>0</v>
      </c>
      <c r="F453">
        <v>2.81</v>
      </c>
      <c r="G453">
        <v>0</v>
      </c>
      <c r="H453">
        <v>1.2</v>
      </c>
    </row>
    <row r="454" spans="1:8" x14ac:dyDescent="0.55000000000000004">
      <c r="A454" s="11" t="str">
        <f t="shared" si="21"/>
        <v>11月</v>
      </c>
      <c r="B454" s="11" t="str">
        <f t="shared" si="22"/>
        <v>11月19日</v>
      </c>
      <c r="C454" s="11" t="str">
        <f t="shared" si="23"/>
        <v>19時</v>
      </c>
      <c r="D454" s="10">
        <v>45615.75</v>
      </c>
      <c r="E454">
        <v>0</v>
      </c>
      <c r="F454">
        <v>3.49</v>
      </c>
      <c r="G454">
        <v>0</v>
      </c>
      <c r="H454">
        <v>3.52</v>
      </c>
    </row>
    <row r="455" spans="1:8" x14ac:dyDescent="0.55000000000000004">
      <c r="A455" s="11" t="str">
        <f t="shared" si="21"/>
        <v>11月</v>
      </c>
      <c r="B455" s="11" t="str">
        <f t="shared" si="22"/>
        <v>11月19日</v>
      </c>
      <c r="C455" s="11" t="str">
        <f t="shared" si="23"/>
        <v>20時</v>
      </c>
      <c r="D455" s="10">
        <v>45615.791666666664</v>
      </c>
      <c r="E455">
        <v>0</v>
      </c>
      <c r="F455">
        <v>2.04</v>
      </c>
      <c r="G455">
        <v>0</v>
      </c>
      <c r="H455">
        <v>2.0699999999999998</v>
      </c>
    </row>
    <row r="456" spans="1:8" x14ac:dyDescent="0.55000000000000004">
      <c r="A456" s="11" t="str">
        <f t="shared" si="21"/>
        <v>11月</v>
      </c>
      <c r="B456" s="11" t="str">
        <f t="shared" si="22"/>
        <v>11月19日</v>
      </c>
      <c r="C456" s="11" t="str">
        <f t="shared" si="23"/>
        <v>21時</v>
      </c>
      <c r="D456" s="10">
        <v>45615.833333333336</v>
      </c>
      <c r="E456">
        <v>0</v>
      </c>
      <c r="F456">
        <v>1.23</v>
      </c>
      <c r="G456">
        <v>0</v>
      </c>
      <c r="H456">
        <v>1.26</v>
      </c>
    </row>
    <row r="457" spans="1:8" x14ac:dyDescent="0.55000000000000004">
      <c r="A457" s="11" t="str">
        <f t="shared" si="21"/>
        <v>11月</v>
      </c>
      <c r="B457" s="11" t="str">
        <f t="shared" si="22"/>
        <v>11月19日</v>
      </c>
      <c r="C457" s="11" t="str">
        <f t="shared" si="23"/>
        <v>22時</v>
      </c>
      <c r="D457" s="10">
        <v>45615.875</v>
      </c>
      <c r="E457">
        <v>0</v>
      </c>
      <c r="F457">
        <v>0.98</v>
      </c>
      <c r="G457">
        <v>0</v>
      </c>
      <c r="H457">
        <v>1.01</v>
      </c>
    </row>
    <row r="458" spans="1:8" x14ac:dyDescent="0.55000000000000004">
      <c r="A458" s="11" t="str">
        <f t="shared" si="21"/>
        <v>11月</v>
      </c>
      <c r="B458" s="11" t="str">
        <f t="shared" si="22"/>
        <v>11月19日</v>
      </c>
      <c r="C458" s="11" t="str">
        <f t="shared" si="23"/>
        <v>23時</v>
      </c>
      <c r="D458" s="10">
        <v>45615.916666666664</v>
      </c>
      <c r="E458">
        <v>0</v>
      </c>
      <c r="F458">
        <v>0.6</v>
      </c>
      <c r="G458">
        <v>0</v>
      </c>
      <c r="H458">
        <v>0.63</v>
      </c>
    </row>
    <row r="459" spans="1:8" x14ac:dyDescent="0.55000000000000004">
      <c r="A459" s="11" t="str">
        <f t="shared" si="21"/>
        <v>11月</v>
      </c>
      <c r="B459" s="11" t="str">
        <f t="shared" si="22"/>
        <v>11月19日</v>
      </c>
      <c r="C459" s="11" t="str">
        <f t="shared" si="23"/>
        <v>24時</v>
      </c>
      <c r="D459" s="10">
        <v>45615.958333333336</v>
      </c>
      <c r="E459">
        <v>0</v>
      </c>
      <c r="F459">
        <v>0.68</v>
      </c>
      <c r="G459">
        <v>0</v>
      </c>
      <c r="H459">
        <v>0.7</v>
      </c>
    </row>
    <row r="460" spans="1:8" x14ac:dyDescent="0.55000000000000004">
      <c r="A460" s="11" t="str">
        <f t="shared" si="21"/>
        <v>11月</v>
      </c>
      <c r="B460" s="11" t="str">
        <f t="shared" si="22"/>
        <v>11月20日</v>
      </c>
      <c r="C460" s="11" t="str">
        <f t="shared" si="23"/>
        <v>1時</v>
      </c>
      <c r="D460" s="10">
        <v>45616</v>
      </c>
      <c r="E460">
        <v>0</v>
      </c>
      <c r="F460">
        <v>0.63</v>
      </c>
      <c r="G460">
        <v>0</v>
      </c>
      <c r="H460">
        <v>0.67</v>
      </c>
    </row>
    <row r="461" spans="1:8" x14ac:dyDescent="0.55000000000000004">
      <c r="A461" s="11" t="str">
        <f t="shared" si="21"/>
        <v>11月</v>
      </c>
      <c r="B461" s="11" t="str">
        <f t="shared" si="22"/>
        <v>11月20日</v>
      </c>
      <c r="C461" s="11" t="str">
        <f t="shared" si="23"/>
        <v>2時</v>
      </c>
      <c r="D461" s="10">
        <v>45616.041666666664</v>
      </c>
      <c r="E461">
        <v>0</v>
      </c>
      <c r="F461">
        <v>0.6</v>
      </c>
      <c r="G461">
        <v>0</v>
      </c>
      <c r="H461">
        <v>0.64</v>
      </c>
    </row>
    <row r="462" spans="1:8" x14ac:dyDescent="0.55000000000000004">
      <c r="A462" s="11" t="str">
        <f t="shared" si="21"/>
        <v>11月</v>
      </c>
      <c r="B462" s="11" t="str">
        <f t="shared" si="22"/>
        <v>11月20日</v>
      </c>
      <c r="C462" s="11" t="str">
        <f t="shared" si="23"/>
        <v>3時</v>
      </c>
      <c r="D462" s="10">
        <v>45616.083333333336</v>
      </c>
      <c r="E462">
        <v>0</v>
      </c>
      <c r="F462">
        <v>0.78</v>
      </c>
      <c r="G462">
        <v>0</v>
      </c>
      <c r="H462">
        <v>0.81</v>
      </c>
    </row>
    <row r="463" spans="1:8" x14ac:dyDescent="0.55000000000000004">
      <c r="A463" s="11" t="str">
        <f t="shared" si="21"/>
        <v>11月</v>
      </c>
      <c r="B463" s="11" t="str">
        <f t="shared" si="22"/>
        <v>11月20日</v>
      </c>
      <c r="C463" s="11" t="str">
        <f t="shared" si="23"/>
        <v>4時</v>
      </c>
      <c r="D463" s="10">
        <v>45616.125</v>
      </c>
      <c r="E463">
        <v>0</v>
      </c>
      <c r="F463">
        <v>0.95</v>
      </c>
      <c r="G463">
        <v>0</v>
      </c>
      <c r="H463">
        <v>0.98</v>
      </c>
    </row>
    <row r="464" spans="1:8" x14ac:dyDescent="0.55000000000000004">
      <c r="A464" s="11" t="str">
        <f t="shared" si="21"/>
        <v>11月</v>
      </c>
      <c r="B464" s="11" t="str">
        <f t="shared" si="22"/>
        <v>11月20日</v>
      </c>
      <c r="C464" s="11" t="str">
        <f t="shared" si="23"/>
        <v>5時</v>
      </c>
      <c r="D464" s="10">
        <v>45616.166666666664</v>
      </c>
      <c r="E464">
        <v>0</v>
      </c>
      <c r="F464">
        <v>0.63</v>
      </c>
      <c r="G464">
        <v>0</v>
      </c>
      <c r="H464">
        <v>0.67</v>
      </c>
    </row>
    <row r="465" spans="1:8" x14ac:dyDescent="0.55000000000000004">
      <c r="A465" s="11" t="str">
        <f t="shared" si="21"/>
        <v>11月</v>
      </c>
      <c r="B465" s="11" t="str">
        <f t="shared" si="22"/>
        <v>11月20日</v>
      </c>
      <c r="C465" s="11" t="str">
        <f t="shared" si="23"/>
        <v>6時</v>
      </c>
      <c r="D465" s="10">
        <v>45616.208333333336</v>
      </c>
      <c r="E465">
        <v>0</v>
      </c>
      <c r="F465">
        <v>0.97</v>
      </c>
      <c r="G465">
        <v>0</v>
      </c>
      <c r="H465">
        <v>1</v>
      </c>
    </row>
    <row r="466" spans="1:8" x14ac:dyDescent="0.55000000000000004">
      <c r="A466" s="11" t="str">
        <f t="shared" si="21"/>
        <v>11月</v>
      </c>
      <c r="B466" s="11" t="str">
        <f t="shared" si="22"/>
        <v>11月20日</v>
      </c>
      <c r="C466" s="11" t="str">
        <f t="shared" si="23"/>
        <v>7時</v>
      </c>
      <c r="D466" s="10">
        <v>45616.25</v>
      </c>
      <c r="E466">
        <v>0.06</v>
      </c>
      <c r="F466">
        <v>0.92</v>
      </c>
      <c r="G466">
        <v>0</v>
      </c>
      <c r="H466">
        <v>0.88</v>
      </c>
    </row>
    <row r="467" spans="1:8" x14ac:dyDescent="0.55000000000000004">
      <c r="A467" s="11" t="str">
        <f t="shared" si="21"/>
        <v>11月</v>
      </c>
      <c r="B467" s="11" t="str">
        <f t="shared" si="22"/>
        <v>11月20日</v>
      </c>
      <c r="C467" s="11" t="str">
        <f t="shared" si="23"/>
        <v>8時</v>
      </c>
      <c r="D467" s="10">
        <v>45616.291666666664</v>
      </c>
      <c r="E467">
        <v>0.92</v>
      </c>
      <c r="F467">
        <v>0.99</v>
      </c>
      <c r="G467">
        <v>0</v>
      </c>
      <c r="H467">
        <v>0.17</v>
      </c>
    </row>
    <row r="468" spans="1:8" x14ac:dyDescent="0.55000000000000004">
      <c r="A468" s="11" t="str">
        <f t="shared" si="21"/>
        <v>11月</v>
      </c>
      <c r="B468" s="11" t="str">
        <f t="shared" si="22"/>
        <v>11月20日</v>
      </c>
      <c r="C468" s="11" t="str">
        <f t="shared" si="23"/>
        <v>9時</v>
      </c>
      <c r="D468" s="10">
        <v>45616.333333333336</v>
      </c>
      <c r="E468">
        <v>2.84</v>
      </c>
      <c r="F468">
        <v>0.52</v>
      </c>
      <c r="G468">
        <v>0.64</v>
      </c>
      <c r="H468">
        <v>0</v>
      </c>
    </row>
    <row r="469" spans="1:8" x14ac:dyDescent="0.55000000000000004">
      <c r="A469" s="11" t="str">
        <f t="shared" si="21"/>
        <v>11月</v>
      </c>
      <c r="B469" s="11" t="str">
        <f t="shared" si="22"/>
        <v>11月20日</v>
      </c>
      <c r="C469" s="11" t="str">
        <f t="shared" si="23"/>
        <v>10時</v>
      </c>
      <c r="D469" s="10">
        <v>45616.375</v>
      </c>
      <c r="E469">
        <v>4.78</v>
      </c>
      <c r="F469">
        <v>0.51</v>
      </c>
      <c r="G469">
        <v>0.34</v>
      </c>
      <c r="H469">
        <v>0</v>
      </c>
    </row>
    <row r="470" spans="1:8" x14ac:dyDescent="0.55000000000000004">
      <c r="A470" s="11" t="str">
        <f t="shared" si="21"/>
        <v>11月</v>
      </c>
      <c r="B470" s="11" t="str">
        <f t="shared" si="22"/>
        <v>11月20日</v>
      </c>
      <c r="C470" s="11" t="str">
        <f t="shared" si="23"/>
        <v>11時</v>
      </c>
      <c r="D470" s="10">
        <v>45616.416666666664</v>
      </c>
      <c r="E470">
        <v>5.24</v>
      </c>
      <c r="F470">
        <v>0.5</v>
      </c>
      <c r="G470">
        <v>4.2300000000000004</v>
      </c>
      <c r="H470">
        <v>0</v>
      </c>
    </row>
    <row r="471" spans="1:8" x14ac:dyDescent="0.55000000000000004">
      <c r="A471" s="11" t="str">
        <f t="shared" si="21"/>
        <v>11月</v>
      </c>
      <c r="B471" s="11" t="str">
        <f t="shared" si="22"/>
        <v>11月20日</v>
      </c>
      <c r="C471" s="11" t="str">
        <f t="shared" si="23"/>
        <v>12時</v>
      </c>
      <c r="D471" s="10">
        <v>45616.458333333336</v>
      </c>
      <c r="E471">
        <v>5.47</v>
      </c>
      <c r="F471">
        <v>0.66</v>
      </c>
      <c r="G471">
        <v>4.82</v>
      </c>
      <c r="H471">
        <v>0</v>
      </c>
    </row>
    <row r="472" spans="1:8" x14ac:dyDescent="0.55000000000000004">
      <c r="A472" s="11" t="str">
        <f t="shared" si="21"/>
        <v>11月</v>
      </c>
      <c r="B472" s="11" t="str">
        <f t="shared" si="22"/>
        <v>11月20日</v>
      </c>
      <c r="C472" s="11" t="str">
        <f t="shared" si="23"/>
        <v>13時</v>
      </c>
      <c r="D472" s="10">
        <v>45616.5</v>
      </c>
      <c r="E472">
        <v>5.42</v>
      </c>
      <c r="F472">
        <v>0.48</v>
      </c>
      <c r="G472">
        <v>4.9400000000000004</v>
      </c>
      <c r="H472">
        <v>0</v>
      </c>
    </row>
    <row r="473" spans="1:8" x14ac:dyDescent="0.55000000000000004">
      <c r="A473" s="11" t="str">
        <f t="shared" si="21"/>
        <v>11月</v>
      </c>
      <c r="B473" s="11" t="str">
        <f t="shared" si="22"/>
        <v>11月20日</v>
      </c>
      <c r="C473" s="11" t="str">
        <f t="shared" si="23"/>
        <v>14時</v>
      </c>
      <c r="D473" s="10">
        <v>45616.541666666664</v>
      </c>
      <c r="E473">
        <v>4.57</v>
      </c>
      <c r="F473">
        <v>0.51</v>
      </c>
      <c r="G473">
        <v>4.0599999999999996</v>
      </c>
      <c r="H473">
        <v>0</v>
      </c>
    </row>
    <row r="474" spans="1:8" x14ac:dyDescent="0.55000000000000004">
      <c r="A474" s="11" t="str">
        <f t="shared" si="21"/>
        <v>11月</v>
      </c>
      <c r="B474" s="11" t="str">
        <f t="shared" si="22"/>
        <v>11月20日</v>
      </c>
      <c r="C474" s="11" t="str">
        <f t="shared" si="23"/>
        <v>15時</v>
      </c>
      <c r="D474" s="10">
        <v>45616.583333333336</v>
      </c>
      <c r="E474">
        <v>2.85</v>
      </c>
      <c r="F474">
        <v>0.49</v>
      </c>
      <c r="G474">
        <v>2.36</v>
      </c>
      <c r="H474">
        <v>0</v>
      </c>
    </row>
    <row r="475" spans="1:8" x14ac:dyDescent="0.55000000000000004">
      <c r="A475" s="11" t="str">
        <f t="shared" si="21"/>
        <v>11月</v>
      </c>
      <c r="B475" s="11" t="str">
        <f t="shared" si="22"/>
        <v>11月20日</v>
      </c>
      <c r="C475" s="11" t="str">
        <f t="shared" si="23"/>
        <v>16時</v>
      </c>
      <c r="D475" s="10">
        <v>45616.625</v>
      </c>
      <c r="E475">
        <v>0.64</v>
      </c>
      <c r="F475">
        <v>1.24</v>
      </c>
      <c r="G475">
        <v>0.25</v>
      </c>
      <c r="H475">
        <v>0</v>
      </c>
    </row>
    <row r="476" spans="1:8" x14ac:dyDescent="0.55000000000000004">
      <c r="A476" s="11" t="str">
        <f t="shared" si="21"/>
        <v>11月</v>
      </c>
      <c r="B476" s="11" t="str">
        <f t="shared" si="22"/>
        <v>11月20日</v>
      </c>
      <c r="C476" s="11" t="str">
        <f t="shared" si="23"/>
        <v>17時</v>
      </c>
      <c r="D476" s="10">
        <v>45616.666666666664</v>
      </c>
      <c r="E476">
        <v>0</v>
      </c>
      <c r="F476">
        <v>1.1599999999999999</v>
      </c>
      <c r="G476">
        <v>0.01</v>
      </c>
      <c r="H476">
        <v>0.01</v>
      </c>
    </row>
    <row r="477" spans="1:8" x14ac:dyDescent="0.55000000000000004">
      <c r="A477" s="11" t="str">
        <f t="shared" si="21"/>
        <v>11月</v>
      </c>
      <c r="B477" s="11" t="str">
        <f t="shared" si="22"/>
        <v>11月20日</v>
      </c>
      <c r="C477" s="11" t="str">
        <f t="shared" si="23"/>
        <v>18時</v>
      </c>
      <c r="D477" s="10">
        <v>45616.708333333336</v>
      </c>
      <c r="E477">
        <v>0</v>
      </c>
      <c r="F477">
        <v>2.86</v>
      </c>
      <c r="G477">
        <v>0.01</v>
      </c>
      <c r="H477">
        <v>0.06</v>
      </c>
    </row>
    <row r="478" spans="1:8" x14ac:dyDescent="0.55000000000000004">
      <c r="A478" s="11" t="str">
        <f t="shared" si="21"/>
        <v>11月</v>
      </c>
      <c r="B478" s="11" t="str">
        <f t="shared" si="22"/>
        <v>11月20日</v>
      </c>
      <c r="C478" s="11" t="str">
        <f t="shared" si="23"/>
        <v>19時</v>
      </c>
      <c r="D478" s="10">
        <v>45616.75</v>
      </c>
      <c r="E478">
        <v>0</v>
      </c>
      <c r="F478">
        <v>2.95</v>
      </c>
      <c r="G478">
        <v>0</v>
      </c>
      <c r="H478">
        <v>2.82</v>
      </c>
    </row>
    <row r="479" spans="1:8" x14ac:dyDescent="0.55000000000000004">
      <c r="A479" s="11" t="str">
        <f t="shared" si="21"/>
        <v>11月</v>
      </c>
      <c r="B479" s="11" t="str">
        <f t="shared" si="22"/>
        <v>11月20日</v>
      </c>
      <c r="C479" s="11" t="str">
        <f t="shared" si="23"/>
        <v>20時</v>
      </c>
      <c r="D479" s="10">
        <v>45616.791666666664</v>
      </c>
      <c r="E479">
        <v>0</v>
      </c>
      <c r="F479">
        <v>1.95</v>
      </c>
      <c r="G479">
        <v>0</v>
      </c>
      <c r="H479">
        <v>1.98</v>
      </c>
    </row>
    <row r="480" spans="1:8" x14ac:dyDescent="0.55000000000000004">
      <c r="A480" s="11" t="str">
        <f t="shared" si="21"/>
        <v>11月</v>
      </c>
      <c r="B480" s="11" t="str">
        <f t="shared" si="22"/>
        <v>11月20日</v>
      </c>
      <c r="C480" s="11" t="str">
        <f t="shared" si="23"/>
        <v>21時</v>
      </c>
      <c r="D480" s="10">
        <v>45616.833333333336</v>
      </c>
      <c r="E480">
        <v>0</v>
      </c>
      <c r="F480">
        <v>0.86</v>
      </c>
      <c r="G480">
        <v>0</v>
      </c>
      <c r="H480">
        <v>0.89</v>
      </c>
    </row>
    <row r="481" spans="1:8" x14ac:dyDescent="0.55000000000000004">
      <c r="A481" s="11" t="str">
        <f t="shared" si="21"/>
        <v>11月</v>
      </c>
      <c r="B481" s="11" t="str">
        <f t="shared" si="22"/>
        <v>11月20日</v>
      </c>
      <c r="C481" s="11" t="str">
        <f t="shared" si="23"/>
        <v>22時</v>
      </c>
      <c r="D481" s="10">
        <v>45616.875</v>
      </c>
      <c r="E481">
        <v>0</v>
      </c>
      <c r="F481">
        <v>0.93</v>
      </c>
      <c r="G481">
        <v>0</v>
      </c>
      <c r="H481">
        <v>0.96</v>
      </c>
    </row>
    <row r="482" spans="1:8" x14ac:dyDescent="0.55000000000000004">
      <c r="A482" s="11" t="str">
        <f t="shared" si="21"/>
        <v>11月</v>
      </c>
      <c r="B482" s="11" t="str">
        <f t="shared" si="22"/>
        <v>11月20日</v>
      </c>
      <c r="C482" s="11" t="str">
        <f t="shared" si="23"/>
        <v>23時</v>
      </c>
      <c r="D482" s="10">
        <v>45616.916666666664</v>
      </c>
      <c r="E482">
        <v>0</v>
      </c>
      <c r="F482">
        <v>0.62</v>
      </c>
      <c r="G482">
        <v>0</v>
      </c>
      <c r="H482">
        <v>0.65</v>
      </c>
    </row>
    <row r="483" spans="1:8" x14ac:dyDescent="0.55000000000000004">
      <c r="A483" s="11" t="str">
        <f t="shared" si="21"/>
        <v>11月</v>
      </c>
      <c r="B483" s="11" t="str">
        <f t="shared" si="22"/>
        <v>11月20日</v>
      </c>
      <c r="C483" s="11" t="str">
        <f t="shared" si="23"/>
        <v>24時</v>
      </c>
      <c r="D483" s="10">
        <v>45616.958333333336</v>
      </c>
      <c r="E483">
        <v>0</v>
      </c>
      <c r="F483">
        <v>0.52</v>
      </c>
      <c r="G483">
        <v>0</v>
      </c>
      <c r="H483">
        <v>0.55000000000000004</v>
      </c>
    </row>
    <row r="484" spans="1:8" x14ac:dyDescent="0.55000000000000004">
      <c r="A484" s="11" t="str">
        <f t="shared" si="21"/>
        <v>11月</v>
      </c>
      <c r="B484" s="11" t="str">
        <f t="shared" si="22"/>
        <v>11月21日</v>
      </c>
      <c r="C484" s="11" t="str">
        <f t="shared" si="23"/>
        <v>1時</v>
      </c>
      <c r="D484" s="10">
        <v>45617</v>
      </c>
      <c r="E484">
        <v>0</v>
      </c>
      <c r="F484">
        <v>0.54</v>
      </c>
      <c r="G484">
        <v>0</v>
      </c>
      <c r="H484">
        <v>0.56999999999999995</v>
      </c>
    </row>
    <row r="485" spans="1:8" x14ac:dyDescent="0.55000000000000004">
      <c r="A485" s="11" t="str">
        <f t="shared" si="21"/>
        <v>11月</v>
      </c>
      <c r="B485" s="11" t="str">
        <f t="shared" si="22"/>
        <v>11月21日</v>
      </c>
      <c r="C485" s="11" t="str">
        <f t="shared" si="23"/>
        <v>2時</v>
      </c>
      <c r="D485" s="10">
        <v>45617.041666666664</v>
      </c>
      <c r="E485">
        <v>0</v>
      </c>
      <c r="F485">
        <v>0.74</v>
      </c>
      <c r="G485">
        <v>0</v>
      </c>
      <c r="H485">
        <v>0.77</v>
      </c>
    </row>
    <row r="486" spans="1:8" x14ac:dyDescent="0.55000000000000004">
      <c r="A486" s="11" t="str">
        <f t="shared" si="21"/>
        <v>11月</v>
      </c>
      <c r="B486" s="11" t="str">
        <f t="shared" si="22"/>
        <v>11月21日</v>
      </c>
      <c r="C486" s="11" t="str">
        <f t="shared" si="23"/>
        <v>3時</v>
      </c>
      <c r="D486" s="10">
        <v>45617.083333333336</v>
      </c>
      <c r="E486">
        <v>0</v>
      </c>
      <c r="F486">
        <v>0.5</v>
      </c>
      <c r="G486">
        <v>0</v>
      </c>
      <c r="H486">
        <v>0.52</v>
      </c>
    </row>
    <row r="487" spans="1:8" x14ac:dyDescent="0.55000000000000004">
      <c r="A487" s="11" t="str">
        <f t="shared" si="21"/>
        <v>11月</v>
      </c>
      <c r="B487" s="11" t="str">
        <f t="shared" si="22"/>
        <v>11月21日</v>
      </c>
      <c r="C487" s="11" t="str">
        <f t="shared" si="23"/>
        <v>4時</v>
      </c>
      <c r="D487" s="10">
        <v>45617.125</v>
      </c>
      <c r="E487">
        <v>0</v>
      </c>
      <c r="F487">
        <v>0.57999999999999996</v>
      </c>
      <c r="G487">
        <v>0</v>
      </c>
      <c r="H487">
        <v>0.61</v>
      </c>
    </row>
    <row r="488" spans="1:8" x14ac:dyDescent="0.55000000000000004">
      <c r="A488" s="11" t="str">
        <f t="shared" si="21"/>
        <v>11月</v>
      </c>
      <c r="B488" s="11" t="str">
        <f t="shared" si="22"/>
        <v>11月21日</v>
      </c>
      <c r="C488" s="11" t="str">
        <f t="shared" si="23"/>
        <v>5時</v>
      </c>
      <c r="D488" s="10">
        <v>45617.166666666664</v>
      </c>
      <c r="E488">
        <v>0</v>
      </c>
      <c r="F488">
        <v>0.92</v>
      </c>
      <c r="G488">
        <v>0</v>
      </c>
      <c r="H488">
        <v>0.97</v>
      </c>
    </row>
    <row r="489" spans="1:8" x14ac:dyDescent="0.55000000000000004">
      <c r="A489" s="11" t="str">
        <f t="shared" si="21"/>
        <v>11月</v>
      </c>
      <c r="B489" s="11" t="str">
        <f t="shared" si="22"/>
        <v>11月21日</v>
      </c>
      <c r="C489" s="11" t="str">
        <f t="shared" si="23"/>
        <v>6時</v>
      </c>
      <c r="D489" s="10">
        <v>45617.208333333336</v>
      </c>
      <c r="E489">
        <v>0</v>
      </c>
      <c r="F489">
        <v>0.67</v>
      </c>
      <c r="G489">
        <v>0</v>
      </c>
      <c r="H489">
        <v>0.7</v>
      </c>
    </row>
    <row r="490" spans="1:8" x14ac:dyDescent="0.55000000000000004">
      <c r="A490" s="11" t="str">
        <f t="shared" si="21"/>
        <v>11月</v>
      </c>
      <c r="B490" s="11" t="str">
        <f t="shared" si="22"/>
        <v>11月21日</v>
      </c>
      <c r="C490" s="11" t="str">
        <f t="shared" si="23"/>
        <v>7時</v>
      </c>
      <c r="D490" s="10">
        <v>45617.25</v>
      </c>
      <c r="E490">
        <v>0.03</v>
      </c>
      <c r="F490">
        <v>1.1499999999999999</v>
      </c>
      <c r="G490">
        <v>0</v>
      </c>
      <c r="H490">
        <v>1.1399999999999999</v>
      </c>
    </row>
    <row r="491" spans="1:8" x14ac:dyDescent="0.55000000000000004">
      <c r="A491" s="11" t="str">
        <f t="shared" si="21"/>
        <v>11月</v>
      </c>
      <c r="B491" s="11" t="str">
        <f t="shared" si="22"/>
        <v>11月21日</v>
      </c>
      <c r="C491" s="11" t="str">
        <f t="shared" si="23"/>
        <v>8時</v>
      </c>
      <c r="D491" s="10">
        <v>45617.291666666664</v>
      </c>
      <c r="E491">
        <v>1.04</v>
      </c>
      <c r="F491">
        <v>0.81</v>
      </c>
      <c r="G491">
        <v>0</v>
      </c>
      <c r="H491">
        <v>0.31</v>
      </c>
    </row>
    <row r="492" spans="1:8" x14ac:dyDescent="0.55000000000000004">
      <c r="A492" s="11" t="str">
        <f t="shared" si="21"/>
        <v>11月</v>
      </c>
      <c r="B492" s="11" t="str">
        <f t="shared" si="22"/>
        <v>11月21日</v>
      </c>
      <c r="C492" s="11" t="str">
        <f t="shared" si="23"/>
        <v>9時</v>
      </c>
      <c r="D492" s="10">
        <v>45617.333333333336</v>
      </c>
      <c r="E492">
        <v>3.37</v>
      </c>
      <c r="F492">
        <v>0.54</v>
      </c>
      <c r="G492">
        <v>0.02</v>
      </c>
      <c r="H492">
        <v>0</v>
      </c>
    </row>
    <row r="493" spans="1:8" x14ac:dyDescent="0.55000000000000004">
      <c r="A493" s="11" t="str">
        <f t="shared" si="21"/>
        <v>11月</v>
      </c>
      <c r="B493" s="11" t="str">
        <f t="shared" si="22"/>
        <v>11月21日</v>
      </c>
      <c r="C493" s="11" t="str">
        <f t="shared" si="23"/>
        <v>10時</v>
      </c>
      <c r="D493" s="10">
        <v>45617.375</v>
      </c>
      <c r="E493">
        <v>5.04</v>
      </c>
      <c r="F493">
        <v>0.49</v>
      </c>
      <c r="G493">
        <v>1.75</v>
      </c>
      <c r="H493">
        <v>0</v>
      </c>
    </row>
    <row r="494" spans="1:8" x14ac:dyDescent="0.55000000000000004">
      <c r="A494" s="11" t="str">
        <f t="shared" si="21"/>
        <v>11月</v>
      </c>
      <c r="B494" s="11" t="str">
        <f t="shared" si="22"/>
        <v>11月21日</v>
      </c>
      <c r="C494" s="11" t="str">
        <f t="shared" si="23"/>
        <v>11時</v>
      </c>
      <c r="D494" s="10">
        <v>45617.416666666664</v>
      </c>
      <c r="E494">
        <v>5.29</v>
      </c>
      <c r="F494">
        <v>0.48</v>
      </c>
      <c r="G494">
        <v>4.82</v>
      </c>
      <c r="H494">
        <v>0</v>
      </c>
    </row>
    <row r="495" spans="1:8" x14ac:dyDescent="0.55000000000000004">
      <c r="A495" s="11" t="str">
        <f t="shared" si="21"/>
        <v>11月</v>
      </c>
      <c r="B495" s="11" t="str">
        <f t="shared" si="22"/>
        <v>11月21日</v>
      </c>
      <c r="C495" s="11" t="str">
        <f t="shared" si="23"/>
        <v>12時</v>
      </c>
      <c r="D495" s="10">
        <v>45617.458333333336</v>
      </c>
      <c r="E495">
        <v>3.57</v>
      </c>
      <c r="F495">
        <v>0.46</v>
      </c>
      <c r="G495">
        <v>3.11</v>
      </c>
      <c r="H495">
        <v>0</v>
      </c>
    </row>
    <row r="496" spans="1:8" x14ac:dyDescent="0.55000000000000004">
      <c r="A496" s="11" t="str">
        <f t="shared" si="21"/>
        <v>11月</v>
      </c>
      <c r="B496" s="11" t="str">
        <f t="shared" si="22"/>
        <v>11月21日</v>
      </c>
      <c r="C496" s="11" t="str">
        <f t="shared" si="23"/>
        <v>13時</v>
      </c>
      <c r="D496" s="10">
        <v>45617.5</v>
      </c>
      <c r="E496">
        <v>1.23</v>
      </c>
      <c r="F496">
        <v>0.43</v>
      </c>
      <c r="G496">
        <v>0.8</v>
      </c>
      <c r="H496">
        <v>0</v>
      </c>
    </row>
    <row r="497" spans="1:8" x14ac:dyDescent="0.55000000000000004">
      <c r="A497" s="11" t="str">
        <f t="shared" si="21"/>
        <v>11月</v>
      </c>
      <c r="B497" s="11" t="str">
        <f t="shared" si="22"/>
        <v>11月21日</v>
      </c>
      <c r="C497" s="11" t="str">
        <f t="shared" si="23"/>
        <v>14時</v>
      </c>
      <c r="D497" s="10">
        <v>45617.541666666664</v>
      </c>
      <c r="E497">
        <v>2.06</v>
      </c>
      <c r="F497">
        <v>0.43</v>
      </c>
      <c r="G497">
        <v>1.63</v>
      </c>
      <c r="H497">
        <v>0</v>
      </c>
    </row>
    <row r="498" spans="1:8" x14ac:dyDescent="0.55000000000000004">
      <c r="A498" s="11" t="str">
        <f t="shared" si="21"/>
        <v>11月</v>
      </c>
      <c r="B498" s="11" t="str">
        <f t="shared" si="22"/>
        <v>11月21日</v>
      </c>
      <c r="C498" s="11" t="str">
        <f t="shared" si="23"/>
        <v>15時</v>
      </c>
      <c r="D498" s="10">
        <v>45617.583333333336</v>
      </c>
      <c r="E498">
        <v>1.59</v>
      </c>
      <c r="F498">
        <v>0.43</v>
      </c>
      <c r="G498">
        <v>1.17</v>
      </c>
      <c r="H498">
        <v>0</v>
      </c>
    </row>
    <row r="499" spans="1:8" x14ac:dyDescent="0.55000000000000004">
      <c r="A499" s="11" t="str">
        <f t="shared" si="21"/>
        <v>11月</v>
      </c>
      <c r="B499" s="11" t="str">
        <f t="shared" si="22"/>
        <v>11月21日</v>
      </c>
      <c r="C499" s="11" t="str">
        <f t="shared" si="23"/>
        <v>16時</v>
      </c>
      <c r="D499" s="10">
        <v>45617.625</v>
      </c>
      <c r="E499">
        <v>0.55000000000000004</v>
      </c>
      <c r="F499">
        <v>0.42</v>
      </c>
      <c r="G499">
        <v>0.28999999999999998</v>
      </c>
      <c r="H499">
        <v>0</v>
      </c>
    </row>
    <row r="500" spans="1:8" x14ac:dyDescent="0.55000000000000004">
      <c r="A500" s="11" t="str">
        <f t="shared" si="21"/>
        <v>11月</v>
      </c>
      <c r="B500" s="11" t="str">
        <f t="shared" si="22"/>
        <v>11月21日</v>
      </c>
      <c r="C500" s="11" t="str">
        <f t="shared" si="23"/>
        <v>17時</v>
      </c>
      <c r="D500" s="10">
        <v>45617.666666666664</v>
      </c>
      <c r="E500">
        <v>0</v>
      </c>
      <c r="F500">
        <v>1.07</v>
      </c>
      <c r="G500">
        <v>0.01</v>
      </c>
      <c r="H500">
        <v>0.01</v>
      </c>
    </row>
    <row r="501" spans="1:8" x14ac:dyDescent="0.55000000000000004">
      <c r="A501" s="11" t="str">
        <f t="shared" si="21"/>
        <v>11月</v>
      </c>
      <c r="B501" s="11" t="str">
        <f t="shared" si="22"/>
        <v>11月21日</v>
      </c>
      <c r="C501" s="11" t="str">
        <f t="shared" si="23"/>
        <v>18時</v>
      </c>
      <c r="D501" s="10">
        <v>45617.708333333336</v>
      </c>
      <c r="E501">
        <v>0</v>
      </c>
      <c r="F501">
        <v>2.77</v>
      </c>
      <c r="G501">
        <v>0.01</v>
      </c>
      <c r="H501">
        <v>0.01</v>
      </c>
    </row>
    <row r="502" spans="1:8" x14ac:dyDescent="0.55000000000000004">
      <c r="A502" s="11" t="str">
        <f t="shared" si="21"/>
        <v>11月</v>
      </c>
      <c r="B502" s="11" t="str">
        <f t="shared" si="22"/>
        <v>11月21日</v>
      </c>
      <c r="C502" s="11" t="str">
        <f t="shared" si="23"/>
        <v>19時</v>
      </c>
      <c r="D502" s="10">
        <v>45617.75</v>
      </c>
      <c r="E502">
        <v>0</v>
      </c>
      <c r="F502">
        <v>2.65</v>
      </c>
      <c r="G502">
        <v>0</v>
      </c>
      <c r="H502">
        <v>1.52</v>
      </c>
    </row>
    <row r="503" spans="1:8" x14ac:dyDescent="0.55000000000000004">
      <c r="A503" s="11" t="str">
        <f t="shared" si="21"/>
        <v>11月</v>
      </c>
      <c r="B503" s="11" t="str">
        <f t="shared" si="22"/>
        <v>11月21日</v>
      </c>
      <c r="C503" s="11" t="str">
        <f t="shared" si="23"/>
        <v>20時</v>
      </c>
      <c r="D503" s="10">
        <v>45617.791666666664</v>
      </c>
      <c r="E503">
        <v>0</v>
      </c>
      <c r="F503">
        <v>1.98</v>
      </c>
      <c r="G503">
        <v>0</v>
      </c>
      <c r="H503">
        <v>2.0099999999999998</v>
      </c>
    </row>
    <row r="504" spans="1:8" x14ac:dyDescent="0.55000000000000004">
      <c r="A504" s="11" t="str">
        <f t="shared" si="21"/>
        <v>11月</v>
      </c>
      <c r="B504" s="11" t="str">
        <f t="shared" si="22"/>
        <v>11月21日</v>
      </c>
      <c r="C504" s="11" t="str">
        <f t="shared" si="23"/>
        <v>21時</v>
      </c>
      <c r="D504" s="10">
        <v>45617.833333333336</v>
      </c>
      <c r="E504">
        <v>0</v>
      </c>
      <c r="F504">
        <v>1.1000000000000001</v>
      </c>
      <c r="G504">
        <v>0</v>
      </c>
      <c r="H504">
        <v>1.1299999999999999</v>
      </c>
    </row>
    <row r="505" spans="1:8" x14ac:dyDescent="0.55000000000000004">
      <c r="A505" s="11" t="str">
        <f t="shared" si="21"/>
        <v>11月</v>
      </c>
      <c r="B505" s="11" t="str">
        <f t="shared" si="22"/>
        <v>11月21日</v>
      </c>
      <c r="C505" s="11" t="str">
        <f t="shared" si="23"/>
        <v>22時</v>
      </c>
      <c r="D505" s="10">
        <v>45617.875</v>
      </c>
      <c r="E505">
        <v>0</v>
      </c>
      <c r="F505">
        <v>0.75</v>
      </c>
      <c r="G505">
        <v>0</v>
      </c>
      <c r="H505">
        <v>0.78</v>
      </c>
    </row>
    <row r="506" spans="1:8" x14ac:dyDescent="0.55000000000000004">
      <c r="A506" s="11" t="str">
        <f t="shared" si="21"/>
        <v>11月</v>
      </c>
      <c r="B506" s="11" t="str">
        <f t="shared" si="22"/>
        <v>11月21日</v>
      </c>
      <c r="C506" s="11" t="str">
        <f t="shared" si="23"/>
        <v>23時</v>
      </c>
      <c r="D506" s="10">
        <v>45617.916666666664</v>
      </c>
      <c r="E506">
        <v>0</v>
      </c>
      <c r="F506">
        <v>0.55000000000000004</v>
      </c>
      <c r="G506">
        <v>0</v>
      </c>
      <c r="H506">
        <v>0.57999999999999996</v>
      </c>
    </row>
    <row r="507" spans="1:8" x14ac:dyDescent="0.55000000000000004">
      <c r="A507" s="11" t="str">
        <f t="shared" si="21"/>
        <v>11月</v>
      </c>
      <c r="B507" s="11" t="str">
        <f t="shared" si="22"/>
        <v>11月21日</v>
      </c>
      <c r="C507" s="11" t="str">
        <f t="shared" si="23"/>
        <v>24時</v>
      </c>
      <c r="D507" s="10">
        <v>45617.958333333336</v>
      </c>
      <c r="E507">
        <v>0</v>
      </c>
      <c r="F507">
        <v>0.55000000000000004</v>
      </c>
      <c r="G507">
        <v>0</v>
      </c>
      <c r="H507">
        <v>0.57999999999999996</v>
      </c>
    </row>
    <row r="508" spans="1:8" x14ac:dyDescent="0.55000000000000004">
      <c r="A508" s="11" t="str">
        <f t="shared" si="21"/>
        <v>11月</v>
      </c>
      <c r="B508" s="11" t="str">
        <f t="shared" si="22"/>
        <v>11月22日</v>
      </c>
      <c r="C508" s="11" t="str">
        <f t="shared" si="23"/>
        <v>1時</v>
      </c>
      <c r="D508" s="10">
        <v>45618</v>
      </c>
      <c r="E508">
        <v>0</v>
      </c>
      <c r="F508">
        <v>0.51</v>
      </c>
      <c r="G508">
        <v>0</v>
      </c>
      <c r="H508">
        <v>0.53</v>
      </c>
    </row>
    <row r="509" spans="1:8" x14ac:dyDescent="0.55000000000000004">
      <c r="A509" s="11" t="str">
        <f t="shared" si="21"/>
        <v>11月</v>
      </c>
      <c r="B509" s="11" t="str">
        <f t="shared" si="22"/>
        <v>11月22日</v>
      </c>
      <c r="C509" s="11" t="str">
        <f t="shared" si="23"/>
        <v>2時</v>
      </c>
      <c r="D509" s="10">
        <v>45618.041666666664</v>
      </c>
      <c r="E509">
        <v>0</v>
      </c>
      <c r="F509">
        <v>0.56000000000000005</v>
      </c>
      <c r="G509">
        <v>0</v>
      </c>
      <c r="H509">
        <v>0.59</v>
      </c>
    </row>
    <row r="510" spans="1:8" x14ac:dyDescent="0.55000000000000004">
      <c r="A510" s="11" t="str">
        <f t="shared" si="21"/>
        <v>11月</v>
      </c>
      <c r="B510" s="11" t="str">
        <f t="shared" si="22"/>
        <v>11月22日</v>
      </c>
      <c r="C510" s="11" t="str">
        <f t="shared" si="23"/>
        <v>3時</v>
      </c>
      <c r="D510" s="10">
        <v>45618.083333333336</v>
      </c>
      <c r="E510">
        <v>0</v>
      </c>
      <c r="F510">
        <v>0.47</v>
      </c>
      <c r="G510">
        <v>0</v>
      </c>
      <c r="H510">
        <v>0.5</v>
      </c>
    </row>
    <row r="511" spans="1:8" x14ac:dyDescent="0.55000000000000004">
      <c r="A511" s="11" t="str">
        <f t="shared" si="21"/>
        <v>11月</v>
      </c>
      <c r="B511" s="11" t="str">
        <f t="shared" si="22"/>
        <v>11月22日</v>
      </c>
      <c r="C511" s="11" t="str">
        <f t="shared" si="23"/>
        <v>4時</v>
      </c>
      <c r="D511" s="10">
        <v>45618.125</v>
      </c>
      <c r="E511">
        <v>0</v>
      </c>
      <c r="F511">
        <v>0.63</v>
      </c>
      <c r="G511">
        <v>0</v>
      </c>
      <c r="H511">
        <v>0.66</v>
      </c>
    </row>
    <row r="512" spans="1:8" x14ac:dyDescent="0.55000000000000004">
      <c r="A512" s="11" t="str">
        <f t="shared" si="21"/>
        <v>11月</v>
      </c>
      <c r="B512" s="11" t="str">
        <f t="shared" si="22"/>
        <v>11月22日</v>
      </c>
      <c r="C512" s="11" t="str">
        <f t="shared" si="23"/>
        <v>5時</v>
      </c>
      <c r="D512" s="10">
        <v>45618.166666666664</v>
      </c>
      <c r="E512">
        <v>0</v>
      </c>
      <c r="F512">
        <v>0.61</v>
      </c>
      <c r="G512">
        <v>0</v>
      </c>
      <c r="H512">
        <v>0.64</v>
      </c>
    </row>
    <row r="513" spans="1:8" x14ac:dyDescent="0.55000000000000004">
      <c r="A513" s="11" t="str">
        <f t="shared" si="21"/>
        <v>11月</v>
      </c>
      <c r="B513" s="11" t="str">
        <f t="shared" si="22"/>
        <v>11月22日</v>
      </c>
      <c r="C513" s="11" t="str">
        <f t="shared" si="23"/>
        <v>6時</v>
      </c>
      <c r="D513" s="10">
        <v>45618.208333333336</v>
      </c>
      <c r="E513">
        <v>0</v>
      </c>
      <c r="F513">
        <v>0.59</v>
      </c>
      <c r="G513">
        <v>0</v>
      </c>
      <c r="H513">
        <v>0.62</v>
      </c>
    </row>
    <row r="514" spans="1:8" x14ac:dyDescent="0.55000000000000004">
      <c r="A514" s="11" t="str">
        <f t="shared" si="21"/>
        <v>11月</v>
      </c>
      <c r="B514" s="11" t="str">
        <f t="shared" si="22"/>
        <v>11月22日</v>
      </c>
      <c r="C514" s="11" t="str">
        <f t="shared" si="23"/>
        <v>7時</v>
      </c>
      <c r="D514" s="10">
        <v>45618.25</v>
      </c>
      <c r="E514">
        <v>0</v>
      </c>
      <c r="F514">
        <v>0.62</v>
      </c>
      <c r="G514">
        <v>0</v>
      </c>
      <c r="H514">
        <v>0.63</v>
      </c>
    </row>
    <row r="515" spans="1:8" x14ac:dyDescent="0.55000000000000004">
      <c r="A515" s="11" t="str">
        <f t="shared" si="21"/>
        <v>11月</v>
      </c>
      <c r="B515" s="11" t="str">
        <f t="shared" si="22"/>
        <v>11月22日</v>
      </c>
      <c r="C515" s="11" t="str">
        <f t="shared" si="23"/>
        <v>8時</v>
      </c>
      <c r="D515" s="10">
        <v>45618.291666666664</v>
      </c>
      <c r="E515">
        <v>0.25</v>
      </c>
      <c r="F515">
        <v>0.6</v>
      </c>
      <c r="G515">
        <v>0</v>
      </c>
      <c r="H515">
        <v>0.36</v>
      </c>
    </row>
    <row r="516" spans="1:8" x14ac:dyDescent="0.55000000000000004">
      <c r="A516" s="11" t="str">
        <f t="shared" ref="A516:A579" si="24">MONTH(D516)&amp;"月"</f>
        <v>11月</v>
      </c>
      <c r="B516" s="11" t="str">
        <f t="shared" ref="B516:B579" si="25">A516&amp;DAY(D516)&amp;"日"</f>
        <v>11月22日</v>
      </c>
      <c r="C516" s="11" t="str">
        <f t="shared" ref="C516:C579" si="26">HOUR(D516)+1&amp;"時"</f>
        <v>9時</v>
      </c>
      <c r="D516" s="10">
        <v>45618.333333333336</v>
      </c>
      <c r="E516">
        <v>1.4</v>
      </c>
      <c r="F516">
        <v>0.43</v>
      </c>
      <c r="G516">
        <v>0.01</v>
      </c>
      <c r="H516">
        <v>0</v>
      </c>
    </row>
    <row r="517" spans="1:8" x14ac:dyDescent="0.55000000000000004">
      <c r="A517" s="11" t="str">
        <f t="shared" si="24"/>
        <v>11月</v>
      </c>
      <c r="B517" s="11" t="str">
        <f t="shared" si="25"/>
        <v>11月22日</v>
      </c>
      <c r="C517" s="11" t="str">
        <f t="shared" si="26"/>
        <v>10時</v>
      </c>
      <c r="D517" s="10">
        <v>45618.375</v>
      </c>
      <c r="E517">
        <v>2.11</v>
      </c>
      <c r="F517">
        <v>0.42</v>
      </c>
      <c r="G517">
        <v>7.0000000000000007E-2</v>
      </c>
      <c r="H517">
        <v>0</v>
      </c>
    </row>
    <row r="518" spans="1:8" x14ac:dyDescent="0.55000000000000004">
      <c r="A518" s="11" t="str">
        <f t="shared" si="24"/>
        <v>11月</v>
      </c>
      <c r="B518" s="11" t="str">
        <f t="shared" si="25"/>
        <v>11月22日</v>
      </c>
      <c r="C518" s="11" t="str">
        <f t="shared" si="26"/>
        <v>11時</v>
      </c>
      <c r="D518" s="10">
        <v>45618.416666666664</v>
      </c>
      <c r="E518">
        <v>4.46</v>
      </c>
      <c r="F518">
        <v>0.52</v>
      </c>
      <c r="G518">
        <v>0.81</v>
      </c>
      <c r="H518">
        <v>0.01</v>
      </c>
    </row>
    <row r="519" spans="1:8" x14ac:dyDescent="0.55000000000000004">
      <c r="A519" s="11" t="str">
        <f t="shared" si="24"/>
        <v>11月</v>
      </c>
      <c r="B519" s="11" t="str">
        <f t="shared" si="25"/>
        <v>11月22日</v>
      </c>
      <c r="C519" s="11" t="str">
        <f t="shared" si="26"/>
        <v>12時</v>
      </c>
      <c r="D519" s="10">
        <v>45618.458333333336</v>
      </c>
      <c r="E519">
        <v>4.28</v>
      </c>
      <c r="F519">
        <v>0.46</v>
      </c>
      <c r="G519">
        <v>3.19</v>
      </c>
      <c r="H519">
        <v>0</v>
      </c>
    </row>
    <row r="520" spans="1:8" x14ac:dyDescent="0.55000000000000004">
      <c r="A520" s="11" t="str">
        <f t="shared" si="24"/>
        <v>11月</v>
      </c>
      <c r="B520" s="11" t="str">
        <f t="shared" si="25"/>
        <v>11月22日</v>
      </c>
      <c r="C520" s="11" t="str">
        <f t="shared" si="26"/>
        <v>13時</v>
      </c>
      <c r="D520" s="10">
        <v>45618.5</v>
      </c>
      <c r="E520">
        <v>1.61</v>
      </c>
      <c r="F520">
        <v>0.42</v>
      </c>
      <c r="G520">
        <v>1.19</v>
      </c>
      <c r="H520">
        <v>0</v>
      </c>
    </row>
    <row r="521" spans="1:8" x14ac:dyDescent="0.55000000000000004">
      <c r="A521" s="11" t="str">
        <f t="shared" si="24"/>
        <v>11月</v>
      </c>
      <c r="B521" s="11" t="str">
        <f t="shared" si="25"/>
        <v>11月22日</v>
      </c>
      <c r="C521" s="11" t="str">
        <f t="shared" si="26"/>
        <v>14時</v>
      </c>
      <c r="D521" s="10">
        <v>45618.541666666664</v>
      </c>
      <c r="E521">
        <v>3.83</v>
      </c>
      <c r="F521">
        <v>0.42</v>
      </c>
      <c r="G521">
        <v>3.41</v>
      </c>
      <c r="H521">
        <v>0</v>
      </c>
    </row>
    <row r="522" spans="1:8" x14ac:dyDescent="0.55000000000000004">
      <c r="A522" s="11" t="str">
        <f t="shared" si="24"/>
        <v>11月</v>
      </c>
      <c r="B522" s="11" t="str">
        <f t="shared" si="25"/>
        <v>11月22日</v>
      </c>
      <c r="C522" s="11" t="str">
        <f t="shared" si="26"/>
        <v>15時</v>
      </c>
      <c r="D522" s="10">
        <v>45618.583333333336</v>
      </c>
      <c r="E522">
        <v>0.72</v>
      </c>
      <c r="F522">
        <v>0.44</v>
      </c>
      <c r="G522">
        <v>0.37</v>
      </c>
      <c r="H522">
        <v>0</v>
      </c>
    </row>
    <row r="523" spans="1:8" x14ac:dyDescent="0.55000000000000004">
      <c r="A523" s="11" t="str">
        <f t="shared" si="24"/>
        <v>11月</v>
      </c>
      <c r="B523" s="11" t="str">
        <f t="shared" si="25"/>
        <v>11月22日</v>
      </c>
      <c r="C523" s="11" t="str">
        <f t="shared" si="26"/>
        <v>16時</v>
      </c>
      <c r="D523" s="10">
        <v>45618.625</v>
      </c>
      <c r="E523">
        <v>0.23</v>
      </c>
      <c r="F523">
        <v>0.44</v>
      </c>
      <c r="G523">
        <v>0.02</v>
      </c>
      <c r="H523">
        <v>0</v>
      </c>
    </row>
    <row r="524" spans="1:8" x14ac:dyDescent="0.55000000000000004">
      <c r="A524" s="11" t="str">
        <f t="shared" si="24"/>
        <v>11月</v>
      </c>
      <c r="B524" s="11" t="str">
        <f t="shared" si="25"/>
        <v>11月22日</v>
      </c>
      <c r="C524" s="11" t="str">
        <f t="shared" si="26"/>
        <v>17時</v>
      </c>
      <c r="D524" s="10">
        <v>45618.666666666664</v>
      </c>
      <c r="E524">
        <v>0</v>
      </c>
      <c r="F524">
        <v>1.0900000000000001</v>
      </c>
      <c r="G524">
        <v>0.01</v>
      </c>
      <c r="H524">
        <v>0.02</v>
      </c>
    </row>
    <row r="525" spans="1:8" x14ac:dyDescent="0.55000000000000004">
      <c r="A525" s="11" t="str">
        <f t="shared" si="24"/>
        <v>11月</v>
      </c>
      <c r="B525" s="11" t="str">
        <f t="shared" si="25"/>
        <v>11月22日</v>
      </c>
      <c r="C525" s="11" t="str">
        <f t="shared" si="26"/>
        <v>18時</v>
      </c>
      <c r="D525" s="10">
        <v>45618.708333333336</v>
      </c>
      <c r="E525">
        <v>0</v>
      </c>
      <c r="F525">
        <v>2.5</v>
      </c>
      <c r="G525">
        <v>0.01</v>
      </c>
      <c r="H525">
        <v>0.02</v>
      </c>
    </row>
    <row r="526" spans="1:8" x14ac:dyDescent="0.55000000000000004">
      <c r="A526" s="11" t="str">
        <f t="shared" si="24"/>
        <v>11月</v>
      </c>
      <c r="B526" s="11" t="str">
        <f t="shared" si="25"/>
        <v>11月22日</v>
      </c>
      <c r="C526" s="11" t="str">
        <f t="shared" si="26"/>
        <v>19時</v>
      </c>
      <c r="D526" s="10">
        <v>45618.75</v>
      </c>
      <c r="E526">
        <v>0</v>
      </c>
      <c r="F526">
        <v>2.11</v>
      </c>
      <c r="G526">
        <v>0.01</v>
      </c>
      <c r="H526">
        <v>0.64</v>
      </c>
    </row>
    <row r="527" spans="1:8" x14ac:dyDescent="0.55000000000000004">
      <c r="A527" s="11" t="str">
        <f t="shared" si="24"/>
        <v>11月</v>
      </c>
      <c r="B527" s="11" t="str">
        <f t="shared" si="25"/>
        <v>11月22日</v>
      </c>
      <c r="C527" s="11" t="str">
        <f t="shared" si="26"/>
        <v>20時</v>
      </c>
      <c r="D527" s="10">
        <v>45618.791666666664</v>
      </c>
      <c r="E527">
        <v>0</v>
      </c>
      <c r="F527">
        <v>2.09</v>
      </c>
      <c r="G527">
        <v>0</v>
      </c>
      <c r="H527">
        <v>2.12</v>
      </c>
    </row>
    <row r="528" spans="1:8" x14ac:dyDescent="0.55000000000000004">
      <c r="A528" s="11" t="str">
        <f t="shared" si="24"/>
        <v>11月</v>
      </c>
      <c r="B528" s="11" t="str">
        <f t="shared" si="25"/>
        <v>11月22日</v>
      </c>
      <c r="C528" s="11" t="str">
        <f t="shared" si="26"/>
        <v>21時</v>
      </c>
      <c r="D528" s="10">
        <v>45618.833333333336</v>
      </c>
      <c r="E528">
        <v>0</v>
      </c>
      <c r="F528">
        <v>0.65</v>
      </c>
      <c r="G528">
        <v>0</v>
      </c>
      <c r="H528">
        <v>0.68</v>
      </c>
    </row>
    <row r="529" spans="1:8" x14ac:dyDescent="0.55000000000000004">
      <c r="A529" s="11" t="str">
        <f t="shared" si="24"/>
        <v>11月</v>
      </c>
      <c r="B529" s="11" t="str">
        <f t="shared" si="25"/>
        <v>11月22日</v>
      </c>
      <c r="C529" s="11" t="str">
        <f t="shared" si="26"/>
        <v>22時</v>
      </c>
      <c r="D529" s="10">
        <v>45618.875</v>
      </c>
      <c r="E529">
        <v>0</v>
      </c>
      <c r="F529">
        <v>0.53</v>
      </c>
      <c r="G529">
        <v>0</v>
      </c>
      <c r="H529">
        <v>0.56000000000000005</v>
      </c>
    </row>
    <row r="530" spans="1:8" x14ac:dyDescent="0.55000000000000004">
      <c r="A530" s="11" t="str">
        <f t="shared" si="24"/>
        <v>11月</v>
      </c>
      <c r="B530" s="11" t="str">
        <f t="shared" si="25"/>
        <v>11月22日</v>
      </c>
      <c r="C530" s="11" t="str">
        <f t="shared" si="26"/>
        <v>23時</v>
      </c>
      <c r="D530" s="10">
        <v>45618.916666666664</v>
      </c>
      <c r="E530">
        <v>0</v>
      </c>
      <c r="F530">
        <v>0.53</v>
      </c>
      <c r="G530">
        <v>0</v>
      </c>
      <c r="H530">
        <v>0.56000000000000005</v>
      </c>
    </row>
    <row r="531" spans="1:8" x14ac:dyDescent="0.55000000000000004">
      <c r="A531" s="11" t="str">
        <f t="shared" si="24"/>
        <v>11月</v>
      </c>
      <c r="B531" s="11" t="str">
        <f t="shared" si="25"/>
        <v>11月22日</v>
      </c>
      <c r="C531" s="11" t="str">
        <f t="shared" si="26"/>
        <v>24時</v>
      </c>
      <c r="D531" s="10">
        <v>45618.958333333336</v>
      </c>
      <c r="E531">
        <v>0</v>
      </c>
      <c r="F531">
        <v>0.5</v>
      </c>
      <c r="G531">
        <v>0</v>
      </c>
      <c r="H531">
        <v>0.53</v>
      </c>
    </row>
    <row r="532" spans="1:8" x14ac:dyDescent="0.55000000000000004">
      <c r="A532" s="11" t="str">
        <f t="shared" si="24"/>
        <v>11月</v>
      </c>
      <c r="B532" s="11" t="str">
        <f t="shared" si="25"/>
        <v>11月23日</v>
      </c>
      <c r="C532" s="11" t="str">
        <f t="shared" si="26"/>
        <v>1時</v>
      </c>
      <c r="D532" s="10">
        <v>45619</v>
      </c>
      <c r="E532">
        <v>0</v>
      </c>
      <c r="F532">
        <v>0.51</v>
      </c>
      <c r="G532">
        <v>0</v>
      </c>
      <c r="H532">
        <v>0.54</v>
      </c>
    </row>
    <row r="533" spans="1:8" x14ac:dyDescent="0.55000000000000004">
      <c r="A533" s="11" t="str">
        <f t="shared" si="24"/>
        <v>11月</v>
      </c>
      <c r="B533" s="11" t="str">
        <f t="shared" si="25"/>
        <v>11月23日</v>
      </c>
      <c r="C533" s="11" t="str">
        <f t="shared" si="26"/>
        <v>2時</v>
      </c>
      <c r="D533" s="10">
        <v>45619.041666666664</v>
      </c>
      <c r="E533">
        <v>0</v>
      </c>
      <c r="F533">
        <v>0.55000000000000004</v>
      </c>
      <c r="G533">
        <v>0</v>
      </c>
      <c r="H533">
        <v>0.57999999999999996</v>
      </c>
    </row>
    <row r="534" spans="1:8" x14ac:dyDescent="0.55000000000000004">
      <c r="A534" s="11" t="str">
        <f t="shared" si="24"/>
        <v>11月</v>
      </c>
      <c r="B534" s="11" t="str">
        <f t="shared" si="25"/>
        <v>11月23日</v>
      </c>
      <c r="C534" s="11" t="str">
        <f t="shared" si="26"/>
        <v>3時</v>
      </c>
      <c r="D534" s="10">
        <v>45619.083333333336</v>
      </c>
      <c r="E534">
        <v>0</v>
      </c>
      <c r="F534">
        <v>0.55000000000000004</v>
      </c>
      <c r="G534">
        <v>0</v>
      </c>
      <c r="H534">
        <v>0.59</v>
      </c>
    </row>
    <row r="535" spans="1:8" x14ac:dyDescent="0.55000000000000004">
      <c r="A535" s="11" t="str">
        <f t="shared" si="24"/>
        <v>11月</v>
      </c>
      <c r="B535" s="11" t="str">
        <f t="shared" si="25"/>
        <v>11月23日</v>
      </c>
      <c r="C535" s="11" t="str">
        <f t="shared" si="26"/>
        <v>4時</v>
      </c>
      <c r="D535" s="10">
        <v>45619.125</v>
      </c>
      <c r="E535">
        <v>0</v>
      </c>
      <c r="F535">
        <v>0.54</v>
      </c>
      <c r="G535">
        <v>0</v>
      </c>
      <c r="H535">
        <v>0.57999999999999996</v>
      </c>
    </row>
    <row r="536" spans="1:8" x14ac:dyDescent="0.55000000000000004">
      <c r="A536" s="11" t="str">
        <f t="shared" si="24"/>
        <v>11月</v>
      </c>
      <c r="B536" s="11" t="str">
        <f t="shared" si="25"/>
        <v>11月23日</v>
      </c>
      <c r="C536" s="11" t="str">
        <f t="shared" si="26"/>
        <v>5時</v>
      </c>
      <c r="D536" s="10">
        <v>45619.166666666664</v>
      </c>
      <c r="E536">
        <v>0</v>
      </c>
      <c r="F536">
        <v>0.56999999999999995</v>
      </c>
      <c r="G536">
        <v>0</v>
      </c>
      <c r="H536">
        <v>0.61</v>
      </c>
    </row>
    <row r="537" spans="1:8" x14ac:dyDescent="0.55000000000000004">
      <c r="A537" s="11" t="str">
        <f t="shared" si="24"/>
        <v>11月</v>
      </c>
      <c r="B537" s="11" t="str">
        <f t="shared" si="25"/>
        <v>11月23日</v>
      </c>
      <c r="C537" s="11" t="str">
        <f t="shared" si="26"/>
        <v>6時</v>
      </c>
      <c r="D537" s="10">
        <v>45619.208333333336</v>
      </c>
      <c r="E537">
        <v>0</v>
      </c>
      <c r="F537">
        <v>0.57999999999999996</v>
      </c>
      <c r="G537">
        <v>0</v>
      </c>
      <c r="H537">
        <v>0.61</v>
      </c>
    </row>
    <row r="538" spans="1:8" x14ac:dyDescent="0.55000000000000004">
      <c r="A538" s="11" t="str">
        <f t="shared" si="24"/>
        <v>11月</v>
      </c>
      <c r="B538" s="11" t="str">
        <f t="shared" si="25"/>
        <v>11月23日</v>
      </c>
      <c r="C538" s="11" t="str">
        <f t="shared" si="26"/>
        <v>7時</v>
      </c>
      <c r="D538" s="10">
        <v>45619.25</v>
      </c>
      <c r="E538">
        <v>0</v>
      </c>
      <c r="F538">
        <v>0.53</v>
      </c>
      <c r="G538">
        <v>0</v>
      </c>
      <c r="H538">
        <v>0.55000000000000004</v>
      </c>
    </row>
    <row r="539" spans="1:8" x14ac:dyDescent="0.55000000000000004">
      <c r="A539" s="11" t="str">
        <f t="shared" si="24"/>
        <v>11月</v>
      </c>
      <c r="B539" s="11" t="str">
        <f t="shared" si="25"/>
        <v>11月23日</v>
      </c>
      <c r="C539" s="11" t="str">
        <f t="shared" si="26"/>
        <v>8時</v>
      </c>
      <c r="D539" s="10">
        <v>45619.291666666664</v>
      </c>
      <c r="E539">
        <v>0.91</v>
      </c>
      <c r="F539">
        <v>0.74</v>
      </c>
      <c r="G539">
        <v>0.01</v>
      </c>
      <c r="H539">
        <v>0.15</v>
      </c>
    </row>
    <row r="540" spans="1:8" x14ac:dyDescent="0.55000000000000004">
      <c r="A540" s="11" t="str">
        <f t="shared" si="24"/>
        <v>11月</v>
      </c>
      <c r="B540" s="11" t="str">
        <f t="shared" si="25"/>
        <v>11月23日</v>
      </c>
      <c r="C540" s="11" t="str">
        <f t="shared" si="26"/>
        <v>9時</v>
      </c>
      <c r="D540" s="10">
        <v>45619.333333333336</v>
      </c>
      <c r="E540">
        <v>1.79</v>
      </c>
      <c r="F540">
        <v>0.57999999999999996</v>
      </c>
      <c r="G540">
        <v>0.01</v>
      </c>
      <c r="H540">
        <v>0</v>
      </c>
    </row>
    <row r="541" spans="1:8" x14ac:dyDescent="0.55000000000000004">
      <c r="A541" s="11" t="str">
        <f t="shared" si="24"/>
        <v>11月</v>
      </c>
      <c r="B541" s="11" t="str">
        <f t="shared" si="25"/>
        <v>11月23日</v>
      </c>
      <c r="C541" s="11" t="str">
        <f t="shared" si="26"/>
        <v>10時</v>
      </c>
      <c r="D541" s="10">
        <v>45619.375</v>
      </c>
      <c r="E541">
        <v>4.54</v>
      </c>
      <c r="F541">
        <v>0.97</v>
      </c>
      <c r="G541">
        <v>0.63</v>
      </c>
      <c r="H541">
        <v>0</v>
      </c>
    </row>
    <row r="542" spans="1:8" x14ac:dyDescent="0.55000000000000004">
      <c r="A542" s="11" t="str">
        <f t="shared" si="24"/>
        <v>11月</v>
      </c>
      <c r="B542" s="11" t="str">
        <f t="shared" si="25"/>
        <v>11月23日</v>
      </c>
      <c r="C542" s="11" t="str">
        <f t="shared" si="26"/>
        <v>11時</v>
      </c>
      <c r="D542" s="10">
        <v>45619.416666666664</v>
      </c>
      <c r="E542">
        <v>3.01</v>
      </c>
      <c r="F542">
        <v>0.69</v>
      </c>
      <c r="G542">
        <v>0.43</v>
      </c>
      <c r="H542">
        <v>0.02</v>
      </c>
    </row>
    <row r="543" spans="1:8" x14ac:dyDescent="0.55000000000000004">
      <c r="A543" s="11" t="str">
        <f t="shared" si="24"/>
        <v>11月</v>
      </c>
      <c r="B543" s="11" t="str">
        <f t="shared" si="25"/>
        <v>11月23日</v>
      </c>
      <c r="C543" s="11" t="str">
        <f t="shared" si="26"/>
        <v>12時</v>
      </c>
      <c r="D543" s="10">
        <v>45619.458333333336</v>
      </c>
      <c r="E543">
        <v>3.43</v>
      </c>
      <c r="F543">
        <v>0.51</v>
      </c>
      <c r="G543">
        <v>2.74</v>
      </c>
      <c r="H543">
        <v>0</v>
      </c>
    </row>
    <row r="544" spans="1:8" x14ac:dyDescent="0.55000000000000004">
      <c r="A544" s="11" t="str">
        <f t="shared" si="24"/>
        <v>11月</v>
      </c>
      <c r="B544" s="11" t="str">
        <f t="shared" si="25"/>
        <v>11月23日</v>
      </c>
      <c r="C544" s="11" t="str">
        <f t="shared" si="26"/>
        <v>13時</v>
      </c>
      <c r="D544" s="10">
        <v>45619.5</v>
      </c>
      <c r="E544">
        <v>3.35</v>
      </c>
      <c r="F544">
        <v>0.55000000000000004</v>
      </c>
      <c r="G544">
        <v>2.8</v>
      </c>
      <c r="H544">
        <v>0</v>
      </c>
    </row>
    <row r="545" spans="1:8" x14ac:dyDescent="0.55000000000000004">
      <c r="A545" s="11" t="str">
        <f t="shared" si="24"/>
        <v>11月</v>
      </c>
      <c r="B545" s="11" t="str">
        <f t="shared" si="25"/>
        <v>11月23日</v>
      </c>
      <c r="C545" s="11" t="str">
        <f t="shared" si="26"/>
        <v>14時</v>
      </c>
      <c r="D545" s="10">
        <v>45619.541666666664</v>
      </c>
      <c r="E545">
        <v>1.42</v>
      </c>
      <c r="F545">
        <v>0.49</v>
      </c>
      <c r="G545">
        <v>0.93</v>
      </c>
      <c r="H545">
        <v>0</v>
      </c>
    </row>
    <row r="546" spans="1:8" x14ac:dyDescent="0.55000000000000004">
      <c r="A546" s="11" t="str">
        <f t="shared" si="24"/>
        <v>11月</v>
      </c>
      <c r="B546" s="11" t="str">
        <f t="shared" si="25"/>
        <v>11月23日</v>
      </c>
      <c r="C546" s="11" t="str">
        <f t="shared" si="26"/>
        <v>15時</v>
      </c>
      <c r="D546" s="10">
        <v>45619.583333333336</v>
      </c>
      <c r="E546">
        <v>1.1299999999999999</v>
      </c>
      <c r="F546">
        <v>0.5</v>
      </c>
      <c r="G546">
        <v>0.64</v>
      </c>
      <c r="H546">
        <v>0</v>
      </c>
    </row>
    <row r="547" spans="1:8" x14ac:dyDescent="0.55000000000000004">
      <c r="A547" s="11" t="str">
        <f t="shared" si="24"/>
        <v>11月</v>
      </c>
      <c r="B547" s="11" t="str">
        <f t="shared" si="25"/>
        <v>11月23日</v>
      </c>
      <c r="C547" s="11" t="str">
        <f t="shared" si="26"/>
        <v>16時</v>
      </c>
      <c r="D547" s="10">
        <v>45619.625</v>
      </c>
      <c r="E547">
        <v>0.51</v>
      </c>
      <c r="F547">
        <v>0.48</v>
      </c>
      <c r="G547">
        <v>0.26</v>
      </c>
      <c r="H547">
        <v>0</v>
      </c>
    </row>
    <row r="548" spans="1:8" x14ac:dyDescent="0.55000000000000004">
      <c r="A548" s="11" t="str">
        <f t="shared" si="24"/>
        <v>11月</v>
      </c>
      <c r="B548" s="11" t="str">
        <f t="shared" si="25"/>
        <v>11月23日</v>
      </c>
      <c r="C548" s="11" t="str">
        <f t="shared" si="26"/>
        <v>17時</v>
      </c>
      <c r="D548" s="10">
        <v>45619.666666666664</v>
      </c>
      <c r="E548">
        <v>0</v>
      </c>
      <c r="F548">
        <v>1.29</v>
      </c>
      <c r="G548">
        <v>0</v>
      </c>
      <c r="H548">
        <v>0</v>
      </c>
    </row>
    <row r="549" spans="1:8" x14ac:dyDescent="0.55000000000000004">
      <c r="A549" s="11" t="str">
        <f t="shared" si="24"/>
        <v>11月</v>
      </c>
      <c r="B549" s="11" t="str">
        <f t="shared" si="25"/>
        <v>11月23日</v>
      </c>
      <c r="C549" s="11" t="str">
        <f t="shared" si="26"/>
        <v>18時</v>
      </c>
      <c r="D549" s="10">
        <v>45619.708333333336</v>
      </c>
      <c r="E549">
        <v>0</v>
      </c>
      <c r="F549">
        <v>2.33</v>
      </c>
      <c r="G549">
        <v>0</v>
      </c>
      <c r="H549">
        <v>0</v>
      </c>
    </row>
    <row r="550" spans="1:8" x14ac:dyDescent="0.55000000000000004">
      <c r="A550" s="11" t="str">
        <f t="shared" si="24"/>
        <v>11月</v>
      </c>
      <c r="B550" s="11" t="str">
        <f t="shared" si="25"/>
        <v>11月23日</v>
      </c>
      <c r="C550" s="11" t="str">
        <f t="shared" si="26"/>
        <v>19時</v>
      </c>
      <c r="D550" s="10">
        <v>45619.75</v>
      </c>
      <c r="E550">
        <v>0</v>
      </c>
      <c r="F550">
        <v>1.23</v>
      </c>
      <c r="G550">
        <v>0</v>
      </c>
      <c r="H550">
        <v>0</v>
      </c>
    </row>
    <row r="551" spans="1:8" x14ac:dyDescent="0.55000000000000004">
      <c r="A551" s="11" t="str">
        <f t="shared" si="24"/>
        <v>11月</v>
      </c>
      <c r="B551" s="11" t="str">
        <f t="shared" si="25"/>
        <v>11月23日</v>
      </c>
      <c r="C551" s="11" t="str">
        <f t="shared" si="26"/>
        <v>20時</v>
      </c>
      <c r="D551" s="10">
        <v>45619.791666666664</v>
      </c>
      <c r="E551">
        <v>0</v>
      </c>
      <c r="F551">
        <v>0.5</v>
      </c>
      <c r="G551">
        <v>0</v>
      </c>
      <c r="H551">
        <v>0.1</v>
      </c>
    </row>
    <row r="552" spans="1:8" x14ac:dyDescent="0.55000000000000004">
      <c r="A552" s="11" t="str">
        <f t="shared" si="24"/>
        <v>11月</v>
      </c>
      <c r="B552" s="11" t="str">
        <f t="shared" si="25"/>
        <v>11月23日</v>
      </c>
      <c r="C552" s="11" t="str">
        <f t="shared" si="26"/>
        <v>21時</v>
      </c>
      <c r="D552" s="10">
        <v>45619.833333333336</v>
      </c>
      <c r="E552">
        <v>0</v>
      </c>
      <c r="F552">
        <v>0.57999999999999996</v>
      </c>
      <c r="G552">
        <v>0</v>
      </c>
      <c r="H552">
        <v>0.61</v>
      </c>
    </row>
    <row r="553" spans="1:8" x14ac:dyDescent="0.55000000000000004">
      <c r="A553" s="11" t="str">
        <f t="shared" si="24"/>
        <v>11月</v>
      </c>
      <c r="B553" s="11" t="str">
        <f t="shared" si="25"/>
        <v>11月23日</v>
      </c>
      <c r="C553" s="11" t="str">
        <f t="shared" si="26"/>
        <v>22時</v>
      </c>
      <c r="D553" s="10">
        <v>45619.875</v>
      </c>
      <c r="E553">
        <v>0</v>
      </c>
      <c r="F553">
        <v>0.84</v>
      </c>
      <c r="G553">
        <v>0</v>
      </c>
      <c r="H553">
        <v>0.87</v>
      </c>
    </row>
    <row r="554" spans="1:8" x14ac:dyDescent="0.55000000000000004">
      <c r="A554" s="11" t="str">
        <f t="shared" si="24"/>
        <v>11月</v>
      </c>
      <c r="B554" s="11" t="str">
        <f t="shared" si="25"/>
        <v>11月23日</v>
      </c>
      <c r="C554" s="11" t="str">
        <f t="shared" si="26"/>
        <v>23時</v>
      </c>
      <c r="D554" s="10">
        <v>45619.916666666664</v>
      </c>
      <c r="E554">
        <v>0</v>
      </c>
      <c r="F554">
        <v>0.57999999999999996</v>
      </c>
      <c r="G554">
        <v>0</v>
      </c>
      <c r="H554">
        <v>0.61</v>
      </c>
    </row>
    <row r="555" spans="1:8" x14ac:dyDescent="0.55000000000000004">
      <c r="A555" s="11" t="str">
        <f t="shared" si="24"/>
        <v>11月</v>
      </c>
      <c r="B555" s="11" t="str">
        <f t="shared" si="25"/>
        <v>11月23日</v>
      </c>
      <c r="C555" s="11" t="str">
        <f t="shared" si="26"/>
        <v>24時</v>
      </c>
      <c r="D555" s="10">
        <v>45619.958333333336</v>
      </c>
      <c r="E555">
        <v>0</v>
      </c>
      <c r="F555">
        <v>0.55000000000000004</v>
      </c>
      <c r="G555">
        <v>0</v>
      </c>
      <c r="H555">
        <v>0.57999999999999996</v>
      </c>
    </row>
    <row r="556" spans="1:8" x14ac:dyDescent="0.55000000000000004">
      <c r="A556" s="11" t="str">
        <f t="shared" si="24"/>
        <v>11月</v>
      </c>
      <c r="B556" s="11" t="str">
        <f t="shared" si="25"/>
        <v>11月24日</v>
      </c>
      <c r="C556" s="11" t="str">
        <f t="shared" si="26"/>
        <v>1時</v>
      </c>
      <c r="D556" s="10">
        <v>45620</v>
      </c>
      <c r="E556">
        <v>0</v>
      </c>
      <c r="F556">
        <v>0.56000000000000005</v>
      </c>
      <c r="G556">
        <v>0</v>
      </c>
      <c r="H556">
        <v>0.59</v>
      </c>
    </row>
    <row r="557" spans="1:8" x14ac:dyDescent="0.55000000000000004">
      <c r="A557" s="11" t="str">
        <f t="shared" si="24"/>
        <v>11月</v>
      </c>
      <c r="B557" s="11" t="str">
        <f t="shared" si="25"/>
        <v>11月24日</v>
      </c>
      <c r="C557" s="11" t="str">
        <f t="shared" si="26"/>
        <v>2時</v>
      </c>
      <c r="D557" s="10">
        <v>45620.041666666664</v>
      </c>
      <c r="E557">
        <v>0</v>
      </c>
      <c r="F557">
        <v>0.55000000000000004</v>
      </c>
      <c r="G557">
        <v>0</v>
      </c>
      <c r="H557">
        <v>0.57999999999999996</v>
      </c>
    </row>
    <row r="558" spans="1:8" x14ac:dyDescent="0.55000000000000004">
      <c r="A558" s="11" t="str">
        <f t="shared" si="24"/>
        <v>11月</v>
      </c>
      <c r="B558" s="11" t="str">
        <f t="shared" si="25"/>
        <v>11月24日</v>
      </c>
      <c r="C558" s="11" t="str">
        <f t="shared" si="26"/>
        <v>3時</v>
      </c>
      <c r="D558" s="10">
        <v>45620.083333333336</v>
      </c>
      <c r="E558">
        <v>0</v>
      </c>
      <c r="F558">
        <v>0.6</v>
      </c>
      <c r="G558">
        <v>0</v>
      </c>
      <c r="H558">
        <v>0.63</v>
      </c>
    </row>
    <row r="559" spans="1:8" x14ac:dyDescent="0.55000000000000004">
      <c r="A559" s="11" t="str">
        <f t="shared" si="24"/>
        <v>11月</v>
      </c>
      <c r="B559" s="11" t="str">
        <f t="shared" si="25"/>
        <v>11月24日</v>
      </c>
      <c r="C559" s="11" t="str">
        <f t="shared" si="26"/>
        <v>4時</v>
      </c>
      <c r="D559" s="10">
        <v>45620.125</v>
      </c>
      <c r="E559">
        <v>0</v>
      </c>
      <c r="F559">
        <v>0.56000000000000005</v>
      </c>
      <c r="G559">
        <v>0</v>
      </c>
      <c r="H559">
        <v>0.59</v>
      </c>
    </row>
    <row r="560" spans="1:8" x14ac:dyDescent="0.55000000000000004">
      <c r="A560" s="11" t="str">
        <f t="shared" si="24"/>
        <v>11月</v>
      </c>
      <c r="B560" s="11" t="str">
        <f t="shared" si="25"/>
        <v>11月24日</v>
      </c>
      <c r="C560" s="11" t="str">
        <f t="shared" si="26"/>
        <v>5時</v>
      </c>
      <c r="D560" s="10">
        <v>45620.166666666664</v>
      </c>
      <c r="E560">
        <v>0</v>
      </c>
      <c r="F560">
        <v>0.57999999999999996</v>
      </c>
      <c r="G560">
        <v>0</v>
      </c>
      <c r="H560">
        <v>0.61</v>
      </c>
    </row>
    <row r="561" spans="1:8" x14ac:dyDescent="0.55000000000000004">
      <c r="A561" s="11" t="str">
        <f t="shared" si="24"/>
        <v>11月</v>
      </c>
      <c r="B561" s="11" t="str">
        <f t="shared" si="25"/>
        <v>11月24日</v>
      </c>
      <c r="C561" s="11" t="str">
        <f t="shared" si="26"/>
        <v>6時</v>
      </c>
      <c r="D561" s="10">
        <v>45620.208333333336</v>
      </c>
      <c r="E561">
        <v>0</v>
      </c>
      <c r="F561">
        <v>0.5</v>
      </c>
      <c r="G561">
        <v>0</v>
      </c>
      <c r="H561">
        <v>0.53</v>
      </c>
    </row>
    <row r="562" spans="1:8" x14ac:dyDescent="0.55000000000000004">
      <c r="A562" s="11" t="str">
        <f t="shared" si="24"/>
        <v>11月</v>
      </c>
      <c r="B562" s="11" t="str">
        <f t="shared" si="25"/>
        <v>11月24日</v>
      </c>
      <c r="C562" s="11" t="str">
        <f t="shared" si="26"/>
        <v>7時</v>
      </c>
      <c r="D562" s="10">
        <v>45620.25</v>
      </c>
      <c r="E562">
        <v>0</v>
      </c>
      <c r="F562">
        <v>0.63</v>
      </c>
      <c r="G562">
        <v>0</v>
      </c>
      <c r="H562">
        <v>0.64</v>
      </c>
    </row>
    <row r="563" spans="1:8" x14ac:dyDescent="0.55000000000000004">
      <c r="A563" s="11" t="str">
        <f t="shared" si="24"/>
        <v>11月</v>
      </c>
      <c r="B563" s="11" t="str">
        <f t="shared" si="25"/>
        <v>11月24日</v>
      </c>
      <c r="C563" s="11" t="str">
        <f t="shared" si="26"/>
        <v>8時</v>
      </c>
      <c r="D563" s="10">
        <v>45620.291666666664</v>
      </c>
      <c r="E563">
        <v>0.25</v>
      </c>
      <c r="F563">
        <v>0.62</v>
      </c>
      <c r="G563">
        <v>0</v>
      </c>
      <c r="H563">
        <v>0.38</v>
      </c>
    </row>
    <row r="564" spans="1:8" x14ac:dyDescent="0.55000000000000004">
      <c r="A564" s="11" t="str">
        <f t="shared" si="24"/>
        <v>11月</v>
      </c>
      <c r="B564" s="11" t="str">
        <f t="shared" si="25"/>
        <v>11月24日</v>
      </c>
      <c r="C564" s="11" t="str">
        <f t="shared" si="26"/>
        <v>9時</v>
      </c>
      <c r="D564" s="10">
        <v>45620.333333333336</v>
      </c>
      <c r="E564">
        <v>1.0900000000000001</v>
      </c>
      <c r="F564">
        <v>0.6</v>
      </c>
      <c r="G564">
        <v>0.02</v>
      </c>
      <c r="H564">
        <v>0.01</v>
      </c>
    </row>
    <row r="565" spans="1:8" x14ac:dyDescent="0.55000000000000004">
      <c r="A565" s="11" t="str">
        <f t="shared" si="24"/>
        <v>11月</v>
      </c>
      <c r="B565" s="11" t="str">
        <f t="shared" si="25"/>
        <v>11月24日</v>
      </c>
      <c r="C565" s="11" t="str">
        <f t="shared" si="26"/>
        <v>10時</v>
      </c>
      <c r="D565" s="10">
        <v>45620.375</v>
      </c>
      <c r="E565">
        <v>1.33</v>
      </c>
      <c r="F565">
        <v>0.64</v>
      </c>
      <c r="G565">
        <v>0.01</v>
      </c>
      <c r="H565">
        <v>0.01</v>
      </c>
    </row>
    <row r="566" spans="1:8" x14ac:dyDescent="0.55000000000000004">
      <c r="A566" s="11" t="str">
        <f t="shared" si="24"/>
        <v>11月</v>
      </c>
      <c r="B566" s="11" t="str">
        <f t="shared" si="25"/>
        <v>11月24日</v>
      </c>
      <c r="C566" s="11" t="str">
        <f t="shared" si="26"/>
        <v>11時</v>
      </c>
      <c r="D566" s="10">
        <v>45620.416666666664</v>
      </c>
      <c r="E566">
        <v>1.72</v>
      </c>
      <c r="F566">
        <v>0.57999999999999996</v>
      </c>
      <c r="G566">
        <v>0.02</v>
      </c>
      <c r="H566">
        <v>0.01</v>
      </c>
    </row>
    <row r="567" spans="1:8" x14ac:dyDescent="0.55000000000000004">
      <c r="A567" s="11" t="str">
        <f t="shared" si="24"/>
        <v>11月</v>
      </c>
      <c r="B567" s="11" t="str">
        <f t="shared" si="25"/>
        <v>11月24日</v>
      </c>
      <c r="C567" s="11" t="str">
        <f t="shared" si="26"/>
        <v>12時</v>
      </c>
      <c r="D567" s="10">
        <v>45620.458333333336</v>
      </c>
      <c r="E567">
        <v>2.31</v>
      </c>
      <c r="F567">
        <v>0.81</v>
      </c>
      <c r="G567">
        <v>0.04</v>
      </c>
      <c r="H567">
        <v>0</v>
      </c>
    </row>
    <row r="568" spans="1:8" x14ac:dyDescent="0.55000000000000004">
      <c r="A568" s="11" t="str">
        <f t="shared" si="24"/>
        <v>11月</v>
      </c>
      <c r="B568" s="11" t="str">
        <f t="shared" si="25"/>
        <v>11月24日</v>
      </c>
      <c r="C568" s="11" t="str">
        <f t="shared" si="26"/>
        <v>13時</v>
      </c>
      <c r="D568" s="10">
        <v>45620.5</v>
      </c>
      <c r="E568">
        <v>2.81</v>
      </c>
      <c r="F568">
        <v>0.88</v>
      </c>
      <c r="G568">
        <v>0.28999999999999998</v>
      </c>
      <c r="H568">
        <v>0.01</v>
      </c>
    </row>
    <row r="569" spans="1:8" x14ac:dyDescent="0.55000000000000004">
      <c r="A569" s="11" t="str">
        <f t="shared" si="24"/>
        <v>11月</v>
      </c>
      <c r="B569" s="11" t="str">
        <f t="shared" si="25"/>
        <v>11月24日</v>
      </c>
      <c r="C569" s="11" t="str">
        <f t="shared" si="26"/>
        <v>14時</v>
      </c>
      <c r="D569" s="10">
        <v>45620.541666666664</v>
      </c>
      <c r="E569">
        <v>3.83</v>
      </c>
      <c r="F569">
        <v>0.53</v>
      </c>
      <c r="G569">
        <v>2</v>
      </c>
      <c r="H569">
        <v>0</v>
      </c>
    </row>
    <row r="570" spans="1:8" x14ac:dyDescent="0.55000000000000004">
      <c r="A570" s="11" t="str">
        <f t="shared" si="24"/>
        <v>11月</v>
      </c>
      <c r="B570" s="11" t="str">
        <f t="shared" si="25"/>
        <v>11月24日</v>
      </c>
      <c r="C570" s="11" t="str">
        <f t="shared" si="26"/>
        <v>15時</v>
      </c>
      <c r="D570" s="10">
        <v>45620.583333333336</v>
      </c>
      <c r="E570">
        <v>2.39</v>
      </c>
      <c r="F570">
        <v>0.49</v>
      </c>
      <c r="G570">
        <v>1.93</v>
      </c>
      <c r="H570">
        <v>0</v>
      </c>
    </row>
    <row r="571" spans="1:8" x14ac:dyDescent="0.55000000000000004">
      <c r="A571" s="11" t="str">
        <f t="shared" si="24"/>
        <v>11月</v>
      </c>
      <c r="B571" s="11" t="str">
        <f t="shared" si="25"/>
        <v>11月24日</v>
      </c>
      <c r="C571" s="11" t="str">
        <f t="shared" si="26"/>
        <v>16時</v>
      </c>
      <c r="D571" s="10">
        <v>45620.625</v>
      </c>
      <c r="E571">
        <v>0.38</v>
      </c>
      <c r="F571">
        <v>1.58</v>
      </c>
      <c r="G571">
        <v>7.0000000000000007E-2</v>
      </c>
      <c r="H571">
        <v>0</v>
      </c>
    </row>
    <row r="572" spans="1:8" x14ac:dyDescent="0.55000000000000004">
      <c r="A572" s="11" t="str">
        <f t="shared" si="24"/>
        <v>11月</v>
      </c>
      <c r="B572" s="11" t="str">
        <f t="shared" si="25"/>
        <v>11月24日</v>
      </c>
      <c r="C572" s="11" t="str">
        <f t="shared" si="26"/>
        <v>17時</v>
      </c>
      <c r="D572" s="10">
        <v>45620.666666666664</v>
      </c>
      <c r="E572">
        <v>0.01</v>
      </c>
      <c r="F572">
        <v>2.31</v>
      </c>
      <c r="G572">
        <v>0.01</v>
      </c>
      <c r="H572">
        <v>0</v>
      </c>
    </row>
    <row r="573" spans="1:8" x14ac:dyDescent="0.55000000000000004">
      <c r="A573" s="11" t="str">
        <f t="shared" si="24"/>
        <v>11月</v>
      </c>
      <c r="B573" s="11" t="str">
        <f t="shared" si="25"/>
        <v>11月24日</v>
      </c>
      <c r="C573" s="11" t="str">
        <f t="shared" si="26"/>
        <v>18時</v>
      </c>
      <c r="D573" s="10">
        <v>45620.708333333336</v>
      </c>
      <c r="E573">
        <v>0</v>
      </c>
      <c r="F573">
        <v>3.03</v>
      </c>
      <c r="G573">
        <v>0</v>
      </c>
      <c r="H573">
        <v>1.42</v>
      </c>
    </row>
    <row r="574" spans="1:8" x14ac:dyDescent="0.55000000000000004">
      <c r="A574" s="11" t="str">
        <f t="shared" si="24"/>
        <v>11月</v>
      </c>
      <c r="B574" s="11" t="str">
        <f t="shared" si="25"/>
        <v>11月24日</v>
      </c>
      <c r="C574" s="11" t="str">
        <f t="shared" si="26"/>
        <v>19時</v>
      </c>
      <c r="D574" s="10">
        <v>45620.75</v>
      </c>
      <c r="E574">
        <v>0</v>
      </c>
      <c r="F574">
        <v>2.58</v>
      </c>
      <c r="G574">
        <v>0</v>
      </c>
      <c r="H574">
        <v>2.61</v>
      </c>
    </row>
    <row r="575" spans="1:8" x14ac:dyDescent="0.55000000000000004">
      <c r="A575" s="11" t="str">
        <f t="shared" si="24"/>
        <v>11月</v>
      </c>
      <c r="B575" s="11" t="str">
        <f t="shared" si="25"/>
        <v>11月24日</v>
      </c>
      <c r="C575" s="11" t="str">
        <f t="shared" si="26"/>
        <v>20時</v>
      </c>
      <c r="D575" s="10">
        <v>45620.791666666664</v>
      </c>
      <c r="E575">
        <v>0</v>
      </c>
      <c r="F575">
        <v>0.74</v>
      </c>
      <c r="G575">
        <v>0</v>
      </c>
      <c r="H575">
        <v>0.78</v>
      </c>
    </row>
    <row r="576" spans="1:8" x14ac:dyDescent="0.55000000000000004">
      <c r="A576" s="11" t="str">
        <f t="shared" si="24"/>
        <v>11月</v>
      </c>
      <c r="B576" s="11" t="str">
        <f t="shared" si="25"/>
        <v>11月24日</v>
      </c>
      <c r="C576" s="11" t="str">
        <f t="shared" si="26"/>
        <v>21時</v>
      </c>
      <c r="D576" s="10">
        <v>45620.833333333336</v>
      </c>
      <c r="E576">
        <v>0</v>
      </c>
      <c r="F576">
        <v>1.34</v>
      </c>
      <c r="G576">
        <v>0</v>
      </c>
      <c r="H576">
        <v>1.37</v>
      </c>
    </row>
    <row r="577" spans="1:8" x14ac:dyDescent="0.55000000000000004">
      <c r="A577" s="11" t="str">
        <f t="shared" si="24"/>
        <v>11月</v>
      </c>
      <c r="B577" s="11" t="str">
        <f t="shared" si="25"/>
        <v>11月24日</v>
      </c>
      <c r="C577" s="11" t="str">
        <f t="shared" si="26"/>
        <v>22時</v>
      </c>
      <c r="D577" s="10">
        <v>45620.875</v>
      </c>
      <c r="E577">
        <v>0</v>
      </c>
      <c r="F577">
        <v>0.75</v>
      </c>
      <c r="G577">
        <v>0</v>
      </c>
      <c r="H577">
        <v>0.79</v>
      </c>
    </row>
    <row r="578" spans="1:8" x14ac:dyDescent="0.55000000000000004">
      <c r="A578" s="11" t="str">
        <f t="shared" si="24"/>
        <v>11月</v>
      </c>
      <c r="B578" s="11" t="str">
        <f t="shared" si="25"/>
        <v>11月24日</v>
      </c>
      <c r="C578" s="11" t="str">
        <f t="shared" si="26"/>
        <v>23時</v>
      </c>
      <c r="D578" s="10">
        <v>45620.916666666664</v>
      </c>
      <c r="E578">
        <v>0</v>
      </c>
      <c r="F578">
        <v>0.5</v>
      </c>
      <c r="G578">
        <v>0</v>
      </c>
      <c r="H578">
        <v>0.54</v>
      </c>
    </row>
    <row r="579" spans="1:8" x14ac:dyDescent="0.55000000000000004">
      <c r="A579" s="11" t="str">
        <f t="shared" si="24"/>
        <v>11月</v>
      </c>
      <c r="B579" s="11" t="str">
        <f t="shared" si="25"/>
        <v>11月24日</v>
      </c>
      <c r="C579" s="11" t="str">
        <f t="shared" si="26"/>
        <v>24時</v>
      </c>
      <c r="D579" s="10">
        <v>45620.958333333336</v>
      </c>
      <c r="E579">
        <v>0</v>
      </c>
      <c r="F579">
        <v>0.59</v>
      </c>
      <c r="G579">
        <v>0</v>
      </c>
      <c r="H579">
        <v>0.64</v>
      </c>
    </row>
    <row r="580" spans="1:8" x14ac:dyDescent="0.55000000000000004">
      <c r="A580" s="11" t="str">
        <f t="shared" ref="A580:A643" si="27">MONTH(D580)&amp;"月"</f>
        <v>11月</v>
      </c>
      <c r="B580" s="11" t="str">
        <f t="shared" ref="B580:B643" si="28">A580&amp;DAY(D580)&amp;"日"</f>
        <v>11月25日</v>
      </c>
      <c r="C580" s="11" t="str">
        <f t="shared" ref="C580:C643" si="29">HOUR(D580)+1&amp;"時"</f>
        <v>1時</v>
      </c>
      <c r="D580" s="10">
        <v>45621</v>
      </c>
      <c r="E580">
        <v>0</v>
      </c>
      <c r="F580">
        <v>0.6</v>
      </c>
      <c r="G580">
        <v>0</v>
      </c>
      <c r="H580">
        <v>0.63</v>
      </c>
    </row>
    <row r="581" spans="1:8" x14ac:dyDescent="0.55000000000000004">
      <c r="A581" s="11" t="str">
        <f t="shared" si="27"/>
        <v>11月</v>
      </c>
      <c r="B581" s="11" t="str">
        <f t="shared" si="28"/>
        <v>11月25日</v>
      </c>
      <c r="C581" s="11" t="str">
        <f t="shared" si="29"/>
        <v>2時</v>
      </c>
      <c r="D581" s="10">
        <v>45621.041666666664</v>
      </c>
      <c r="E581">
        <v>0</v>
      </c>
      <c r="F581">
        <v>0.48</v>
      </c>
      <c r="G581">
        <v>0</v>
      </c>
      <c r="H581">
        <v>0.52</v>
      </c>
    </row>
    <row r="582" spans="1:8" x14ac:dyDescent="0.55000000000000004">
      <c r="A582" s="11" t="str">
        <f t="shared" si="27"/>
        <v>11月</v>
      </c>
      <c r="B582" s="11" t="str">
        <f t="shared" si="28"/>
        <v>11月25日</v>
      </c>
      <c r="C582" s="11" t="str">
        <f t="shared" si="29"/>
        <v>3時</v>
      </c>
      <c r="D582" s="10">
        <v>45621.083333333336</v>
      </c>
      <c r="E582">
        <v>0</v>
      </c>
      <c r="F582">
        <v>0.59</v>
      </c>
      <c r="G582">
        <v>0</v>
      </c>
      <c r="H582">
        <v>0.64</v>
      </c>
    </row>
    <row r="583" spans="1:8" x14ac:dyDescent="0.55000000000000004">
      <c r="A583" s="11" t="str">
        <f t="shared" si="27"/>
        <v>11月</v>
      </c>
      <c r="B583" s="11" t="str">
        <f t="shared" si="28"/>
        <v>11月25日</v>
      </c>
      <c r="C583" s="11" t="str">
        <f t="shared" si="29"/>
        <v>4時</v>
      </c>
      <c r="D583" s="10">
        <v>45621.125</v>
      </c>
      <c r="E583">
        <v>0</v>
      </c>
      <c r="F583">
        <v>0.57999999999999996</v>
      </c>
      <c r="G583">
        <v>0</v>
      </c>
      <c r="H583">
        <v>0.61</v>
      </c>
    </row>
    <row r="584" spans="1:8" x14ac:dyDescent="0.55000000000000004">
      <c r="A584" s="11" t="str">
        <f t="shared" si="27"/>
        <v>11月</v>
      </c>
      <c r="B584" s="11" t="str">
        <f t="shared" si="28"/>
        <v>11月25日</v>
      </c>
      <c r="C584" s="11" t="str">
        <f t="shared" si="29"/>
        <v>5時</v>
      </c>
      <c r="D584" s="10">
        <v>45621.166666666664</v>
      </c>
      <c r="E584">
        <v>0</v>
      </c>
      <c r="F584">
        <v>1.26</v>
      </c>
      <c r="G584">
        <v>0</v>
      </c>
      <c r="H584">
        <v>1.3</v>
      </c>
    </row>
    <row r="585" spans="1:8" x14ac:dyDescent="0.55000000000000004">
      <c r="A585" s="11" t="str">
        <f t="shared" si="27"/>
        <v>11月</v>
      </c>
      <c r="B585" s="11" t="str">
        <f t="shared" si="28"/>
        <v>11月25日</v>
      </c>
      <c r="C585" s="11" t="str">
        <f t="shared" si="29"/>
        <v>6時</v>
      </c>
      <c r="D585" s="10">
        <v>45621.208333333336</v>
      </c>
      <c r="E585">
        <v>0</v>
      </c>
      <c r="F585">
        <v>0.55000000000000004</v>
      </c>
      <c r="G585">
        <v>0</v>
      </c>
      <c r="H585">
        <v>0.59</v>
      </c>
    </row>
    <row r="586" spans="1:8" x14ac:dyDescent="0.55000000000000004">
      <c r="A586" s="11" t="str">
        <f t="shared" si="27"/>
        <v>11月</v>
      </c>
      <c r="B586" s="11" t="str">
        <f t="shared" si="28"/>
        <v>11月25日</v>
      </c>
      <c r="C586" s="11" t="str">
        <f t="shared" si="29"/>
        <v>7時</v>
      </c>
      <c r="D586" s="10">
        <v>45621.25</v>
      </c>
      <c r="E586">
        <v>0.01</v>
      </c>
      <c r="F586">
        <v>0.89</v>
      </c>
      <c r="G586">
        <v>0</v>
      </c>
      <c r="H586">
        <v>0.9</v>
      </c>
    </row>
    <row r="587" spans="1:8" x14ac:dyDescent="0.55000000000000004">
      <c r="A587" s="11" t="str">
        <f t="shared" si="27"/>
        <v>11月</v>
      </c>
      <c r="B587" s="11" t="str">
        <f t="shared" si="28"/>
        <v>11月25日</v>
      </c>
      <c r="C587" s="11" t="str">
        <f t="shared" si="29"/>
        <v>8時</v>
      </c>
      <c r="D587" s="10">
        <v>45621.291666666664</v>
      </c>
      <c r="E587">
        <v>0.43</v>
      </c>
      <c r="F587">
        <v>0.64</v>
      </c>
      <c r="G587">
        <v>0</v>
      </c>
      <c r="H587">
        <v>0.24</v>
      </c>
    </row>
    <row r="588" spans="1:8" x14ac:dyDescent="0.55000000000000004">
      <c r="A588" s="11" t="str">
        <f t="shared" si="27"/>
        <v>11月</v>
      </c>
      <c r="B588" s="11" t="str">
        <f t="shared" si="28"/>
        <v>11月25日</v>
      </c>
      <c r="C588" s="11" t="str">
        <f t="shared" si="29"/>
        <v>9時</v>
      </c>
      <c r="D588" s="10">
        <v>45621.333333333336</v>
      </c>
      <c r="E588">
        <v>1.36</v>
      </c>
      <c r="F588">
        <v>0.47</v>
      </c>
      <c r="G588">
        <v>0.04</v>
      </c>
      <c r="H588">
        <v>0</v>
      </c>
    </row>
    <row r="589" spans="1:8" x14ac:dyDescent="0.55000000000000004">
      <c r="A589" s="11" t="str">
        <f t="shared" si="27"/>
        <v>11月</v>
      </c>
      <c r="B589" s="11" t="str">
        <f t="shared" si="28"/>
        <v>11月25日</v>
      </c>
      <c r="C589" s="11" t="str">
        <f t="shared" si="29"/>
        <v>10時</v>
      </c>
      <c r="D589" s="10">
        <v>45621.375</v>
      </c>
      <c r="E589">
        <v>3.01</v>
      </c>
      <c r="F589">
        <v>0.51</v>
      </c>
      <c r="G589">
        <v>0.22</v>
      </c>
      <c r="H589">
        <v>0.01</v>
      </c>
    </row>
    <row r="590" spans="1:8" x14ac:dyDescent="0.55000000000000004">
      <c r="A590" s="11" t="str">
        <f t="shared" si="27"/>
        <v>11月</v>
      </c>
      <c r="B590" s="11" t="str">
        <f t="shared" si="28"/>
        <v>11月25日</v>
      </c>
      <c r="C590" s="11" t="str">
        <f t="shared" si="29"/>
        <v>11時</v>
      </c>
      <c r="D590" s="10">
        <v>45621.416666666664</v>
      </c>
      <c r="E590">
        <v>5.01</v>
      </c>
      <c r="F590">
        <v>1.21</v>
      </c>
      <c r="G590">
        <v>0.9</v>
      </c>
      <c r="H590">
        <v>0.01</v>
      </c>
    </row>
    <row r="591" spans="1:8" x14ac:dyDescent="0.55000000000000004">
      <c r="A591" s="11" t="str">
        <f t="shared" si="27"/>
        <v>11月</v>
      </c>
      <c r="B591" s="11" t="str">
        <f t="shared" si="28"/>
        <v>11月25日</v>
      </c>
      <c r="C591" s="11" t="str">
        <f t="shared" si="29"/>
        <v>12時</v>
      </c>
      <c r="D591" s="10">
        <v>45621.458333333336</v>
      </c>
      <c r="E591">
        <v>5.15</v>
      </c>
      <c r="F591">
        <v>0.54</v>
      </c>
      <c r="G591">
        <v>4.4400000000000004</v>
      </c>
      <c r="H591">
        <v>0</v>
      </c>
    </row>
    <row r="592" spans="1:8" x14ac:dyDescent="0.55000000000000004">
      <c r="A592" s="11" t="str">
        <f t="shared" si="27"/>
        <v>11月</v>
      </c>
      <c r="B592" s="11" t="str">
        <f t="shared" si="28"/>
        <v>11月25日</v>
      </c>
      <c r="C592" s="11" t="str">
        <f t="shared" si="29"/>
        <v>13時</v>
      </c>
      <c r="D592" s="10">
        <v>45621.5</v>
      </c>
      <c r="E592">
        <v>6.14</v>
      </c>
      <c r="F592">
        <v>0.48</v>
      </c>
      <c r="G592">
        <v>5.66</v>
      </c>
      <c r="H592">
        <v>0</v>
      </c>
    </row>
    <row r="593" spans="1:8" x14ac:dyDescent="0.55000000000000004">
      <c r="A593" s="11" t="str">
        <f t="shared" si="27"/>
        <v>11月</v>
      </c>
      <c r="B593" s="11" t="str">
        <f t="shared" si="28"/>
        <v>11月25日</v>
      </c>
      <c r="C593" s="11" t="str">
        <f t="shared" si="29"/>
        <v>14時</v>
      </c>
      <c r="D593" s="10">
        <v>45621.541666666664</v>
      </c>
      <c r="E593">
        <v>4.45</v>
      </c>
      <c r="F593">
        <v>0.44</v>
      </c>
      <c r="G593">
        <v>4.01</v>
      </c>
      <c r="H593">
        <v>0</v>
      </c>
    </row>
    <row r="594" spans="1:8" x14ac:dyDescent="0.55000000000000004">
      <c r="A594" s="11" t="str">
        <f t="shared" si="27"/>
        <v>11月</v>
      </c>
      <c r="B594" s="11" t="str">
        <f t="shared" si="28"/>
        <v>11月25日</v>
      </c>
      <c r="C594" s="11" t="str">
        <f t="shared" si="29"/>
        <v>15時</v>
      </c>
      <c r="D594" s="10">
        <v>45621.583333333336</v>
      </c>
      <c r="E594">
        <v>2.66</v>
      </c>
      <c r="F594">
        <v>0.42</v>
      </c>
      <c r="G594">
        <v>2.2400000000000002</v>
      </c>
      <c r="H594">
        <v>0</v>
      </c>
    </row>
    <row r="595" spans="1:8" x14ac:dyDescent="0.55000000000000004">
      <c r="A595" s="11" t="str">
        <f t="shared" si="27"/>
        <v>11月</v>
      </c>
      <c r="B595" s="11" t="str">
        <f t="shared" si="28"/>
        <v>11月25日</v>
      </c>
      <c r="C595" s="11" t="str">
        <f t="shared" si="29"/>
        <v>16時</v>
      </c>
      <c r="D595" s="10">
        <v>45621.625</v>
      </c>
      <c r="E595">
        <v>0.63</v>
      </c>
      <c r="F595">
        <v>0.5</v>
      </c>
      <c r="G595">
        <v>0.25</v>
      </c>
      <c r="H595">
        <v>0</v>
      </c>
    </row>
    <row r="596" spans="1:8" x14ac:dyDescent="0.55000000000000004">
      <c r="A596" s="11" t="str">
        <f t="shared" si="27"/>
        <v>11月</v>
      </c>
      <c r="B596" s="11" t="str">
        <f t="shared" si="28"/>
        <v>11月25日</v>
      </c>
      <c r="C596" s="11" t="str">
        <f t="shared" si="29"/>
        <v>17時</v>
      </c>
      <c r="D596" s="10">
        <v>45621.666666666664</v>
      </c>
      <c r="E596">
        <v>0</v>
      </c>
      <c r="F596">
        <v>1.93</v>
      </c>
      <c r="G596">
        <v>0.01</v>
      </c>
      <c r="H596">
        <v>0.02</v>
      </c>
    </row>
    <row r="597" spans="1:8" x14ac:dyDescent="0.55000000000000004">
      <c r="A597" s="11" t="str">
        <f t="shared" si="27"/>
        <v>11月</v>
      </c>
      <c r="B597" s="11" t="str">
        <f t="shared" si="28"/>
        <v>11月25日</v>
      </c>
      <c r="C597" s="11" t="str">
        <f t="shared" si="29"/>
        <v>18時</v>
      </c>
      <c r="D597" s="10">
        <v>45621.708333333336</v>
      </c>
      <c r="E597">
        <v>0</v>
      </c>
      <c r="F597">
        <v>2.64</v>
      </c>
      <c r="G597">
        <v>0.01</v>
      </c>
      <c r="H597">
        <v>0.01</v>
      </c>
    </row>
    <row r="598" spans="1:8" x14ac:dyDescent="0.55000000000000004">
      <c r="A598" s="11" t="str">
        <f t="shared" si="27"/>
        <v>11月</v>
      </c>
      <c r="B598" s="11" t="str">
        <f t="shared" si="28"/>
        <v>11月25日</v>
      </c>
      <c r="C598" s="11" t="str">
        <f t="shared" si="29"/>
        <v>19時</v>
      </c>
      <c r="D598" s="10">
        <v>45621.75</v>
      </c>
      <c r="E598">
        <v>0</v>
      </c>
      <c r="F598">
        <v>3.19</v>
      </c>
      <c r="G598">
        <v>0</v>
      </c>
      <c r="H598">
        <v>2.75</v>
      </c>
    </row>
    <row r="599" spans="1:8" x14ac:dyDescent="0.55000000000000004">
      <c r="A599" s="11" t="str">
        <f t="shared" si="27"/>
        <v>11月</v>
      </c>
      <c r="B599" s="11" t="str">
        <f t="shared" si="28"/>
        <v>11月25日</v>
      </c>
      <c r="C599" s="11" t="str">
        <f t="shared" si="29"/>
        <v>20時</v>
      </c>
      <c r="D599" s="10">
        <v>45621.791666666664</v>
      </c>
      <c r="E599">
        <v>0</v>
      </c>
      <c r="F599">
        <v>2.4500000000000002</v>
      </c>
      <c r="G599">
        <v>0</v>
      </c>
      <c r="H599">
        <v>2.48</v>
      </c>
    </row>
    <row r="600" spans="1:8" x14ac:dyDescent="0.55000000000000004">
      <c r="A600" s="11" t="str">
        <f t="shared" si="27"/>
        <v>11月</v>
      </c>
      <c r="B600" s="11" t="str">
        <f t="shared" si="28"/>
        <v>11月25日</v>
      </c>
      <c r="C600" s="11" t="str">
        <f t="shared" si="29"/>
        <v>21時</v>
      </c>
      <c r="D600" s="10">
        <v>45621.833333333336</v>
      </c>
      <c r="E600">
        <v>0</v>
      </c>
      <c r="F600">
        <v>1</v>
      </c>
      <c r="G600">
        <v>0</v>
      </c>
      <c r="H600">
        <v>1.04</v>
      </c>
    </row>
    <row r="601" spans="1:8" x14ac:dyDescent="0.55000000000000004">
      <c r="A601" s="11" t="str">
        <f t="shared" si="27"/>
        <v>11月</v>
      </c>
      <c r="B601" s="11" t="str">
        <f t="shared" si="28"/>
        <v>11月25日</v>
      </c>
      <c r="C601" s="11" t="str">
        <f t="shared" si="29"/>
        <v>22時</v>
      </c>
      <c r="D601" s="10">
        <v>45621.875</v>
      </c>
      <c r="E601">
        <v>0</v>
      </c>
      <c r="F601">
        <v>0.66</v>
      </c>
      <c r="G601">
        <v>0</v>
      </c>
      <c r="H601">
        <v>0.69</v>
      </c>
    </row>
    <row r="602" spans="1:8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8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8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8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8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8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8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196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基本シート</vt:lpstr>
      <vt:lpstr>10月</vt:lpstr>
      <vt:lpstr>11月</vt:lpstr>
      <vt:lpstr>比較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2024-12-06T03:19:22Z</dcterms:modified>
</cp:coreProperties>
</file>
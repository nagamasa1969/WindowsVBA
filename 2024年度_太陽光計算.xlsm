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5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6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7.xml" ContentType="application/vnd.openxmlformats-officedocument.drawing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drawings/drawing8.xml" ContentType="application/vnd.openxmlformats-officedocument.drawing+xml"/>
  <Override PartName="/xl/activeX/activeX1.xml" ContentType="application/vnd.ms-office.activeX+xml"/>
  <Override PartName="/xl/drawings/drawing9.xml" ContentType="application/vnd.openxmlformats-officedocument.drawing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gitWindows\WindowsVBA\"/>
    </mc:Choice>
  </mc:AlternateContent>
  <xr:revisionPtr revIDLastSave="0" documentId="13_ncr:1_{346E6F3F-DC7C-4FF4-974B-5B9C17405DB0}" xr6:coauthVersionLast="47" xr6:coauthVersionMax="47" xr10:uidLastSave="{00000000-0000-0000-0000-000000000000}"/>
  <bookViews>
    <workbookView xWindow="-110" yWindow="-110" windowWidth="19420" windowHeight="10300" xr2:uid="{CB0EEB28-61B6-4D3C-8237-3A6DEBBCEA5A}"/>
  </bookViews>
  <sheets>
    <sheet name="基本シート" sheetId="1" r:id="rId1"/>
    <sheet name="10月" sheetId="20" r:id="rId2"/>
    <sheet name="11月" sheetId="21" r:id="rId3"/>
    <sheet name="12月" sheetId="22" r:id="rId4"/>
    <sheet name="1月" sheetId="23" r:id="rId5"/>
    <sheet name="2月" sheetId="24" r:id="rId6"/>
    <sheet name="比較" sheetId="8" r:id="rId7"/>
    <sheet name="CSV" sheetId="3" r:id="rId8"/>
    <sheet name="消費分析" sheetId="6" r:id="rId9"/>
    <sheet name="フォーマット" sheetId="7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8" i="1" l="1"/>
  <c r="I87" i="1"/>
  <c r="C87" i="1"/>
  <c r="I86" i="1"/>
  <c r="C85" i="1"/>
  <c r="I84" i="1"/>
  <c r="I83" i="1"/>
  <c r="I82" i="1"/>
  <c r="I81" i="1"/>
  <c r="I80" i="1"/>
  <c r="C79" i="1"/>
  <c r="I78" i="1"/>
  <c r="I63" i="1"/>
  <c r="F77" i="1"/>
  <c r="C77" i="1"/>
  <c r="BE37" i="20"/>
  <c r="CE37" i="20"/>
  <c r="CG37" i="20"/>
  <c r="CI37" i="20"/>
  <c r="CK37" i="20"/>
  <c r="CM37" i="20"/>
  <c r="CO37" i="20"/>
  <c r="EZ37" i="20"/>
  <c r="GX37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AA38" i="20"/>
  <c r="AB38" i="20"/>
  <c r="AC38" i="20"/>
  <c r="AD38" i="20"/>
  <c r="AE38" i="20"/>
  <c r="AF38" i="20"/>
  <c r="AG38" i="20"/>
  <c r="AH38" i="20"/>
  <c r="AI38" i="20"/>
  <c r="AJ38" i="20"/>
  <c r="AK38" i="20"/>
  <c r="AL38" i="20"/>
  <c r="AM38" i="20"/>
  <c r="AN38" i="20"/>
  <c r="AO38" i="20"/>
  <c r="AP38" i="20"/>
  <c r="AQ38" i="20"/>
  <c r="AR38" i="20"/>
  <c r="AS38" i="20"/>
  <c r="AT38" i="20"/>
  <c r="AU38" i="20"/>
  <c r="AV38" i="20"/>
  <c r="AW38" i="20"/>
  <c r="AX38" i="20"/>
  <c r="AY38" i="20"/>
  <c r="AZ38" i="20"/>
  <c r="BA38" i="20"/>
  <c r="BB38" i="20"/>
  <c r="BC38" i="20"/>
  <c r="BD38" i="20"/>
  <c r="BE38" i="20"/>
  <c r="BF38" i="20"/>
  <c r="BG38" i="20"/>
  <c r="BH38" i="20"/>
  <c r="BI38" i="20"/>
  <c r="BJ38" i="20"/>
  <c r="BK38" i="20"/>
  <c r="BL38" i="20"/>
  <c r="BM38" i="20"/>
  <c r="BN38" i="20"/>
  <c r="BO38" i="20"/>
  <c r="BP38" i="20"/>
  <c r="BQ38" i="20"/>
  <c r="BR38" i="20"/>
  <c r="BS38" i="20"/>
  <c r="BT38" i="20"/>
  <c r="BU38" i="20"/>
  <c r="BV38" i="20"/>
  <c r="BW38" i="20"/>
  <c r="BX38" i="20"/>
  <c r="BY38" i="20"/>
  <c r="BZ38" i="20"/>
  <c r="CA38" i="20"/>
  <c r="CB38" i="20"/>
  <c r="CC38" i="20"/>
  <c r="CD38" i="20"/>
  <c r="CE38" i="20"/>
  <c r="CF38" i="20"/>
  <c r="CG38" i="20"/>
  <c r="CH38" i="20"/>
  <c r="CI38" i="20"/>
  <c r="CJ38" i="20"/>
  <c r="CK38" i="20"/>
  <c r="CL38" i="20"/>
  <c r="CM38" i="20"/>
  <c r="CN38" i="20"/>
  <c r="CO38" i="20"/>
  <c r="CP38" i="20"/>
  <c r="CQ38" i="20"/>
  <c r="CR38" i="20"/>
  <c r="CS38" i="20"/>
  <c r="CT38" i="20"/>
  <c r="CU38" i="20"/>
  <c r="CV38" i="20"/>
  <c r="CW38" i="20"/>
  <c r="CX38" i="20"/>
  <c r="CY38" i="20"/>
  <c r="CZ38" i="20"/>
  <c r="DA38" i="20"/>
  <c r="DB38" i="20"/>
  <c r="DC38" i="20"/>
  <c r="DD38" i="20"/>
  <c r="DE38" i="20"/>
  <c r="DF38" i="20"/>
  <c r="DG38" i="20"/>
  <c r="DH38" i="20"/>
  <c r="DI38" i="20"/>
  <c r="DJ38" i="20"/>
  <c r="DK38" i="20"/>
  <c r="DL38" i="20"/>
  <c r="DM38" i="20"/>
  <c r="DN38" i="20"/>
  <c r="DO38" i="20"/>
  <c r="DP38" i="20"/>
  <c r="DQ38" i="20"/>
  <c r="DR38" i="20"/>
  <c r="DS38" i="20"/>
  <c r="DT38" i="20"/>
  <c r="DU38" i="20"/>
  <c r="DV38" i="20"/>
  <c r="DW38" i="20"/>
  <c r="DX38" i="20"/>
  <c r="DY38" i="20"/>
  <c r="DZ38" i="20"/>
  <c r="EA38" i="20"/>
  <c r="EB38" i="20"/>
  <c r="EC38" i="20"/>
  <c r="ED38" i="20"/>
  <c r="EE38" i="20"/>
  <c r="EF38" i="20"/>
  <c r="EG38" i="20"/>
  <c r="EH38" i="20"/>
  <c r="EI38" i="20"/>
  <c r="EJ38" i="20"/>
  <c r="EK38" i="20"/>
  <c r="EL38" i="20"/>
  <c r="EM38" i="20"/>
  <c r="EN38" i="20"/>
  <c r="EO38" i="20"/>
  <c r="EP38" i="20"/>
  <c r="EQ38" i="20"/>
  <c r="ER38" i="20"/>
  <c r="ES38" i="20"/>
  <c r="ET38" i="20"/>
  <c r="EU38" i="20"/>
  <c r="EV38" i="20"/>
  <c r="EW38" i="20"/>
  <c r="EX38" i="20"/>
  <c r="EY38" i="20"/>
  <c r="EZ38" i="20"/>
  <c r="FA38" i="20"/>
  <c r="FB38" i="20"/>
  <c r="FC38" i="20"/>
  <c r="FD38" i="20"/>
  <c r="FE38" i="20"/>
  <c r="FF38" i="20"/>
  <c r="FG38" i="20"/>
  <c r="FH38" i="20"/>
  <c r="FI38" i="20"/>
  <c r="FJ38" i="20"/>
  <c r="FK38" i="20"/>
  <c r="FL38" i="20"/>
  <c r="FM38" i="20"/>
  <c r="FN38" i="20"/>
  <c r="FO38" i="20"/>
  <c r="FP38" i="20"/>
  <c r="FQ38" i="20"/>
  <c r="FR38" i="20"/>
  <c r="FS38" i="20"/>
  <c r="FT38" i="20"/>
  <c r="FU38" i="20"/>
  <c r="FV38" i="20"/>
  <c r="FW38" i="20"/>
  <c r="FX38" i="20"/>
  <c r="FY38" i="20"/>
  <c r="FZ38" i="20"/>
  <c r="GA38" i="20"/>
  <c r="GB38" i="20"/>
  <c r="GC38" i="20"/>
  <c r="GD38" i="20"/>
  <c r="GE38" i="20"/>
  <c r="GF38" i="20"/>
  <c r="GG38" i="20"/>
  <c r="GH38" i="20"/>
  <c r="GI38" i="20"/>
  <c r="GJ38" i="20"/>
  <c r="GK38" i="20"/>
  <c r="GL38" i="20"/>
  <c r="GM38" i="20"/>
  <c r="GN38" i="20"/>
  <c r="GO38" i="20"/>
  <c r="GP38" i="20"/>
  <c r="GQ38" i="20"/>
  <c r="GR38" i="20"/>
  <c r="GS38" i="20"/>
  <c r="GT38" i="20"/>
  <c r="GU38" i="20"/>
  <c r="GV38" i="20"/>
  <c r="GW38" i="20"/>
  <c r="GX38" i="20"/>
  <c r="I38" i="21"/>
  <c r="J38" i="21"/>
  <c r="K38" i="21"/>
  <c r="L38" i="21"/>
  <c r="M38" i="21"/>
  <c r="N38" i="21"/>
  <c r="O38" i="21"/>
  <c r="P38" i="21"/>
  <c r="Q38" i="2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D38" i="21"/>
  <c r="AE38" i="21"/>
  <c r="AF38" i="21"/>
  <c r="AG38" i="21"/>
  <c r="AH38" i="21"/>
  <c r="AI38" i="21"/>
  <c r="AJ38" i="21"/>
  <c r="AK38" i="21"/>
  <c r="AL38" i="21"/>
  <c r="AM38" i="21"/>
  <c r="AN38" i="21"/>
  <c r="AO38" i="21"/>
  <c r="AP38" i="21"/>
  <c r="AQ38" i="21"/>
  <c r="AR38" i="21"/>
  <c r="AS38" i="21"/>
  <c r="AT38" i="21"/>
  <c r="AU38" i="21"/>
  <c r="AV38" i="21"/>
  <c r="AW38" i="21"/>
  <c r="AX38" i="21"/>
  <c r="AY38" i="21"/>
  <c r="AZ38" i="21"/>
  <c r="BA38" i="21"/>
  <c r="BB38" i="21"/>
  <c r="BC38" i="21"/>
  <c r="BD38" i="21"/>
  <c r="BE38" i="21"/>
  <c r="BF38" i="21"/>
  <c r="BG38" i="21"/>
  <c r="BH38" i="21"/>
  <c r="BI38" i="21"/>
  <c r="BJ38" i="21"/>
  <c r="BK38" i="21"/>
  <c r="BL38" i="21"/>
  <c r="BM38" i="21"/>
  <c r="BN38" i="21"/>
  <c r="BO38" i="21"/>
  <c r="BP38" i="21"/>
  <c r="BQ38" i="21"/>
  <c r="BR38" i="21"/>
  <c r="BS38" i="21"/>
  <c r="BT38" i="21"/>
  <c r="BU38" i="21"/>
  <c r="BV38" i="21"/>
  <c r="BW38" i="21"/>
  <c r="BX38" i="21"/>
  <c r="BY38" i="21"/>
  <c r="BZ38" i="21"/>
  <c r="CA38" i="21"/>
  <c r="CB38" i="21"/>
  <c r="CC38" i="21"/>
  <c r="CD38" i="21"/>
  <c r="CE38" i="21"/>
  <c r="CF38" i="21"/>
  <c r="CG38" i="21"/>
  <c r="CH38" i="21"/>
  <c r="CI38" i="21"/>
  <c r="CJ38" i="21"/>
  <c r="CK38" i="21"/>
  <c r="CL38" i="21"/>
  <c r="CM38" i="21"/>
  <c r="CN38" i="21"/>
  <c r="CO38" i="21"/>
  <c r="CP38" i="21"/>
  <c r="CQ38" i="21"/>
  <c r="CR38" i="21"/>
  <c r="CS38" i="21"/>
  <c r="CT38" i="21"/>
  <c r="CU38" i="21"/>
  <c r="CV38" i="21"/>
  <c r="CW38" i="21"/>
  <c r="CX38" i="21"/>
  <c r="CY38" i="21"/>
  <c r="CZ38" i="21"/>
  <c r="DA38" i="21"/>
  <c r="DB38" i="21"/>
  <c r="DC38" i="21"/>
  <c r="DD38" i="21"/>
  <c r="DE38" i="21"/>
  <c r="DF38" i="21"/>
  <c r="DG38" i="21"/>
  <c r="DH38" i="21"/>
  <c r="DI38" i="21"/>
  <c r="DJ38" i="21"/>
  <c r="DK38" i="21"/>
  <c r="DL38" i="21"/>
  <c r="DM38" i="21"/>
  <c r="DN38" i="21"/>
  <c r="DO38" i="21"/>
  <c r="DP38" i="21"/>
  <c r="DQ38" i="21"/>
  <c r="DR38" i="21"/>
  <c r="DS38" i="21"/>
  <c r="DT38" i="21"/>
  <c r="DU38" i="21"/>
  <c r="DV38" i="21"/>
  <c r="DW38" i="21"/>
  <c r="DX38" i="21"/>
  <c r="DY38" i="21"/>
  <c r="DZ38" i="21"/>
  <c r="EA38" i="21"/>
  <c r="EB38" i="21"/>
  <c r="EC38" i="21"/>
  <c r="ED38" i="21"/>
  <c r="EE38" i="21"/>
  <c r="EF38" i="21"/>
  <c r="EG38" i="21"/>
  <c r="EH38" i="21"/>
  <c r="EI38" i="21"/>
  <c r="EJ38" i="21"/>
  <c r="EK38" i="21"/>
  <c r="EL38" i="21"/>
  <c r="EM38" i="21"/>
  <c r="EN38" i="21"/>
  <c r="EO38" i="21"/>
  <c r="EP38" i="21"/>
  <c r="EQ38" i="21"/>
  <c r="ER38" i="21"/>
  <c r="ES38" i="21"/>
  <c r="ET38" i="21"/>
  <c r="EU38" i="21"/>
  <c r="EV38" i="21"/>
  <c r="EW38" i="21"/>
  <c r="EX38" i="21"/>
  <c r="EY38" i="21"/>
  <c r="EZ38" i="21"/>
  <c r="FA38" i="21"/>
  <c r="FB38" i="21"/>
  <c r="FC38" i="21"/>
  <c r="FD38" i="21"/>
  <c r="FE38" i="21"/>
  <c r="FF38" i="21"/>
  <c r="FG38" i="21"/>
  <c r="FH38" i="21"/>
  <c r="FI38" i="21"/>
  <c r="FJ38" i="21"/>
  <c r="FK38" i="21"/>
  <c r="FL38" i="21"/>
  <c r="FM38" i="21"/>
  <c r="FN38" i="21"/>
  <c r="FO38" i="21"/>
  <c r="FP38" i="21"/>
  <c r="FQ38" i="21"/>
  <c r="FR38" i="21"/>
  <c r="FS38" i="21"/>
  <c r="FT38" i="21"/>
  <c r="FU38" i="21"/>
  <c r="FV38" i="21"/>
  <c r="FW38" i="21"/>
  <c r="FX38" i="21"/>
  <c r="FY38" i="21"/>
  <c r="FZ38" i="21"/>
  <c r="GA38" i="21"/>
  <c r="GB38" i="21"/>
  <c r="GC38" i="21"/>
  <c r="GD38" i="21"/>
  <c r="GE38" i="21"/>
  <c r="GF38" i="21"/>
  <c r="GG38" i="21"/>
  <c r="GH38" i="21"/>
  <c r="GI38" i="21"/>
  <c r="GJ38" i="21"/>
  <c r="GK38" i="21"/>
  <c r="GL38" i="21"/>
  <c r="GM38" i="21"/>
  <c r="GN38" i="21"/>
  <c r="GO38" i="21"/>
  <c r="GP38" i="21"/>
  <c r="GQ38" i="21"/>
  <c r="GR38" i="21"/>
  <c r="GS38" i="21"/>
  <c r="GT38" i="21"/>
  <c r="GU38" i="21"/>
  <c r="GV38" i="21"/>
  <c r="GW38" i="21"/>
  <c r="GX38" i="21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I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EA38" i="22"/>
  <c r="EB38" i="22"/>
  <c r="EC38" i="22"/>
  <c r="ED38" i="22"/>
  <c r="EE38" i="22"/>
  <c r="EF38" i="22"/>
  <c r="EG38" i="22"/>
  <c r="EH38" i="22"/>
  <c r="EI38" i="22"/>
  <c r="EJ38" i="22"/>
  <c r="EK38" i="22"/>
  <c r="EL38" i="22"/>
  <c r="EM38" i="22"/>
  <c r="EN38" i="22"/>
  <c r="EO38" i="22"/>
  <c r="EP38" i="22"/>
  <c r="EQ38" i="22"/>
  <c r="ER38" i="22"/>
  <c r="ES38" i="22"/>
  <c r="ET38" i="22"/>
  <c r="EU38" i="22"/>
  <c r="EV38" i="22"/>
  <c r="EW38" i="22"/>
  <c r="EX38" i="22"/>
  <c r="EY38" i="22"/>
  <c r="EZ38" i="22"/>
  <c r="FA38" i="22"/>
  <c r="FB38" i="22"/>
  <c r="FC38" i="22"/>
  <c r="FD38" i="22"/>
  <c r="FE38" i="22"/>
  <c r="FF38" i="22"/>
  <c r="FG38" i="22"/>
  <c r="FH38" i="22"/>
  <c r="FI38" i="22"/>
  <c r="FJ38" i="22"/>
  <c r="FK38" i="22"/>
  <c r="FL38" i="22"/>
  <c r="FM38" i="22"/>
  <c r="FN38" i="22"/>
  <c r="FO38" i="22"/>
  <c r="FP38" i="22"/>
  <c r="FQ38" i="22"/>
  <c r="FR38" i="22"/>
  <c r="FS38" i="22"/>
  <c r="FT38" i="22"/>
  <c r="FU38" i="22"/>
  <c r="FV38" i="22"/>
  <c r="FW38" i="22"/>
  <c r="FX38" i="22"/>
  <c r="FY38" i="22"/>
  <c r="FZ38" i="22"/>
  <c r="GA38" i="22"/>
  <c r="GB38" i="22"/>
  <c r="GC38" i="22"/>
  <c r="GD38" i="22"/>
  <c r="GE38" i="22"/>
  <c r="GF38" i="22"/>
  <c r="GG38" i="22"/>
  <c r="GH38" i="22"/>
  <c r="GI38" i="22"/>
  <c r="GJ38" i="22"/>
  <c r="GK38" i="22"/>
  <c r="GL38" i="22"/>
  <c r="GM38" i="22"/>
  <c r="GN38" i="22"/>
  <c r="GO38" i="22"/>
  <c r="GP38" i="22"/>
  <c r="GQ38" i="22"/>
  <c r="GR38" i="22"/>
  <c r="GS38" i="22"/>
  <c r="GT38" i="22"/>
  <c r="GU38" i="22"/>
  <c r="GV38" i="22"/>
  <c r="GW38" i="22"/>
  <c r="GX38" i="22"/>
  <c r="GX37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CB38" i="7"/>
  <c r="CC38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FA38" i="7"/>
  <c r="FB38" i="7"/>
  <c r="FC38" i="7"/>
  <c r="FD38" i="7"/>
  <c r="FE38" i="7"/>
  <c r="FF38" i="7"/>
  <c r="FG38" i="7"/>
  <c r="FH38" i="7"/>
  <c r="FI38" i="7"/>
  <c r="FJ38" i="7"/>
  <c r="FK38" i="7"/>
  <c r="FL38" i="7"/>
  <c r="FM38" i="7"/>
  <c r="FN38" i="7"/>
  <c r="FO38" i="7"/>
  <c r="FP38" i="7"/>
  <c r="FQ38" i="7"/>
  <c r="FR38" i="7"/>
  <c r="FS38" i="7"/>
  <c r="FT38" i="7"/>
  <c r="FU38" i="7"/>
  <c r="FV38" i="7"/>
  <c r="FW38" i="7"/>
  <c r="FX38" i="7"/>
  <c r="FY38" i="7"/>
  <c r="FZ38" i="7"/>
  <c r="GA38" i="7"/>
  <c r="GB38" i="7"/>
  <c r="GC38" i="7"/>
  <c r="GD38" i="7"/>
  <c r="GE38" i="7"/>
  <c r="GF38" i="7"/>
  <c r="GG38" i="7"/>
  <c r="GH38" i="7"/>
  <c r="GI38" i="7"/>
  <c r="GJ38" i="7"/>
  <c r="GK38" i="7"/>
  <c r="GL38" i="7"/>
  <c r="GM38" i="7"/>
  <c r="GN38" i="7"/>
  <c r="GO38" i="7"/>
  <c r="GP38" i="7"/>
  <c r="GQ38" i="7"/>
  <c r="GR38" i="7"/>
  <c r="GS38" i="7"/>
  <c r="GT38" i="7"/>
  <c r="GU38" i="7"/>
  <c r="GV38" i="7"/>
  <c r="GW38" i="7"/>
  <c r="GX38" i="7"/>
  <c r="T38" i="24"/>
  <c r="U38" i="24"/>
  <c r="V38" i="24"/>
  <c r="W38" i="24"/>
  <c r="X38" i="24"/>
  <c r="Y38" i="24"/>
  <c r="Z38" i="24"/>
  <c r="AA38" i="24"/>
  <c r="AB38" i="24"/>
  <c r="AC38" i="24"/>
  <c r="AD38" i="24"/>
  <c r="AE38" i="24"/>
  <c r="AF38" i="24"/>
  <c r="AG38" i="24"/>
  <c r="AH38" i="24"/>
  <c r="AI38" i="24"/>
  <c r="AJ38" i="24"/>
  <c r="AK38" i="24"/>
  <c r="AL38" i="24"/>
  <c r="AM38" i="24"/>
  <c r="AN38" i="24"/>
  <c r="AO38" i="24"/>
  <c r="AP38" i="24"/>
  <c r="AQ38" i="24"/>
  <c r="AR38" i="24"/>
  <c r="AS38" i="24"/>
  <c r="AT38" i="24"/>
  <c r="AU38" i="24"/>
  <c r="AV38" i="24"/>
  <c r="AW38" i="24"/>
  <c r="AX38" i="24"/>
  <c r="AY38" i="24"/>
  <c r="AZ38" i="24"/>
  <c r="BA38" i="24"/>
  <c r="BB38" i="24"/>
  <c r="BC38" i="24"/>
  <c r="BD38" i="24"/>
  <c r="BE38" i="24"/>
  <c r="BF38" i="24"/>
  <c r="BG38" i="24"/>
  <c r="BH38" i="24"/>
  <c r="BI38" i="24"/>
  <c r="BJ38" i="24"/>
  <c r="BK38" i="24"/>
  <c r="BL38" i="24"/>
  <c r="BM38" i="24"/>
  <c r="BN38" i="24"/>
  <c r="BO38" i="24"/>
  <c r="BP38" i="24"/>
  <c r="BQ38" i="24"/>
  <c r="BR38" i="24"/>
  <c r="BS38" i="24"/>
  <c r="BT38" i="24"/>
  <c r="BU38" i="24"/>
  <c r="BV38" i="24"/>
  <c r="BW38" i="24"/>
  <c r="BX38" i="24"/>
  <c r="BY38" i="24"/>
  <c r="BZ38" i="24"/>
  <c r="CA38" i="24"/>
  <c r="CB38" i="24"/>
  <c r="CC38" i="24"/>
  <c r="CD38" i="24"/>
  <c r="CE38" i="24"/>
  <c r="CF38" i="24"/>
  <c r="CG38" i="24"/>
  <c r="CH38" i="24"/>
  <c r="CI38" i="24"/>
  <c r="CJ38" i="24"/>
  <c r="CK38" i="24"/>
  <c r="CL38" i="24"/>
  <c r="CM38" i="24"/>
  <c r="CN38" i="24"/>
  <c r="CO38" i="24"/>
  <c r="CP38" i="24"/>
  <c r="CQ38" i="24"/>
  <c r="CR38" i="24"/>
  <c r="CS38" i="24"/>
  <c r="CT38" i="24"/>
  <c r="CU38" i="24"/>
  <c r="CV38" i="24"/>
  <c r="CW38" i="24"/>
  <c r="CX38" i="24"/>
  <c r="CY38" i="24"/>
  <c r="CZ38" i="24"/>
  <c r="DA38" i="24"/>
  <c r="DB38" i="24"/>
  <c r="DC38" i="24"/>
  <c r="DD38" i="24"/>
  <c r="DE38" i="24"/>
  <c r="DF38" i="24"/>
  <c r="DG38" i="24"/>
  <c r="DH38" i="24"/>
  <c r="DI38" i="24"/>
  <c r="DJ38" i="24"/>
  <c r="DK38" i="24"/>
  <c r="DL38" i="24"/>
  <c r="DM38" i="24"/>
  <c r="DN38" i="24"/>
  <c r="DO38" i="24"/>
  <c r="DP38" i="24"/>
  <c r="DQ38" i="24"/>
  <c r="DR38" i="24"/>
  <c r="DS38" i="24"/>
  <c r="DT38" i="24"/>
  <c r="DU38" i="24"/>
  <c r="DV38" i="24"/>
  <c r="DW38" i="24"/>
  <c r="DX38" i="24"/>
  <c r="DY38" i="24"/>
  <c r="DZ38" i="24"/>
  <c r="EA38" i="24"/>
  <c r="EB38" i="24"/>
  <c r="EC38" i="24"/>
  <c r="ED38" i="24"/>
  <c r="EE38" i="24"/>
  <c r="EF38" i="24"/>
  <c r="EG38" i="24"/>
  <c r="EH38" i="24"/>
  <c r="EI38" i="24"/>
  <c r="EJ38" i="24"/>
  <c r="EK38" i="24"/>
  <c r="EL38" i="24"/>
  <c r="EM38" i="24"/>
  <c r="EN38" i="24"/>
  <c r="EO38" i="24"/>
  <c r="EP38" i="24"/>
  <c r="EQ38" i="24"/>
  <c r="ER38" i="24"/>
  <c r="ES38" i="24"/>
  <c r="ET38" i="24"/>
  <c r="EU38" i="24"/>
  <c r="EV38" i="24"/>
  <c r="EW38" i="24"/>
  <c r="EX38" i="24"/>
  <c r="EY38" i="24"/>
  <c r="EZ38" i="24"/>
  <c r="FA38" i="24"/>
  <c r="FB38" i="24"/>
  <c r="FC38" i="24"/>
  <c r="FD38" i="24"/>
  <c r="FE38" i="24"/>
  <c r="FF38" i="24"/>
  <c r="FG38" i="24"/>
  <c r="FH38" i="24"/>
  <c r="FI38" i="24"/>
  <c r="FJ38" i="24"/>
  <c r="FK38" i="24"/>
  <c r="FL38" i="24"/>
  <c r="FM38" i="24"/>
  <c r="FN38" i="24"/>
  <c r="FO38" i="24"/>
  <c r="FP38" i="24"/>
  <c r="FQ38" i="24"/>
  <c r="FR38" i="24"/>
  <c r="FS38" i="24"/>
  <c r="FT38" i="24"/>
  <c r="FU38" i="24"/>
  <c r="FV38" i="24"/>
  <c r="FW38" i="24"/>
  <c r="FX38" i="24"/>
  <c r="FY38" i="24"/>
  <c r="FZ38" i="24"/>
  <c r="GA38" i="24"/>
  <c r="GB38" i="24"/>
  <c r="GC38" i="24"/>
  <c r="GD38" i="24"/>
  <c r="GE38" i="24"/>
  <c r="GF38" i="24"/>
  <c r="GG38" i="24"/>
  <c r="GH38" i="24"/>
  <c r="GI38" i="24"/>
  <c r="GJ38" i="24"/>
  <c r="GK38" i="24"/>
  <c r="GL38" i="24"/>
  <c r="GM38" i="24"/>
  <c r="GN38" i="24"/>
  <c r="GO38" i="24"/>
  <c r="GP38" i="24"/>
  <c r="GQ38" i="24"/>
  <c r="GR38" i="24"/>
  <c r="GS38" i="24"/>
  <c r="GT38" i="24"/>
  <c r="GU38" i="24"/>
  <c r="GV38" i="24"/>
  <c r="GW38" i="24"/>
  <c r="GX38" i="24"/>
  <c r="X38" i="23"/>
  <c r="Y38" i="23"/>
  <c r="Z38" i="23"/>
  <c r="AA38" i="23"/>
  <c r="AB38" i="23"/>
  <c r="AC38" i="23"/>
  <c r="AD38" i="23"/>
  <c r="AE38" i="23"/>
  <c r="AF38" i="23"/>
  <c r="AG38" i="23"/>
  <c r="AH38" i="23"/>
  <c r="AI38" i="23"/>
  <c r="AJ38" i="23"/>
  <c r="AK38" i="23"/>
  <c r="AL38" i="23"/>
  <c r="AM38" i="23"/>
  <c r="AN38" i="23"/>
  <c r="AO38" i="23"/>
  <c r="AP38" i="23"/>
  <c r="AQ38" i="23"/>
  <c r="AR38" i="23"/>
  <c r="AS38" i="23"/>
  <c r="AT38" i="23"/>
  <c r="AU38" i="23"/>
  <c r="AV38" i="23"/>
  <c r="AW38" i="23"/>
  <c r="AX38" i="23"/>
  <c r="AY38" i="23"/>
  <c r="AZ38" i="23"/>
  <c r="BA38" i="23"/>
  <c r="BB38" i="23"/>
  <c r="BC38" i="23"/>
  <c r="BD38" i="23"/>
  <c r="BE38" i="23"/>
  <c r="BF38" i="23"/>
  <c r="BG38" i="23"/>
  <c r="BH38" i="23"/>
  <c r="BI38" i="23"/>
  <c r="BJ38" i="23"/>
  <c r="BK38" i="23"/>
  <c r="BL38" i="23"/>
  <c r="BM38" i="23"/>
  <c r="BN38" i="23"/>
  <c r="BO38" i="23"/>
  <c r="BP38" i="23"/>
  <c r="BQ38" i="23"/>
  <c r="BR38" i="23"/>
  <c r="BS38" i="23"/>
  <c r="BT38" i="23"/>
  <c r="BU38" i="23"/>
  <c r="BV38" i="23"/>
  <c r="BW38" i="23"/>
  <c r="BX38" i="23"/>
  <c r="BY38" i="23"/>
  <c r="BZ38" i="23"/>
  <c r="CA38" i="23"/>
  <c r="CB38" i="23"/>
  <c r="CC38" i="23"/>
  <c r="CD38" i="23"/>
  <c r="CE38" i="23"/>
  <c r="CF38" i="23"/>
  <c r="V38" i="23"/>
  <c r="T38" i="23"/>
  <c r="GX37" i="22"/>
  <c r="FY37" i="22"/>
  <c r="EZ37" i="22"/>
  <c r="BE37" i="22"/>
  <c r="GX37" i="23"/>
  <c r="FY37" i="23"/>
  <c r="EZ37" i="23"/>
  <c r="CE37" i="23"/>
  <c r="BE37" i="23"/>
  <c r="BE37" i="7"/>
  <c r="DZ37" i="20"/>
  <c r="EA37" i="20" s="1"/>
  <c r="DY37" i="20"/>
  <c r="DW37" i="20"/>
  <c r="DU37" i="20"/>
  <c r="DS37" i="20"/>
  <c r="DQ37" i="20"/>
  <c r="DO37" i="20"/>
  <c r="DM37" i="20"/>
  <c r="DK37" i="20"/>
  <c r="DI37" i="20"/>
  <c r="DG37" i="20"/>
  <c r="DE37" i="20"/>
  <c r="DC37" i="20"/>
  <c r="DA37" i="20"/>
  <c r="CY37" i="20"/>
  <c r="CW37" i="20"/>
  <c r="CU37" i="20"/>
  <c r="CS37" i="20"/>
  <c r="CQ37" i="20"/>
  <c r="FY37" i="20"/>
  <c r="DO37" i="7"/>
  <c r="DQ37" i="7"/>
  <c r="DS37" i="7"/>
  <c r="DU37" i="7"/>
  <c r="DW37" i="7"/>
  <c r="DY37" i="7"/>
  <c r="DZ37" i="7"/>
  <c r="EA37" i="7"/>
  <c r="DC37" i="7"/>
  <c r="DE37" i="7"/>
  <c r="DG37" i="7"/>
  <c r="DI37" i="7"/>
  <c r="DK37" i="7"/>
  <c r="DM37" i="7"/>
  <c r="DA37" i="7"/>
  <c r="CY37" i="7"/>
  <c r="CW37" i="7"/>
  <c r="CU37" i="7"/>
  <c r="CQ37" i="7"/>
  <c r="CS37" i="7"/>
  <c r="CO37" i="7"/>
  <c r="CM37" i="7"/>
  <c r="CK37" i="7"/>
  <c r="CI37" i="7"/>
  <c r="CG37" i="7"/>
  <c r="CE37" i="7"/>
  <c r="EA37" i="22"/>
  <c r="DZ37" i="22"/>
  <c r="DY37" i="22"/>
  <c r="DW37" i="22"/>
  <c r="DU37" i="22"/>
  <c r="DS37" i="22"/>
  <c r="DQ37" i="22"/>
  <c r="DO37" i="22"/>
  <c r="DM37" i="22"/>
  <c r="DK37" i="22"/>
  <c r="DI37" i="22"/>
  <c r="DG37" i="22"/>
  <c r="DE37" i="22"/>
  <c r="DC37" i="22"/>
  <c r="DA37" i="22"/>
  <c r="CY37" i="22"/>
  <c r="CW37" i="22"/>
  <c r="CU37" i="22"/>
  <c r="CS37" i="22"/>
  <c r="CQ37" i="22"/>
  <c r="CO37" i="22"/>
  <c r="CM37" i="22"/>
  <c r="CK37" i="22"/>
  <c r="CI37" i="22"/>
  <c r="CG37" i="22"/>
  <c r="CE37" i="22"/>
  <c r="DZ37" i="23"/>
  <c r="EA37" i="23" s="1"/>
  <c r="DY37" i="23"/>
  <c r="DW37" i="23"/>
  <c r="DU37" i="23"/>
  <c r="DS37" i="23"/>
  <c r="DQ37" i="23"/>
  <c r="DO37" i="23"/>
  <c r="DM37" i="23"/>
  <c r="DK37" i="23"/>
  <c r="DI37" i="23"/>
  <c r="DG37" i="23"/>
  <c r="DE37" i="23"/>
  <c r="DC37" i="23"/>
  <c r="DA37" i="23"/>
  <c r="CY37" i="23"/>
  <c r="CW37" i="23"/>
  <c r="CU37" i="23"/>
  <c r="CS37" i="23"/>
  <c r="CQ37" i="23"/>
  <c r="CO37" i="23"/>
  <c r="CM37" i="23"/>
  <c r="CK37" i="23"/>
  <c r="CI37" i="23"/>
  <c r="CG37" i="23"/>
  <c r="C9" i="24"/>
  <c r="E9" i="24" s="1"/>
  <c r="R38" i="24"/>
  <c r="P38" i="24"/>
  <c r="N38" i="24"/>
  <c r="L38" i="24"/>
  <c r="J38" i="24"/>
  <c r="H38" i="24"/>
  <c r="C38" i="24"/>
  <c r="E38" i="24" s="1"/>
  <c r="BD37" i="24"/>
  <c r="BC37" i="24"/>
  <c r="BA37" i="24"/>
  <c r="AY37" i="24"/>
  <c r="AW37" i="24"/>
  <c r="AU37" i="24"/>
  <c r="AS37" i="24"/>
  <c r="AQ37" i="24"/>
  <c r="AO37" i="24"/>
  <c r="AM37" i="24"/>
  <c r="AK37" i="24"/>
  <c r="AI37" i="24"/>
  <c r="AG37" i="24"/>
  <c r="AE37" i="24"/>
  <c r="AC37" i="24"/>
  <c r="AA37" i="24"/>
  <c r="Y37" i="24"/>
  <c r="W37" i="24"/>
  <c r="U37" i="24"/>
  <c r="S37" i="24"/>
  <c r="Q37" i="24"/>
  <c r="O37" i="24"/>
  <c r="M37" i="24"/>
  <c r="K37" i="24"/>
  <c r="I37" i="24"/>
  <c r="GX36" i="24"/>
  <c r="FY36" i="24"/>
  <c r="EZ36" i="24"/>
  <c r="DZ36" i="24"/>
  <c r="EA36" i="24" s="1"/>
  <c r="DY36" i="24"/>
  <c r="DW36" i="24"/>
  <c r="DU36" i="24"/>
  <c r="DS36" i="24"/>
  <c r="DQ36" i="24"/>
  <c r="DO36" i="24"/>
  <c r="DM36" i="24"/>
  <c r="DK36" i="24"/>
  <c r="DI36" i="24"/>
  <c r="DG36" i="24"/>
  <c r="DE36" i="24"/>
  <c r="DC36" i="24"/>
  <c r="DA36" i="24"/>
  <c r="CY36" i="24"/>
  <c r="CW36" i="24"/>
  <c r="CU36" i="24"/>
  <c r="CS36" i="24"/>
  <c r="CQ36" i="24"/>
  <c r="CO36" i="24"/>
  <c r="CM36" i="24"/>
  <c r="CK36" i="24"/>
  <c r="CI36" i="24"/>
  <c r="CG36" i="24"/>
  <c r="CE36" i="24"/>
  <c r="BD36" i="24"/>
  <c r="E36" i="24"/>
  <c r="BC36" i="24" s="1"/>
  <c r="GX35" i="24"/>
  <c r="FY35" i="24"/>
  <c r="EZ35" i="24"/>
  <c r="DZ35" i="24"/>
  <c r="EA35" i="24" s="1"/>
  <c r="DY35" i="24"/>
  <c r="DW35" i="24"/>
  <c r="DU35" i="24"/>
  <c r="DS35" i="24"/>
  <c r="DQ35" i="24"/>
  <c r="DO35" i="24"/>
  <c r="DM35" i="24"/>
  <c r="DK35" i="24"/>
  <c r="DI35" i="24"/>
  <c r="DG35" i="24"/>
  <c r="DE35" i="24"/>
  <c r="DC35" i="24"/>
  <c r="DA35" i="24"/>
  <c r="CY35" i="24"/>
  <c r="CW35" i="24"/>
  <c r="CU35" i="24"/>
  <c r="CS35" i="24"/>
  <c r="CQ35" i="24"/>
  <c r="CO35" i="24"/>
  <c r="CM35" i="24"/>
  <c r="CK35" i="24"/>
  <c r="CI35" i="24"/>
  <c r="CG35" i="24"/>
  <c r="CE35" i="24"/>
  <c r="BD35" i="24"/>
  <c r="E35" i="24"/>
  <c r="GX34" i="24"/>
  <c r="FY34" i="24"/>
  <c r="EZ34" i="24"/>
  <c r="EA34" i="24"/>
  <c r="DZ34" i="24"/>
  <c r="DY34" i="24"/>
  <c r="DW34" i="24"/>
  <c r="DU34" i="24"/>
  <c r="DS34" i="24"/>
  <c r="DQ34" i="24"/>
  <c r="DO34" i="24"/>
  <c r="DM34" i="24"/>
  <c r="DK34" i="24"/>
  <c r="DI34" i="24"/>
  <c r="DG34" i="24"/>
  <c r="DE34" i="24"/>
  <c r="DC34" i="24"/>
  <c r="DA34" i="24"/>
  <c r="CY34" i="24"/>
  <c r="CW34" i="24"/>
  <c r="CU34" i="24"/>
  <c r="CS34" i="24"/>
  <c r="CQ34" i="24"/>
  <c r="CO34" i="24"/>
  <c r="CM34" i="24"/>
  <c r="CK34" i="24"/>
  <c r="CI34" i="24"/>
  <c r="CG34" i="24"/>
  <c r="CE34" i="24"/>
  <c r="BD34" i="24"/>
  <c r="K34" i="24"/>
  <c r="C34" i="24"/>
  <c r="E34" i="24" s="1"/>
  <c r="AQ34" i="24" s="1"/>
  <c r="GX33" i="24"/>
  <c r="FY33" i="24"/>
  <c r="EZ33" i="24"/>
  <c r="DZ33" i="24"/>
  <c r="EA33" i="24" s="1"/>
  <c r="DY33" i="24"/>
  <c r="DW33" i="24"/>
  <c r="DU33" i="24"/>
  <c r="DS33" i="24"/>
  <c r="DQ33" i="24"/>
  <c r="DO33" i="24"/>
  <c r="DM33" i="24"/>
  <c r="DK33" i="24"/>
  <c r="DI33" i="24"/>
  <c r="DG33" i="24"/>
  <c r="DE33" i="24"/>
  <c r="DC33" i="24"/>
  <c r="DA33" i="24"/>
  <c r="CY33" i="24"/>
  <c r="CW33" i="24"/>
  <c r="CU33" i="24"/>
  <c r="CS33" i="24"/>
  <c r="CQ33" i="24"/>
  <c r="CO33" i="24"/>
  <c r="CM33" i="24"/>
  <c r="CK33" i="24"/>
  <c r="CI33" i="24"/>
  <c r="CG33" i="24"/>
  <c r="CE33" i="24"/>
  <c r="BD33" i="24"/>
  <c r="C33" i="24"/>
  <c r="E33" i="24" s="1"/>
  <c r="W33" i="24" s="1"/>
  <c r="GX32" i="24"/>
  <c r="FY32" i="24"/>
  <c r="EZ32" i="24"/>
  <c r="EA32" i="24"/>
  <c r="DZ32" i="24"/>
  <c r="DY32" i="24"/>
  <c r="DW32" i="24"/>
  <c r="DU32" i="24"/>
  <c r="DS32" i="24"/>
  <c r="DQ32" i="24"/>
  <c r="DO32" i="24"/>
  <c r="DM32" i="24"/>
  <c r="DK32" i="24"/>
  <c r="DI32" i="24"/>
  <c r="DG32" i="24"/>
  <c r="DE32" i="24"/>
  <c r="DC32" i="24"/>
  <c r="DA32" i="24"/>
  <c r="CY32" i="24"/>
  <c r="CW32" i="24"/>
  <c r="CU32" i="24"/>
  <c r="CS32" i="24"/>
  <c r="CQ32" i="24"/>
  <c r="CO32" i="24"/>
  <c r="CM32" i="24"/>
  <c r="CK32" i="24"/>
  <c r="CI32" i="24"/>
  <c r="CG32" i="24"/>
  <c r="CE32" i="24"/>
  <c r="BD32" i="24"/>
  <c r="C32" i="24"/>
  <c r="E32" i="24" s="1"/>
  <c r="AU32" i="24" s="1"/>
  <c r="GX31" i="24"/>
  <c r="FY31" i="24"/>
  <c r="EZ31" i="24"/>
  <c r="EA31" i="24"/>
  <c r="DZ31" i="24"/>
  <c r="DY31" i="24"/>
  <c r="DW31" i="24"/>
  <c r="DU31" i="24"/>
  <c r="DS31" i="24"/>
  <c r="DQ31" i="24"/>
  <c r="DO31" i="24"/>
  <c r="DM31" i="24"/>
  <c r="DK31" i="24"/>
  <c r="DI31" i="24"/>
  <c r="DG31" i="24"/>
  <c r="DE31" i="24"/>
  <c r="DC31" i="24"/>
  <c r="DA31" i="24"/>
  <c r="CY31" i="24"/>
  <c r="CW31" i="24"/>
  <c r="CU31" i="24"/>
  <c r="CS31" i="24"/>
  <c r="CQ31" i="24"/>
  <c r="CO31" i="24"/>
  <c r="CM31" i="24"/>
  <c r="CK31" i="24"/>
  <c r="CI31" i="24"/>
  <c r="CG31" i="24"/>
  <c r="CE31" i="24"/>
  <c r="BD31" i="24"/>
  <c r="AQ31" i="24"/>
  <c r="AG31" i="24"/>
  <c r="C31" i="24"/>
  <c r="E31" i="24" s="1"/>
  <c r="AW31" i="24" s="1"/>
  <c r="GX30" i="24"/>
  <c r="FY30" i="24"/>
  <c r="EZ30" i="24"/>
  <c r="DZ30" i="24"/>
  <c r="EA30" i="24" s="1"/>
  <c r="DY30" i="24"/>
  <c r="DW30" i="24"/>
  <c r="DU30" i="24"/>
  <c r="DS30" i="24"/>
  <c r="DQ30" i="24"/>
  <c r="DO30" i="24"/>
  <c r="DM30" i="24"/>
  <c r="DK30" i="24"/>
  <c r="DI30" i="24"/>
  <c r="DG30" i="24"/>
  <c r="DE30" i="24"/>
  <c r="DC30" i="24"/>
  <c r="DA30" i="24"/>
  <c r="CY30" i="24"/>
  <c r="CW30" i="24"/>
  <c r="CU30" i="24"/>
  <c r="CS30" i="24"/>
  <c r="CQ30" i="24"/>
  <c r="CO30" i="24"/>
  <c r="CM30" i="24"/>
  <c r="CK30" i="24"/>
  <c r="CI30" i="24"/>
  <c r="CG30" i="24"/>
  <c r="CE30" i="24"/>
  <c r="BD30" i="24"/>
  <c r="C30" i="24"/>
  <c r="E30" i="24" s="1"/>
  <c r="AS30" i="24" s="1"/>
  <c r="GX29" i="24"/>
  <c r="FY29" i="24"/>
  <c r="EZ29" i="24"/>
  <c r="EA29" i="24"/>
  <c r="DZ29" i="24"/>
  <c r="DY29" i="24"/>
  <c r="DW29" i="24"/>
  <c r="DU29" i="24"/>
  <c r="DS29" i="24"/>
  <c r="DQ29" i="24"/>
  <c r="DO29" i="24"/>
  <c r="DM29" i="24"/>
  <c r="DK29" i="24"/>
  <c r="DI29" i="24"/>
  <c r="DG29" i="24"/>
  <c r="DE29" i="24"/>
  <c r="DC29" i="24"/>
  <c r="DA29" i="24"/>
  <c r="CY29" i="24"/>
  <c r="CW29" i="24"/>
  <c r="CU29" i="24"/>
  <c r="CS29" i="24"/>
  <c r="CQ29" i="24"/>
  <c r="CO29" i="24"/>
  <c r="CM29" i="24"/>
  <c r="CK29" i="24"/>
  <c r="CI29" i="24"/>
  <c r="CG29" i="24"/>
  <c r="CE29" i="24"/>
  <c r="BD29" i="24"/>
  <c r="C29" i="24"/>
  <c r="E29" i="24" s="1"/>
  <c r="GX28" i="24"/>
  <c r="FY28" i="24"/>
  <c r="EZ28" i="24"/>
  <c r="DZ28" i="24"/>
  <c r="EA28" i="24" s="1"/>
  <c r="DY28" i="24"/>
  <c r="DW28" i="24"/>
  <c r="DU28" i="24"/>
  <c r="DS28" i="24"/>
  <c r="DQ28" i="24"/>
  <c r="DO28" i="24"/>
  <c r="DM28" i="24"/>
  <c r="DK28" i="24"/>
  <c r="DI28" i="24"/>
  <c r="DG28" i="24"/>
  <c r="DE28" i="24"/>
  <c r="DC28" i="24"/>
  <c r="DA28" i="24"/>
  <c r="CY28" i="24"/>
  <c r="CW28" i="24"/>
  <c r="CU28" i="24"/>
  <c r="CS28" i="24"/>
  <c r="CQ28" i="24"/>
  <c r="CO28" i="24"/>
  <c r="CM28" i="24"/>
  <c r="CK28" i="24"/>
  <c r="CI28" i="24"/>
  <c r="CG28" i="24"/>
  <c r="CE28" i="24"/>
  <c r="BD28" i="24"/>
  <c r="C28" i="24"/>
  <c r="E28" i="24" s="1"/>
  <c r="W28" i="24" s="1"/>
  <c r="GX27" i="24"/>
  <c r="FY27" i="24"/>
  <c r="EZ27" i="24"/>
  <c r="DZ27" i="24"/>
  <c r="EA27" i="24" s="1"/>
  <c r="DY27" i="24"/>
  <c r="DW27" i="24"/>
  <c r="DU27" i="24"/>
  <c r="DS27" i="24"/>
  <c r="DQ27" i="24"/>
  <c r="DO27" i="24"/>
  <c r="DM27" i="24"/>
  <c r="DK27" i="24"/>
  <c r="DI27" i="24"/>
  <c r="DG27" i="24"/>
  <c r="DE27" i="24"/>
  <c r="DC27" i="24"/>
  <c r="DA27" i="24"/>
  <c r="CY27" i="24"/>
  <c r="CW27" i="24"/>
  <c r="CU27" i="24"/>
  <c r="CS27" i="24"/>
  <c r="CQ27" i="24"/>
  <c r="CO27" i="24"/>
  <c r="CM27" i="24"/>
  <c r="CK27" i="24"/>
  <c r="CI27" i="24"/>
  <c r="CG27" i="24"/>
  <c r="CE27" i="24"/>
  <c r="BD27" i="24"/>
  <c r="I27" i="24"/>
  <c r="C27" i="24"/>
  <c r="E27" i="24" s="1"/>
  <c r="AO27" i="24" s="1"/>
  <c r="GX26" i="24"/>
  <c r="FY26" i="24"/>
  <c r="EZ26" i="24"/>
  <c r="DZ26" i="24"/>
  <c r="EA26" i="24" s="1"/>
  <c r="DY26" i="24"/>
  <c r="DW26" i="24"/>
  <c r="DU26" i="24"/>
  <c r="DS26" i="24"/>
  <c r="DQ26" i="24"/>
  <c r="DO26" i="24"/>
  <c r="DM26" i="24"/>
  <c r="DK26" i="24"/>
  <c r="DI26" i="24"/>
  <c r="DG26" i="24"/>
  <c r="DE26" i="24"/>
  <c r="DC26" i="24"/>
  <c r="DA26" i="24"/>
  <c r="CY26" i="24"/>
  <c r="CW26" i="24"/>
  <c r="CU26" i="24"/>
  <c r="CS26" i="24"/>
  <c r="CQ26" i="24"/>
  <c r="CO26" i="24"/>
  <c r="CM26" i="24"/>
  <c r="CK26" i="24"/>
  <c r="CI26" i="24"/>
  <c r="CG26" i="24"/>
  <c r="CE26" i="24"/>
  <c r="BD26" i="24"/>
  <c r="U26" i="24"/>
  <c r="M26" i="24"/>
  <c r="C26" i="24"/>
  <c r="E26" i="24" s="1"/>
  <c r="AQ26" i="24" s="1"/>
  <c r="GX25" i="24"/>
  <c r="FY25" i="24"/>
  <c r="EZ25" i="24"/>
  <c r="DZ25" i="24"/>
  <c r="EA25" i="24" s="1"/>
  <c r="DY25" i="24"/>
  <c r="DW25" i="24"/>
  <c r="DU25" i="24"/>
  <c r="DS25" i="24"/>
  <c r="DQ25" i="24"/>
  <c r="DO25" i="24"/>
  <c r="DM25" i="24"/>
  <c r="DK25" i="24"/>
  <c r="DI25" i="24"/>
  <c r="DG25" i="24"/>
  <c r="DE25" i="24"/>
  <c r="DC25" i="24"/>
  <c r="DA25" i="24"/>
  <c r="CY25" i="24"/>
  <c r="CW25" i="24"/>
  <c r="CU25" i="24"/>
  <c r="CS25" i="24"/>
  <c r="CQ25" i="24"/>
  <c r="CO25" i="24"/>
  <c r="CM25" i="24"/>
  <c r="CK25" i="24"/>
  <c r="CI25" i="24"/>
  <c r="CG25" i="24"/>
  <c r="CE25" i="24"/>
  <c r="BD25" i="24"/>
  <c r="C25" i="24"/>
  <c r="E25" i="24" s="1"/>
  <c r="GX24" i="24"/>
  <c r="FY24" i="24"/>
  <c r="EZ24" i="24"/>
  <c r="EA24" i="24"/>
  <c r="DZ24" i="24"/>
  <c r="DY24" i="24"/>
  <c r="DW24" i="24"/>
  <c r="DU24" i="24"/>
  <c r="DS24" i="24"/>
  <c r="DQ24" i="24"/>
  <c r="DO24" i="24"/>
  <c r="DM24" i="24"/>
  <c r="DK24" i="24"/>
  <c r="DI24" i="24"/>
  <c r="DG24" i="24"/>
  <c r="DE24" i="24"/>
  <c r="DC24" i="24"/>
  <c r="DA24" i="24"/>
  <c r="CY24" i="24"/>
  <c r="CW24" i="24"/>
  <c r="CU24" i="24"/>
  <c r="CS24" i="24"/>
  <c r="CQ24" i="24"/>
  <c r="CO24" i="24"/>
  <c r="CM24" i="24"/>
  <c r="CK24" i="24"/>
  <c r="CI24" i="24"/>
  <c r="CG24" i="24"/>
  <c r="CE24" i="24"/>
  <c r="BD24" i="24"/>
  <c r="Q24" i="24"/>
  <c r="O24" i="24"/>
  <c r="C24" i="24"/>
  <c r="E24" i="24" s="1"/>
  <c r="AO24" i="24" s="1"/>
  <c r="GX23" i="24"/>
  <c r="FY23" i="24"/>
  <c r="EZ23" i="24"/>
  <c r="DZ23" i="24"/>
  <c r="EA23" i="24" s="1"/>
  <c r="DY23" i="24"/>
  <c r="DW23" i="24"/>
  <c r="DU23" i="24"/>
  <c r="DS23" i="24"/>
  <c r="DQ23" i="24"/>
  <c r="DO23" i="24"/>
  <c r="DM23" i="24"/>
  <c r="DK23" i="24"/>
  <c r="DI23" i="24"/>
  <c r="DG23" i="24"/>
  <c r="DE23" i="24"/>
  <c r="DC23" i="24"/>
  <c r="DA23" i="24"/>
  <c r="CY23" i="24"/>
  <c r="CW23" i="24"/>
  <c r="CU23" i="24"/>
  <c r="CS23" i="24"/>
  <c r="CQ23" i="24"/>
  <c r="CO23" i="24"/>
  <c r="CM23" i="24"/>
  <c r="CK23" i="24"/>
  <c r="CI23" i="24"/>
  <c r="CG23" i="24"/>
  <c r="CE23" i="24"/>
  <c r="BD23" i="24"/>
  <c r="AY23" i="24"/>
  <c r="AA23" i="24"/>
  <c r="C23" i="24"/>
  <c r="E23" i="24" s="1"/>
  <c r="AQ23" i="24" s="1"/>
  <c r="GX22" i="24"/>
  <c r="FY22" i="24"/>
  <c r="EZ22" i="24"/>
  <c r="DZ22" i="24"/>
  <c r="EA22" i="24" s="1"/>
  <c r="DY22" i="24"/>
  <c r="DW22" i="24"/>
  <c r="DU22" i="24"/>
  <c r="DS22" i="24"/>
  <c r="DQ22" i="24"/>
  <c r="DO22" i="24"/>
  <c r="DM22" i="24"/>
  <c r="DK22" i="24"/>
  <c r="DI22" i="24"/>
  <c r="DG22" i="24"/>
  <c r="DE22" i="24"/>
  <c r="DC22" i="24"/>
  <c r="DA22" i="24"/>
  <c r="CY22" i="24"/>
  <c r="CW22" i="24"/>
  <c r="CU22" i="24"/>
  <c r="CS22" i="24"/>
  <c r="CQ22" i="24"/>
  <c r="CO22" i="24"/>
  <c r="CM22" i="24"/>
  <c r="CK22" i="24"/>
  <c r="CI22" i="24"/>
  <c r="CG22" i="24"/>
  <c r="CE22" i="24"/>
  <c r="BD22" i="24"/>
  <c r="M22" i="24"/>
  <c r="C22" i="24"/>
  <c r="E22" i="24" s="1"/>
  <c r="AS22" i="24" s="1"/>
  <c r="GX21" i="24"/>
  <c r="FY21" i="24"/>
  <c r="EZ21" i="24"/>
  <c r="EA21" i="24"/>
  <c r="DZ21" i="24"/>
  <c r="DY21" i="24"/>
  <c r="DW21" i="24"/>
  <c r="DU21" i="24"/>
  <c r="DS21" i="24"/>
  <c r="DQ21" i="24"/>
  <c r="DO21" i="24"/>
  <c r="DM21" i="24"/>
  <c r="DK21" i="24"/>
  <c r="DI21" i="24"/>
  <c r="DG21" i="24"/>
  <c r="DE21" i="24"/>
  <c r="DC21" i="24"/>
  <c r="DA21" i="24"/>
  <c r="CY21" i="24"/>
  <c r="CW21" i="24"/>
  <c r="CU21" i="24"/>
  <c r="CS21" i="24"/>
  <c r="CQ21" i="24"/>
  <c r="CO21" i="24"/>
  <c r="CM21" i="24"/>
  <c r="CK21" i="24"/>
  <c r="CI21" i="24"/>
  <c r="CG21" i="24"/>
  <c r="CE21" i="24"/>
  <c r="BD21" i="24"/>
  <c r="C21" i="24"/>
  <c r="E21" i="24" s="1"/>
  <c r="GX20" i="24"/>
  <c r="FY20" i="24"/>
  <c r="EZ20" i="24"/>
  <c r="DZ20" i="24"/>
  <c r="EA20" i="24" s="1"/>
  <c r="DY20" i="24"/>
  <c r="DW20" i="24"/>
  <c r="DU20" i="24"/>
  <c r="DS20" i="24"/>
  <c r="DQ20" i="24"/>
  <c r="DO20" i="24"/>
  <c r="DM20" i="24"/>
  <c r="DK20" i="24"/>
  <c r="DI20" i="24"/>
  <c r="DG20" i="24"/>
  <c r="DE20" i="24"/>
  <c r="DC20" i="24"/>
  <c r="DA20" i="24"/>
  <c r="CY20" i="24"/>
  <c r="CW20" i="24"/>
  <c r="CU20" i="24"/>
  <c r="CS20" i="24"/>
  <c r="CQ20" i="24"/>
  <c r="CO20" i="24"/>
  <c r="CM20" i="24"/>
  <c r="CK20" i="24"/>
  <c r="CI20" i="24"/>
  <c r="CG20" i="24"/>
  <c r="CE20" i="24"/>
  <c r="BD20" i="24"/>
  <c r="C20" i="24"/>
  <c r="E20" i="24" s="1"/>
  <c r="GX19" i="24"/>
  <c r="FY19" i="24"/>
  <c r="EZ19" i="24"/>
  <c r="DZ19" i="24"/>
  <c r="EA19" i="24" s="1"/>
  <c r="DY19" i="24"/>
  <c r="DW19" i="24"/>
  <c r="DU19" i="24"/>
  <c r="DS19" i="24"/>
  <c r="DQ19" i="24"/>
  <c r="DO19" i="24"/>
  <c r="DM19" i="24"/>
  <c r="DK19" i="24"/>
  <c r="DI19" i="24"/>
  <c r="DG19" i="24"/>
  <c r="DE19" i="24"/>
  <c r="DC19" i="24"/>
  <c r="DA19" i="24"/>
  <c r="CY19" i="24"/>
  <c r="CW19" i="24"/>
  <c r="CU19" i="24"/>
  <c r="CS19" i="24"/>
  <c r="CQ19" i="24"/>
  <c r="CO19" i="24"/>
  <c r="CM19" i="24"/>
  <c r="CK19" i="24"/>
  <c r="CI19" i="24"/>
  <c r="CG19" i="24"/>
  <c r="CE19" i="24"/>
  <c r="BD19" i="24"/>
  <c r="S19" i="24"/>
  <c r="K19" i="24"/>
  <c r="C19" i="24"/>
  <c r="E19" i="24" s="1"/>
  <c r="AO19" i="24" s="1"/>
  <c r="GX18" i="24"/>
  <c r="FY18" i="24"/>
  <c r="EZ18" i="24"/>
  <c r="DZ18" i="24"/>
  <c r="EA18" i="24" s="1"/>
  <c r="DY18" i="24"/>
  <c r="DW18" i="24"/>
  <c r="DU18" i="24"/>
  <c r="DS18" i="24"/>
  <c r="DQ18" i="24"/>
  <c r="DO18" i="24"/>
  <c r="DM18" i="24"/>
  <c r="DK18" i="24"/>
  <c r="DI18" i="24"/>
  <c r="DG18" i="24"/>
  <c r="DE18" i="24"/>
  <c r="DC18" i="24"/>
  <c r="DA18" i="24"/>
  <c r="CY18" i="24"/>
  <c r="CW18" i="24"/>
  <c r="CU18" i="24"/>
  <c r="CS18" i="24"/>
  <c r="CQ18" i="24"/>
  <c r="CO18" i="24"/>
  <c r="CM18" i="24"/>
  <c r="CK18" i="24"/>
  <c r="CI18" i="24"/>
  <c r="CG18" i="24"/>
  <c r="CE18" i="24"/>
  <c r="BD18" i="24"/>
  <c r="BA18" i="24"/>
  <c r="U18" i="24"/>
  <c r="C18" i="24"/>
  <c r="E18" i="24" s="1"/>
  <c r="AQ18" i="24" s="1"/>
  <c r="GX17" i="24"/>
  <c r="FY17" i="24"/>
  <c r="EZ17" i="24"/>
  <c r="DZ17" i="24"/>
  <c r="EA17" i="24" s="1"/>
  <c r="DY17" i="24"/>
  <c r="DW17" i="24"/>
  <c r="DU17" i="24"/>
  <c r="DS17" i="24"/>
  <c r="DQ17" i="24"/>
  <c r="DO17" i="24"/>
  <c r="DM17" i="24"/>
  <c r="DK17" i="24"/>
  <c r="DI17" i="24"/>
  <c r="DG17" i="24"/>
  <c r="DE17" i="24"/>
  <c r="DC17" i="24"/>
  <c r="DA17" i="24"/>
  <c r="CY17" i="24"/>
  <c r="CW17" i="24"/>
  <c r="CU17" i="24"/>
  <c r="CS17" i="24"/>
  <c r="CQ17" i="24"/>
  <c r="CO17" i="24"/>
  <c r="CM17" i="24"/>
  <c r="CK17" i="24"/>
  <c r="CI17" i="24"/>
  <c r="CG17" i="24"/>
  <c r="CE17" i="24"/>
  <c r="BD17" i="24"/>
  <c r="E17" i="24"/>
  <c r="AS17" i="24" s="1"/>
  <c r="C17" i="24"/>
  <c r="GX16" i="24"/>
  <c r="FY16" i="24"/>
  <c r="EZ16" i="24"/>
  <c r="EA16" i="24"/>
  <c r="DZ16" i="24"/>
  <c r="DY16" i="24"/>
  <c r="DW16" i="24"/>
  <c r="DU16" i="24"/>
  <c r="DS16" i="24"/>
  <c r="DQ16" i="24"/>
  <c r="DO16" i="24"/>
  <c r="DM16" i="24"/>
  <c r="DK16" i="24"/>
  <c r="DI16" i="24"/>
  <c r="DG16" i="24"/>
  <c r="DE16" i="24"/>
  <c r="DC16" i="24"/>
  <c r="DA16" i="24"/>
  <c r="CY16" i="24"/>
  <c r="CW16" i="24"/>
  <c r="CU16" i="24"/>
  <c r="CS16" i="24"/>
  <c r="CQ16" i="24"/>
  <c r="CO16" i="24"/>
  <c r="CM16" i="24"/>
  <c r="CK16" i="24"/>
  <c r="CI16" i="24"/>
  <c r="CG16" i="24"/>
  <c r="CE16" i="24"/>
  <c r="BD16" i="24"/>
  <c r="AG16" i="24"/>
  <c r="C16" i="24"/>
  <c r="E16" i="24" s="1"/>
  <c r="AE16" i="24" s="1"/>
  <c r="GX15" i="24"/>
  <c r="FY15" i="24"/>
  <c r="EZ15" i="24"/>
  <c r="DZ15" i="24"/>
  <c r="EA15" i="24" s="1"/>
  <c r="DY15" i="24"/>
  <c r="DW15" i="24"/>
  <c r="DU15" i="24"/>
  <c r="DS15" i="24"/>
  <c r="DQ15" i="24"/>
  <c r="DO15" i="24"/>
  <c r="DM15" i="24"/>
  <c r="DK15" i="24"/>
  <c r="DI15" i="24"/>
  <c r="DG15" i="24"/>
  <c r="DE15" i="24"/>
  <c r="DC15" i="24"/>
  <c r="DA15" i="24"/>
  <c r="CY15" i="24"/>
  <c r="CW15" i="24"/>
  <c r="CU15" i="24"/>
  <c r="CS15" i="24"/>
  <c r="CQ15" i="24"/>
  <c r="CO15" i="24"/>
  <c r="CM15" i="24"/>
  <c r="CK15" i="24"/>
  <c r="CI15" i="24"/>
  <c r="CG15" i="24"/>
  <c r="CE15" i="24"/>
  <c r="BD15" i="24"/>
  <c r="C15" i="24"/>
  <c r="E15" i="24" s="1"/>
  <c r="GX14" i="24"/>
  <c r="FY14" i="24"/>
  <c r="EZ14" i="24"/>
  <c r="DZ14" i="24"/>
  <c r="EA14" i="24" s="1"/>
  <c r="DY14" i="24"/>
  <c r="DW14" i="24"/>
  <c r="DU14" i="24"/>
  <c r="DS14" i="24"/>
  <c r="DQ14" i="24"/>
  <c r="DO14" i="24"/>
  <c r="DM14" i="24"/>
  <c r="DK14" i="24"/>
  <c r="DI14" i="24"/>
  <c r="DG14" i="24"/>
  <c r="DE14" i="24"/>
  <c r="DC14" i="24"/>
  <c r="DA14" i="24"/>
  <c r="CY14" i="24"/>
  <c r="CW14" i="24"/>
  <c r="CU14" i="24"/>
  <c r="CS14" i="24"/>
  <c r="CQ14" i="24"/>
  <c r="CO14" i="24"/>
  <c r="CM14" i="24"/>
  <c r="CK14" i="24"/>
  <c r="CI14" i="24"/>
  <c r="CG14" i="24"/>
  <c r="CE14" i="24"/>
  <c r="BD14" i="24"/>
  <c r="BA14" i="24"/>
  <c r="AY14" i="24"/>
  <c r="M14" i="24"/>
  <c r="K14" i="24"/>
  <c r="E14" i="24"/>
  <c r="AO14" i="24" s="1"/>
  <c r="C14" i="24"/>
  <c r="GX13" i="24"/>
  <c r="FY13" i="24"/>
  <c r="EZ13" i="24"/>
  <c r="DZ13" i="24"/>
  <c r="EA13" i="24" s="1"/>
  <c r="DY13" i="24"/>
  <c r="DW13" i="24"/>
  <c r="DU13" i="24"/>
  <c r="DS13" i="24"/>
  <c r="DQ13" i="24"/>
  <c r="DO13" i="24"/>
  <c r="DM13" i="24"/>
  <c r="DK13" i="24"/>
  <c r="DI13" i="24"/>
  <c r="DG13" i="24"/>
  <c r="DE13" i="24"/>
  <c r="DC13" i="24"/>
  <c r="DA13" i="24"/>
  <c r="CY13" i="24"/>
  <c r="CW13" i="24"/>
  <c r="CU13" i="24"/>
  <c r="CS13" i="24"/>
  <c r="CQ13" i="24"/>
  <c r="CO13" i="24"/>
  <c r="CM13" i="24"/>
  <c r="CK13" i="24"/>
  <c r="CI13" i="24"/>
  <c r="CG13" i="24"/>
  <c r="CE13" i="24"/>
  <c r="BD13" i="24"/>
  <c r="C13" i="24"/>
  <c r="E13" i="24" s="1"/>
  <c r="GX12" i="24"/>
  <c r="FY12" i="24"/>
  <c r="EZ12" i="24"/>
  <c r="DZ12" i="24"/>
  <c r="EA12" i="24" s="1"/>
  <c r="DY12" i="24"/>
  <c r="DW12" i="24"/>
  <c r="DU12" i="24"/>
  <c r="DS12" i="24"/>
  <c r="DQ12" i="24"/>
  <c r="DO12" i="24"/>
  <c r="DM12" i="24"/>
  <c r="DK12" i="24"/>
  <c r="DI12" i="24"/>
  <c r="DG12" i="24"/>
  <c r="DE12" i="24"/>
  <c r="DC12" i="24"/>
  <c r="DA12" i="24"/>
  <c r="CY12" i="24"/>
  <c r="CW12" i="24"/>
  <c r="CU12" i="24"/>
  <c r="CS12" i="24"/>
  <c r="CQ12" i="24"/>
  <c r="CO12" i="24"/>
  <c r="CM12" i="24"/>
  <c r="CK12" i="24"/>
  <c r="CI12" i="24"/>
  <c r="CG12" i="24"/>
  <c r="CE12" i="24"/>
  <c r="BD12" i="24"/>
  <c r="C12" i="24"/>
  <c r="E12" i="24" s="1"/>
  <c r="GX11" i="24"/>
  <c r="FY11" i="24"/>
  <c r="EZ11" i="24"/>
  <c r="DZ11" i="24"/>
  <c r="EA11" i="24" s="1"/>
  <c r="DY11" i="24"/>
  <c r="DW11" i="24"/>
  <c r="DU11" i="24"/>
  <c r="DS11" i="24"/>
  <c r="DQ11" i="24"/>
  <c r="DO11" i="24"/>
  <c r="DM11" i="24"/>
  <c r="DK11" i="24"/>
  <c r="DI11" i="24"/>
  <c r="DG11" i="24"/>
  <c r="DE11" i="24"/>
  <c r="DC11" i="24"/>
  <c r="DA11" i="24"/>
  <c r="CY11" i="24"/>
  <c r="CW11" i="24"/>
  <c r="CU11" i="24"/>
  <c r="CS11" i="24"/>
  <c r="CQ11" i="24"/>
  <c r="CO11" i="24"/>
  <c r="CM11" i="24"/>
  <c r="CK11" i="24"/>
  <c r="CI11" i="24"/>
  <c r="CG11" i="24"/>
  <c r="CE11" i="24"/>
  <c r="BD11" i="24"/>
  <c r="C11" i="24"/>
  <c r="E11" i="24" s="1"/>
  <c r="GX10" i="24"/>
  <c r="FY10" i="24"/>
  <c r="EZ10" i="24"/>
  <c r="DZ10" i="24"/>
  <c r="EA10" i="24" s="1"/>
  <c r="DY10" i="24"/>
  <c r="DW10" i="24"/>
  <c r="DU10" i="24"/>
  <c r="DS10" i="24"/>
  <c r="DQ10" i="24"/>
  <c r="DO10" i="24"/>
  <c r="DM10" i="24"/>
  <c r="DK10" i="24"/>
  <c r="DI10" i="24"/>
  <c r="DG10" i="24"/>
  <c r="DE10" i="24"/>
  <c r="DC10" i="24"/>
  <c r="DA10" i="24"/>
  <c r="CY10" i="24"/>
  <c r="CW10" i="24"/>
  <c r="CU10" i="24"/>
  <c r="CS10" i="24"/>
  <c r="CQ10" i="24"/>
  <c r="CO10" i="24"/>
  <c r="CM10" i="24"/>
  <c r="CK10" i="24"/>
  <c r="CI10" i="24"/>
  <c r="CG10" i="24"/>
  <c r="CE10" i="24"/>
  <c r="BD10" i="24"/>
  <c r="AO10" i="24"/>
  <c r="AG10" i="24"/>
  <c r="M10" i="24"/>
  <c r="K10" i="24"/>
  <c r="E10" i="24"/>
  <c r="BC10" i="24" s="1"/>
  <c r="C10" i="24"/>
  <c r="GX9" i="24"/>
  <c r="FY9" i="24"/>
  <c r="EZ9" i="24"/>
  <c r="DZ9" i="24"/>
  <c r="EA9" i="24" s="1"/>
  <c r="DY9" i="24"/>
  <c r="DW9" i="24"/>
  <c r="DU9" i="24"/>
  <c r="DS9" i="24"/>
  <c r="DQ9" i="24"/>
  <c r="DO9" i="24"/>
  <c r="DM9" i="24"/>
  <c r="DK9" i="24"/>
  <c r="DI9" i="24"/>
  <c r="DG9" i="24"/>
  <c r="DE9" i="24"/>
  <c r="DC9" i="24"/>
  <c r="DA9" i="24"/>
  <c r="CY9" i="24"/>
  <c r="CW9" i="24"/>
  <c r="CU9" i="24"/>
  <c r="CS9" i="24"/>
  <c r="CQ9" i="24"/>
  <c r="CO9" i="24"/>
  <c r="CM9" i="24"/>
  <c r="CK9" i="24"/>
  <c r="CI9" i="24"/>
  <c r="CG9" i="24"/>
  <c r="CE9" i="24"/>
  <c r="BD9" i="24"/>
  <c r="GX8" i="24"/>
  <c r="FY8" i="24"/>
  <c r="EZ8" i="24"/>
  <c r="DZ8" i="24"/>
  <c r="EA8" i="24" s="1"/>
  <c r="DY8" i="24"/>
  <c r="DW8" i="24"/>
  <c r="DU8" i="24"/>
  <c r="DS8" i="24"/>
  <c r="DQ8" i="24"/>
  <c r="DO8" i="24"/>
  <c r="DM8" i="24"/>
  <c r="DK8" i="24"/>
  <c r="DI8" i="24"/>
  <c r="DG8" i="24"/>
  <c r="DE8" i="24"/>
  <c r="DC8" i="24"/>
  <c r="DA8" i="24"/>
  <c r="CY8" i="24"/>
  <c r="CW8" i="24"/>
  <c r="CU8" i="24"/>
  <c r="CS8" i="24"/>
  <c r="CQ8" i="24"/>
  <c r="CO8" i="24"/>
  <c r="CM8" i="24"/>
  <c r="CK8" i="24"/>
  <c r="CI8" i="24"/>
  <c r="CG8" i="24"/>
  <c r="CE8" i="24"/>
  <c r="BD8" i="24"/>
  <c r="C8" i="24"/>
  <c r="E8" i="24" s="1"/>
  <c r="GX7" i="24"/>
  <c r="FY7" i="24"/>
  <c r="EZ7" i="24"/>
  <c r="DZ7" i="24"/>
  <c r="EA7" i="24" s="1"/>
  <c r="DY7" i="24"/>
  <c r="DW7" i="24"/>
  <c r="DU7" i="24"/>
  <c r="DS7" i="24"/>
  <c r="DQ7" i="24"/>
  <c r="DO7" i="24"/>
  <c r="DM7" i="24"/>
  <c r="DK7" i="24"/>
  <c r="DI7" i="24"/>
  <c r="DG7" i="24"/>
  <c r="DE7" i="24"/>
  <c r="DC7" i="24"/>
  <c r="DA7" i="24"/>
  <c r="CY7" i="24"/>
  <c r="CW7" i="24"/>
  <c r="CU7" i="24"/>
  <c r="CS7" i="24"/>
  <c r="CQ7" i="24"/>
  <c r="CO7" i="24"/>
  <c r="CM7" i="24"/>
  <c r="CK7" i="24"/>
  <c r="CI7" i="24"/>
  <c r="CG7" i="24"/>
  <c r="CE7" i="24"/>
  <c r="BD7" i="24"/>
  <c r="C7" i="24"/>
  <c r="E7" i="24" s="1"/>
  <c r="EY5" i="24"/>
  <c r="EX5" i="24"/>
  <c r="EW5" i="24"/>
  <c r="EV5" i="24"/>
  <c r="EU5" i="24"/>
  <c r="ET5" i="24"/>
  <c r="ES5" i="24"/>
  <c r="ER5" i="24"/>
  <c r="EQ5" i="24"/>
  <c r="EP5" i="24"/>
  <c r="EO5" i="24"/>
  <c r="EN5" i="24"/>
  <c r="EM5" i="24"/>
  <c r="EL5" i="24"/>
  <c r="EK5" i="24"/>
  <c r="EJ5" i="24"/>
  <c r="EI5" i="24"/>
  <c r="EH5" i="24"/>
  <c r="EG5" i="24"/>
  <c r="EF5" i="24"/>
  <c r="EE5" i="24"/>
  <c r="ED5" i="24"/>
  <c r="EC5" i="24"/>
  <c r="EB5" i="24"/>
  <c r="EA5" i="24"/>
  <c r="DZ5" i="24"/>
  <c r="DY5" i="24"/>
  <c r="DX5" i="24"/>
  <c r="DW5" i="24"/>
  <c r="DV5" i="24"/>
  <c r="DU5" i="24"/>
  <c r="DT5" i="24"/>
  <c r="DS5" i="24"/>
  <c r="DR5" i="24"/>
  <c r="DQ5" i="24"/>
  <c r="DP5" i="24"/>
  <c r="DO5" i="24"/>
  <c r="DN5" i="24"/>
  <c r="DM5" i="24"/>
  <c r="DL5" i="24"/>
  <c r="DK5" i="24"/>
  <c r="DJ5" i="24"/>
  <c r="DI5" i="24"/>
  <c r="DH5" i="24"/>
  <c r="DG5" i="24"/>
  <c r="DF5" i="24"/>
  <c r="DE5" i="24"/>
  <c r="DD5" i="24"/>
  <c r="DC5" i="24"/>
  <c r="DB5" i="24"/>
  <c r="DA5" i="24"/>
  <c r="CZ5" i="24"/>
  <c r="CY5" i="24"/>
  <c r="CX5" i="24"/>
  <c r="CW5" i="24"/>
  <c r="CV5" i="24"/>
  <c r="CU5" i="24"/>
  <c r="CT5" i="24"/>
  <c r="CS5" i="24"/>
  <c r="CR5" i="24"/>
  <c r="CQ5" i="24"/>
  <c r="CP5" i="24"/>
  <c r="CO5" i="24"/>
  <c r="CN5" i="24"/>
  <c r="CM5" i="24"/>
  <c r="CL5" i="24"/>
  <c r="CK5" i="24"/>
  <c r="CJ5" i="24"/>
  <c r="CI5" i="24"/>
  <c r="CH5" i="24"/>
  <c r="CG5" i="24"/>
  <c r="CF5" i="24"/>
  <c r="CE5" i="24"/>
  <c r="CD5" i="24"/>
  <c r="CC5" i="24"/>
  <c r="CB5" i="24"/>
  <c r="CA5" i="24"/>
  <c r="BZ5" i="24"/>
  <c r="BY5" i="24"/>
  <c r="BX5" i="24"/>
  <c r="BW5" i="24"/>
  <c r="BV5" i="24"/>
  <c r="BU5" i="24"/>
  <c r="BT5" i="24"/>
  <c r="BS5" i="24"/>
  <c r="BR5" i="24"/>
  <c r="BQ5" i="24"/>
  <c r="BP5" i="24"/>
  <c r="BO5" i="24"/>
  <c r="BN5" i="24"/>
  <c r="BM5" i="24"/>
  <c r="BL5" i="24"/>
  <c r="BK5" i="24"/>
  <c r="BJ5" i="24"/>
  <c r="BI5" i="24"/>
  <c r="BH5" i="24"/>
  <c r="BG5" i="24"/>
  <c r="BF5" i="24"/>
  <c r="BE5" i="24"/>
  <c r="BD5" i="24"/>
  <c r="BC5" i="24"/>
  <c r="BB5" i="24"/>
  <c r="BA5" i="24"/>
  <c r="AZ5" i="24"/>
  <c r="AY5" i="24"/>
  <c r="AX5" i="24"/>
  <c r="AW5" i="24"/>
  <c r="AV5" i="24"/>
  <c r="AU5" i="24"/>
  <c r="AT5" i="24"/>
  <c r="AS5" i="24"/>
  <c r="AR5" i="24"/>
  <c r="AQ5" i="24"/>
  <c r="AP5" i="24"/>
  <c r="AO5" i="24"/>
  <c r="AN5" i="24"/>
  <c r="AM5" i="24"/>
  <c r="AL5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X1" i="24"/>
  <c r="GW1" i="24"/>
  <c r="GV1" i="24"/>
  <c r="GU1" i="24"/>
  <c r="GT1" i="24"/>
  <c r="GS1" i="24"/>
  <c r="GR1" i="24"/>
  <c r="GQ1" i="24"/>
  <c r="GP1" i="24"/>
  <c r="GO1" i="24"/>
  <c r="GN1" i="24"/>
  <c r="GM1" i="24"/>
  <c r="GL1" i="24"/>
  <c r="GK1" i="24"/>
  <c r="GJ1" i="24"/>
  <c r="GI1" i="24"/>
  <c r="GH1" i="24"/>
  <c r="GG1" i="24"/>
  <c r="GF1" i="24"/>
  <c r="GE1" i="24"/>
  <c r="GD1" i="24"/>
  <c r="GC1" i="24"/>
  <c r="GB1" i="24"/>
  <c r="GA1" i="24"/>
  <c r="FZ1" i="24"/>
  <c r="FY1" i="24"/>
  <c r="FX1" i="24"/>
  <c r="FW1" i="24"/>
  <c r="FV1" i="24"/>
  <c r="FU1" i="24"/>
  <c r="FT1" i="24"/>
  <c r="FS1" i="24"/>
  <c r="FR1" i="24"/>
  <c r="FQ1" i="24"/>
  <c r="FP1" i="24"/>
  <c r="FO1" i="24"/>
  <c r="FN1" i="24"/>
  <c r="FM1" i="24"/>
  <c r="FL1" i="24"/>
  <c r="FK1" i="24"/>
  <c r="FJ1" i="24"/>
  <c r="FI1" i="24"/>
  <c r="FH1" i="24"/>
  <c r="FG1" i="24"/>
  <c r="FF1" i="24"/>
  <c r="FE1" i="24"/>
  <c r="FD1" i="24"/>
  <c r="FC1" i="24"/>
  <c r="FB1" i="24"/>
  <c r="FA1" i="24"/>
  <c r="EZ1" i="24"/>
  <c r="EY1" i="24"/>
  <c r="EX1" i="24"/>
  <c r="EW1" i="24"/>
  <c r="EV1" i="24"/>
  <c r="EU1" i="24"/>
  <c r="ET1" i="24"/>
  <c r="ES1" i="24"/>
  <c r="ER1" i="24"/>
  <c r="EQ1" i="24"/>
  <c r="EP1" i="24"/>
  <c r="EO1" i="24"/>
  <c r="EN1" i="24"/>
  <c r="EM1" i="24"/>
  <c r="EL1" i="24"/>
  <c r="EK1" i="24"/>
  <c r="EJ1" i="24"/>
  <c r="EI1" i="24"/>
  <c r="EH1" i="24"/>
  <c r="EG1" i="24"/>
  <c r="EF1" i="24"/>
  <c r="EE1" i="24"/>
  <c r="ED1" i="24"/>
  <c r="EC1" i="24"/>
  <c r="EB1" i="24"/>
  <c r="EA1" i="24"/>
  <c r="DZ1" i="24"/>
  <c r="DY1" i="24"/>
  <c r="DX1" i="24"/>
  <c r="DW1" i="24"/>
  <c r="DV1" i="24"/>
  <c r="DU1" i="24"/>
  <c r="DT1" i="24"/>
  <c r="DS1" i="24"/>
  <c r="DR1" i="24"/>
  <c r="DQ1" i="24"/>
  <c r="DP1" i="24"/>
  <c r="DO1" i="24"/>
  <c r="DN1" i="24"/>
  <c r="DM1" i="24"/>
  <c r="DL1" i="24"/>
  <c r="DK1" i="24"/>
  <c r="DJ1" i="24"/>
  <c r="DI1" i="24"/>
  <c r="DH1" i="24"/>
  <c r="DG1" i="24"/>
  <c r="DF1" i="24"/>
  <c r="DE1" i="24"/>
  <c r="DD1" i="24"/>
  <c r="DC1" i="24"/>
  <c r="DB1" i="24"/>
  <c r="DA1" i="24"/>
  <c r="CZ1" i="24"/>
  <c r="CY1" i="24"/>
  <c r="CX1" i="24"/>
  <c r="CW1" i="24"/>
  <c r="CV1" i="24"/>
  <c r="CU1" i="24"/>
  <c r="CT1" i="24"/>
  <c r="CS1" i="24"/>
  <c r="CR1" i="24"/>
  <c r="CQ1" i="24"/>
  <c r="CP1" i="24"/>
  <c r="CO1" i="24"/>
  <c r="CN1" i="24"/>
  <c r="CM1" i="24"/>
  <c r="CL1" i="24"/>
  <c r="CK1" i="24"/>
  <c r="CJ1" i="24"/>
  <c r="CI1" i="24"/>
  <c r="CH1" i="24"/>
  <c r="CG1" i="24"/>
  <c r="CF1" i="24"/>
  <c r="CE1" i="24"/>
  <c r="CD1" i="24"/>
  <c r="CC1" i="24"/>
  <c r="CB1" i="24"/>
  <c r="CA1" i="24"/>
  <c r="BZ1" i="24"/>
  <c r="BY1" i="24"/>
  <c r="BX1" i="24"/>
  <c r="BW1" i="24"/>
  <c r="BV1" i="24"/>
  <c r="BU1" i="24"/>
  <c r="BT1" i="24"/>
  <c r="BS1" i="24"/>
  <c r="BR1" i="24"/>
  <c r="BQ1" i="24"/>
  <c r="BP1" i="24"/>
  <c r="BO1" i="24"/>
  <c r="BN1" i="24"/>
  <c r="BM1" i="24"/>
  <c r="BL1" i="24"/>
  <c r="BK1" i="24"/>
  <c r="BJ1" i="24"/>
  <c r="BI1" i="24"/>
  <c r="BH1" i="24"/>
  <c r="BG1" i="24"/>
  <c r="BF1" i="24"/>
  <c r="BE1" i="24"/>
  <c r="BD1" i="24"/>
  <c r="BC1" i="24"/>
  <c r="BB1" i="24"/>
  <c r="BA1" i="24"/>
  <c r="AZ1" i="24"/>
  <c r="AY1" i="24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I12" i="22"/>
  <c r="C12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1" i="1"/>
  <c r="C10" i="1"/>
  <c r="C9" i="1"/>
  <c r="C8" i="1"/>
  <c r="C7" i="1"/>
  <c r="C6" i="1"/>
  <c r="C3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7" i="7"/>
  <c r="C7" i="23"/>
  <c r="C37" i="23"/>
  <c r="C8" i="23"/>
  <c r="C9" i="23"/>
  <c r="C10" i="23"/>
  <c r="C11" i="23"/>
  <c r="C12" i="23"/>
  <c r="C13" i="23"/>
  <c r="C14" i="23"/>
  <c r="E14" i="23" s="1"/>
  <c r="C15" i="23"/>
  <c r="C16" i="23"/>
  <c r="C17" i="23"/>
  <c r="C18" i="23"/>
  <c r="C19" i="23"/>
  <c r="C20" i="23"/>
  <c r="C21" i="23"/>
  <c r="C22" i="23"/>
  <c r="E22" i="23" s="1"/>
  <c r="C23" i="23"/>
  <c r="C24" i="23"/>
  <c r="C25" i="23"/>
  <c r="C26" i="23"/>
  <c r="C27" i="23"/>
  <c r="E27" i="23" s="1"/>
  <c r="C28" i="23"/>
  <c r="E28" i="23" s="1"/>
  <c r="C29" i="23"/>
  <c r="C30" i="23"/>
  <c r="E30" i="23" s="1"/>
  <c r="C31" i="23"/>
  <c r="E31" i="23" s="1"/>
  <c r="C32" i="23"/>
  <c r="C33" i="23"/>
  <c r="C34" i="23"/>
  <c r="E34" i="23" s="1"/>
  <c r="C35" i="23"/>
  <c r="C36" i="23"/>
  <c r="E7" i="23"/>
  <c r="C7" i="22"/>
  <c r="E7" i="22" s="1"/>
  <c r="C8" i="22"/>
  <c r="C9" i="22"/>
  <c r="C10" i="22"/>
  <c r="C11" i="22"/>
  <c r="C12" i="22"/>
  <c r="E12" i="22" s="1"/>
  <c r="C13" i="22"/>
  <c r="E13" i="22" s="1"/>
  <c r="AO13" i="22" s="1"/>
  <c r="C14" i="22"/>
  <c r="E14" i="22" s="1"/>
  <c r="AQ14" i="22" s="1"/>
  <c r="C15" i="22"/>
  <c r="E15" i="22" s="1"/>
  <c r="C16" i="22"/>
  <c r="C17" i="22"/>
  <c r="C18" i="22"/>
  <c r="C19" i="22"/>
  <c r="E19" i="22" s="1"/>
  <c r="C20" i="22"/>
  <c r="E20" i="22" s="1"/>
  <c r="AA20" i="22" s="1"/>
  <c r="C21" i="22"/>
  <c r="E21" i="22" s="1"/>
  <c r="BA21" i="22" s="1"/>
  <c r="C22" i="22"/>
  <c r="E22" i="22" s="1"/>
  <c r="C23" i="22"/>
  <c r="C24" i="22"/>
  <c r="C25" i="22"/>
  <c r="C26" i="22"/>
  <c r="C27" i="22"/>
  <c r="E27" i="22" s="1"/>
  <c r="C28" i="22"/>
  <c r="E28" i="22" s="1"/>
  <c r="U28" i="22" s="1"/>
  <c r="C29" i="22"/>
  <c r="E29" i="22" s="1"/>
  <c r="C30" i="22"/>
  <c r="E30" i="22" s="1"/>
  <c r="C31" i="22"/>
  <c r="E31" i="22" s="1"/>
  <c r="C32" i="22"/>
  <c r="E32" i="22" s="1"/>
  <c r="C33" i="22"/>
  <c r="C34" i="22"/>
  <c r="C35" i="22"/>
  <c r="E35" i="22" s="1"/>
  <c r="C36" i="22"/>
  <c r="E36" i="22" s="1"/>
  <c r="C37" i="22"/>
  <c r="E38" i="22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7" i="21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E39" i="22"/>
  <c r="E11" i="22"/>
  <c r="E23" i="22"/>
  <c r="GW38" i="23"/>
  <c r="GV38" i="23"/>
  <c r="GU38" i="23"/>
  <c r="GT38" i="23"/>
  <c r="GS38" i="23"/>
  <c r="GR38" i="23"/>
  <c r="GQ38" i="23"/>
  <c r="GP38" i="23"/>
  <c r="GO38" i="23"/>
  <c r="GN38" i="23"/>
  <c r="GM38" i="23"/>
  <c r="GL38" i="23"/>
  <c r="GK38" i="23"/>
  <c r="GJ38" i="23"/>
  <c r="GI38" i="23"/>
  <c r="GH38" i="23"/>
  <c r="GG38" i="23"/>
  <c r="GF38" i="23"/>
  <c r="GE38" i="23"/>
  <c r="GD38" i="23"/>
  <c r="GC38" i="23"/>
  <c r="GB38" i="23"/>
  <c r="GA38" i="23"/>
  <c r="FZ38" i="23"/>
  <c r="FX38" i="23"/>
  <c r="FW38" i="23"/>
  <c r="FV38" i="23"/>
  <c r="FU38" i="23"/>
  <c r="FT38" i="23"/>
  <c r="FS38" i="23"/>
  <c r="FR38" i="23"/>
  <c r="FQ38" i="23"/>
  <c r="FP38" i="23"/>
  <c r="FO38" i="23"/>
  <c r="FN38" i="23"/>
  <c r="FM38" i="23"/>
  <c r="FL38" i="23"/>
  <c r="FK38" i="23"/>
  <c r="FJ38" i="23"/>
  <c r="FI38" i="23"/>
  <c r="FH38" i="23"/>
  <c r="FG38" i="23"/>
  <c r="FF38" i="23"/>
  <c r="FE38" i="23"/>
  <c r="FD38" i="23"/>
  <c r="FC38" i="23"/>
  <c r="FB38" i="23"/>
  <c r="FA38" i="23"/>
  <c r="EY38" i="23"/>
  <c r="EX38" i="23"/>
  <c r="EW38" i="23"/>
  <c r="EV38" i="23"/>
  <c r="EU38" i="23"/>
  <c r="ET38" i="23"/>
  <c r="ES38" i="23"/>
  <c r="ER38" i="23"/>
  <c r="EQ38" i="23"/>
  <c r="EP38" i="23"/>
  <c r="EO38" i="23"/>
  <c r="EN38" i="23"/>
  <c r="EM38" i="23"/>
  <c r="EL38" i="23"/>
  <c r="EK38" i="23"/>
  <c r="EJ38" i="23"/>
  <c r="EI38" i="23"/>
  <c r="EH38" i="23"/>
  <c r="EG38" i="23"/>
  <c r="EF38" i="23"/>
  <c r="EE38" i="23"/>
  <c r="ED38" i="23"/>
  <c r="EC38" i="23"/>
  <c r="EB38" i="23"/>
  <c r="DX38" i="23"/>
  <c r="DV38" i="23"/>
  <c r="DT38" i="23"/>
  <c r="DR38" i="23"/>
  <c r="DP38" i="23"/>
  <c r="DN38" i="23"/>
  <c r="DL38" i="23"/>
  <c r="DJ38" i="23"/>
  <c r="DH38" i="23"/>
  <c r="DF38" i="23"/>
  <c r="DD38" i="23"/>
  <c r="DB38" i="23"/>
  <c r="CZ38" i="23"/>
  <c r="CX38" i="23"/>
  <c r="CV38" i="23"/>
  <c r="CT38" i="23"/>
  <c r="CR38" i="23"/>
  <c r="CP38" i="23"/>
  <c r="CN38" i="23"/>
  <c r="CL38" i="23"/>
  <c r="CJ38" i="23"/>
  <c r="CH38" i="23"/>
  <c r="R38" i="23"/>
  <c r="P38" i="23"/>
  <c r="N38" i="23"/>
  <c r="L38" i="23"/>
  <c r="J38" i="23"/>
  <c r="H38" i="23"/>
  <c r="C38" i="23"/>
  <c r="E38" i="23" s="1"/>
  <c r="BD37" i="23"/>
  <c r="I37" i="23"/>
  <c r="GX36" i="23"/>
  <c r="FY36" i="23"/>
  <c r="EZ36" i="23"/>
  <c r="DZ36" i="23"/>
  <c r="EA36" i="23" s="1"/>
  <c r="DY36" i="23"/>
  <c r="DW36" i="23"/>
  <c r="DU36" i="23"/>
  <c r="DS36" i="23"/>
  <c r="DQ36" i="23"/>
  <c r="DO36" i="23"/>
  <c r="DM36" i="23"/>
  <c r="DK36" i="23"/>
  <c r="DI36" i="23"/>
  <c r="DG36" i="23"/>
  <c r="DE36" i="23"/>
  <c r="DC36" i="23"/>
  <c r="DA36" i="23"/>
  <c r="CY36" i="23"/>
  <c r="CW36" i="23"/>
  <c r="CU36" i="23"/>
  <c r="CS36" i="23"/>
  <c r="CQ36" i="23"/>
  <c r="CO36" i="23"/>
  <c r="CM36" i="23"/>
  <c r="CK36" i="23"/>
  <c r="CI36" i="23"/>
  <c r="CG36" i="23"/>
  <c r="CE36" i="23"/>
  <c r="BD36" i="23"/>
  <c r="E36" i="23"/>
  <c r="GX35" i="23"/>
  <c r="FY35" i="23"/>
  <c r="EZ35" i="23"/>
  <c r="DZ35" i="23"/>
  <c r="EA35" i="23" s="1"/>
  <c r="DY35" i="23"/>
  <c r="DW35" i="23"/>
  <c r="DU35" i="23"/>
  <c r="DS35" i="23"/>
  <c r="DQ35" i="23"/>
  <c r="DO35" i="23"/>
  <c r="DM35" i="23"/>
  <c r="DK35" i="23"/>
  <c r="DI35" i="23"/>
  <c r="DG35" i="23"/>
  <c r="DE35" i="23"/>
  <c r="DC35" i="23"/>
  <c r="DA35" i="23"/>
  <c r="CY35" i="23"/>
  <c r="CW35" i="23"/>
  <c r="CU35" i="23"/>
  <c r="CS35" i="23"/>
  <c r="CQ35" i="23"/>
  <c r="CO35" i="23"/>
  <c r="CM35" i="23"/>
  <c r="CK35" i="23"/>
  <c r="CI35" i="23"/>
  <c r="CG35" i="23"/>
  <c r="CE35" i="23"/>
  <c r="BD35" i="23"/>
  <c r="E35" i="23"/>
  <c r="GX34" i="23"/>
  <c r="FY34" i="23"/>
  <c r="EZ34" i="23"/>
  <c r="DZ34" i="23"/>
  <c r="EA34" i="23" s="1"/>
  <c r="DY34" i="23"/>
  <c r="DW34" i="23"/>
  <c r="DU34" i="23"/>
  <c r="DS34" i="23"/>
  <c r="DQ34" i="23"/>
  <c r="DO34" i="23"/>
  <c r="DM34" i="23"/>
  <c r="DK34" i="23"/>
  <c r="DI34" i="23"/>
  <c r="DG34" i="23"/>
  <c r="DE34" i="23"/>
  <c r="DC34" i="23"/>
  <c r="DA34" i="23"/>
  <c r="CY34" i="23"/>
  <c r="CW34" i="23"/>
  <c r="CU34" i="23"/>
  <c r="CS34" i="23"/>
  <c r="CQ34" i="23"/>
  <c r="CO34" i="23"/>
  <c r="CM34" i="23"/>
  <c r="CK34" i="23"/>
  <c r="CI34" i="23"/>
  <c r="CG34" i="23"/>
  <c r="CE34" i="23"/>
  <c r="BD34" i="23"/>
  <c r="GX33" i="23"/>
  <c r="FY33" i="23"/>
  <c r="EZ33" i="23"/>
  <c r="DZ33" i="23"/>
  <c r="EA33" i="23" s="1"/>
  <c r="DY33" i="23"/>
  <c r="DW33" i="23"/>
  <c r="DU33" i="23"/>
  <c r="DS33" i="23"/>
  <c r="DQ33" i="23"/>
  <c r="DO33" i="23"/>
  <c r="DM33" i="23"/>
  <c r="DK33" i="23"/>
  <c r="DI33" i="23"/>
  <c r="DG33" i="23"/>
  <c r="DE33" i="23"/>
  <c r="DC33" i="23"/>
  <c r="DA33" i="23"/>
  <c r="CY33" i="23"/>
  <c r="CW33" i="23"/>
  <c r="CU33" i="23"/>
  <c r="CS33" i="23"/>
  <c r="CQ33" i="23"/>
  <c r="CO33" i="23"/>
  <c r="CM33" i="23"/>
  <c r="CK33" i="23"/>
  <c r="CI33" i="23"/>
  <c r="CG33" i="23"/>
  <c r="CE33" i="23"/>
  <c r="BD33" i="23"/>
  <c r="E33" i="23"/>
  <c r="GX32" i="23"/>
  <c r="FY32" i="23"/>
  <c r="EZ32" i="23"/>
  <c r="DZ32" i="23"/>
  <c r="EA32" i="23" s="1"/>
  <c r="DY32" i="23"/>
  <c r="DW32" i="23"/>
  <c r="DU32" i="23"/>
  <c r="DS32" i="23"/>
  <c r="DQ32" i="23"/>
  <c r="DO32" i="23"/>
  <c r="DM32" i="23"/>
  <c r="DK32" i="23"/>
  <c r="DI32" i="23"/>
  <c r="DG32" i="23"/>
  <c r="DE32" i="23"/>
  <c r="DC32" i="23"/>
  <c r="DA32" i="23"/>
  <c r="CY32" i="23"/>
  <c r="CW32" i="23"/>
  <c r="CU32" i="23"/>
  <c r="CS32" i="23"/>
  <c r="CQ32" i="23"/>
  <c r="CO32" i="23"/>
  <c r="CM32" i="23"/>
  <c r="CK32" i="23"/>
  <c r="CI32" i="23"/>
  <c r="CG32" i="23"/>
  <c r="CE32" i="23"/>
  <c r="BD32" i="23"/>
  <c r="E32" i="23"/>
  <c r="BA32" i="23" s="1"/>
  <c r="GX31" i="23"/>
  <c r="FY31" i="23"/>
  <c r="EZ31" i="23"/>
  <c r="DZ31" i="23"/>
  <c r="EA31" i="23" s="1"/>
  <c r="DY31" i="23"/>
  <c r="DW31" i="23"/>
  <c r="DU31" i="23"/>
  <c r="DS31" i="23"/>
  <c r="DQ31" i="23"/>
  <c r="DO31" i="23"/>
  <c r="DM31" i="23"/>
  <c r="DK31" i="23"/>
  <c r="DI31" i="23"/>
  <c r="DG31" i="23"/>
  <c r="DE31" i="23"/>
  <c r="DC31" i="23"/>
  <c r="DA31" i="23"/>
  <c r="CY31" i="23"/>
  <c r="CW31" i="23"/>
  <c r="CU31" i="23"/>
  <c r="CS31" i="23"/>
  <c r="CQ31" i="23"/>
  <c r="CO31" i="23"/>
  <c r="CM31" i="23"/>
  <c r="CK31" i="23"/>
  <c r="CI31" i="23"/>
  <c r="CG31" i="23"/>
  <c r="CE31" i="23"/>
  <c r="BD31" i="23"/>
  <c r="GX30" i="23"/>
  <c r="FY30" i="23"/>
  <c r="EZ30" i="23"/>
  <c r="DZ30" i="23"/>
  <c r="EA30" i="23" s="1"/>
  <c r="DY30" i="23"/>
  <c r="DW30" i="23"/>
  <c r="DU30" i="23"/>
  <c r="DS30" i="23"/>
  <c r="DQ30" i="23"/>
  <c r="DO30" i="23"/>
  <c r="DM30" i="23"/>
  <c r="DK30" i="23"/>
  <c r="DI30" i="23"/>
  <c r="DG30" i="23"/>
  <c r="DE30" i="23"/>
  <c r="DC30" i="23"/>
  <c r="DA30" i="23"/>
  <c r="CY30" i="23"/>
  <c r="CW30" i="23"/>
  <c r="CU30" i="23"/>
  <c r="CS30" i="23"/>
  <c r="CQ30" i="23"/>
  <c r="CO30" i="23"/>
  <c r="CM30" i="23"/>
  <c r="CK30" i="23"/>
  <c r="CI30" i="23"/>
  <c r="CG30" i="23"/>
  <c r="CE30" i="23"/>
  <c r="BD30" i="23"/>
  <c r="GX29" i="23"/>
  <c r="FY29" i="23"/>
  <c r="EZ29" i="23"/>
  <c r="DZ29" i="23"/>
  <c r="EA29" i="23" s="1"/>
  <c r="DY29" i="23"/>
  <c r="DW29" i="23"/>
  <c r="DU29" i="23"/>
  <c r="DS29" i="23"/>
  <c r="DQ29" i="23"/>
  <c r="DO29" i="23"/>
  <c r="DM29" i="23"/>
  <c r="DK29" i="23"/>
  <c r="DI29" i="23"/>
  <c r="DG29" i="23"/>
  <c r="DE29" i="23"/>
  <c r="DC29" i="23"/>
  <c r="DA29" i="23"/>
  <c r="CY29" i="23"/>
  <c r="CW29" i="23"/>
  <c r="CU29" i="23"/>
  <c r="CS29" i="23"/>
  <c r="CQ29" i="23"/>
  <c r="CO29" i="23"/>
  <c r="CM29" i="23"/>
  <c r="CK29" i="23"/>
  <c r="CI29" i="23"/>
  <c r="CG29" i="23"/>
  <c r="CE29" i="23"/>
  <c r="BD29" i="23"/>
  <c r="E29" i="23"/>
  <c r="GX28" i="23"/>
  <c r="FY28" i="23"/>
  <c r="EZ28" i="23"/>
  <c r="DZ28" i="23"/>
  <c r="EA28" i="23" s="1"/>
  <c r="DY28" i="23"/>
  <c r="DW28" i="23"/>
  <c r="DU28" i="23"/>
  <c r="DS28" i="23"/>
  <c r="DQ28" i="23"/>
  <c r="DO28" i="23"/>
  <c r="DM28" i="23"/>
  <c r="DK28" i="23"/>
  <c r="DI28" i="23"/>
  <c r="DG28" i="23"/>
  <c r="DE28" i="23"/>
  <c r="DC28" i="23"/>
  <c r="DA28" i="23"/>
  <c r="CY28" i="23"/>
  <c r="CW28" i="23"/>
  <c r="CU28" i="23"/>
  <c r="CS28" i="23"/>
  <c r="CQ28" i="23"/>
  <c r="CO28" i="23"/>
  <c r="CM28" i="23"/>
  <c r="CK28" i="23"/>
  <c r="CI28" i="23"/>
  <c r="CG28" i="23"/>
  <c r="CE28" i="23"/>
  <c r="BD28" i="23"/>
  <c r="GX27" i="23"/>
  <c r="FY27" i="23"/>
  <c r="EZ27" i="23"/>
  <c r="DZ27" i="23"/>
  <c r="EA27" i="23" s="1"/>
  <c r="DY27" i="23"/>
  <c r="DW27" i="23"/>
  <c r="DU27" i="23"/>
  <c r="DS27" i="23"/>
  <c r="DQ27" i="23"/>
  <c r="DO27" i="23"/>
  <c r="DM27" i="23"/>
  <c r="DK27" i="23"/>
  <c r="DI27" i="23"/>
  <c r="DG27" i="23"/>
  <c r="DE27" i="23"/>
  <c r="DC27" i="23"/>
  <c r="DA27" i="23"/>
  <c r="CY27" i="23"/>
  <c r="CW27" i="23"/>
  <c r="CU27" i="23"/>
  <c r="CS27" i="23"/>
  <c r="CQ27" i="23"/>
  <c r="CO27" i="23"/>
  <c r="CM27" i="23"/>
  <c r="CK27" i="23"/>
  <c r="CI27" i="23"/>
  <c r="CG27" i="23"/>
  <c r="CE27" i="23"/>
  <c r="BD27" i="23"/>
  <c r="GX26" i="23"/>
  <c r="FY26" i="23"/>
  <c r="EZ26" i="23"/>
  <c r="DZ26" i="23"/>
  <c r="EA26" i="23" s="1"/>
  <c r="DY26" i="23"/>
  <c r="DW26" i="23"/>
  <c r="DU26" i="23"/>
  <c r="DS26" i="23"/>
  <c r="DQ26" i="23"/>
  <c r="DO26" i="23"/>
  <c r="DM26" i="23"/>
  <c r="DK26" i="23"/>
  <c r="DI26" i="23"/>
  <c r="DG26" i="23"/>
  <c r="DE26" i="23"/>
  <c r="DC26" i="23"/>
  <c r="DA26" i="23"/>
  <c r="CY26" i="23"/>
  <c r="CW26" i="23"/>
  <c r="CU26" i="23"/>
  <c r="CS26" i="23"/>
  <c r="CQ26" i="23"/>
  <c r="CO26" i="23"/>
  <c r="CM26" i="23"/>
  <c r="CK26" i="23"/>
  <c r="CI26" i="23"/>
  <c r="CG26" i="23"/>
  <c r="CE26" i="23"/>
  <c r="BD26" i="23"/>
  <c r="E26" i="23"/>
  <c r="GX25" i="23"/>
  <c r="FY25" i="23"/>
  <c r="EZ25" i="23"/>
  <c r="DZ25" i="23"/>
  <c r="EA25" i="23" s="1"/>
  <c r="DY25" i="23"/>
  <c r="DW25" i="23"/>
  <c r="DU25" i="23"/>
  <c r="DS25" i="23"/>
  <c r="DQ25" i="23"/>
  <c r="DO25" i="23"/>
  <c r="DM25" i="23"/>
  <c r="DK25" i="23"/>
  <c r="DI25" i="23"/>
  <c r="DG25" i="23"/>
  <c r="DE25" i="23"/>
  <c r="DC25" i="23"/>
  <c r="DA25" i="23"/>
  <c r="CY25" i="23"/>
  <c r="CW25" i="23"/>
  <c r="CU25" i="23"/>
  <c r="CS25" i="23"/>
  <c r="CQ25" i="23"/>
  <c r="CO25" i="23"/>
  <c r="CM25" i="23"/>
  <c r="CK25" i="23"/>
  <c r="CI25" i="23"/>
  <c r="CG25" i="23"/>
  <c r="CE25" i="23"/>
  <c r="BD25" i="23"/>
  <c r="E25" i="23"/>
  <c r="AO25" i="23" s="1"/>
  <c r="GX24" i="23"/>
  <c r="FY24" i="23"/>
  <c r="EZ24" i="23"/>
  <c r="DZ24" i="23"/>
  <c r="EA24" i="23" s="1"/>
  <c r="DY24" i="23"/>
  <c r="DW24" i="23"/>
  <c r="DU24" i="23"/>
  <c r="DS24" i="23"/>
  <c r="DQ24" i="23"/>
  <c r="DO24" i="23"/>
  <c r="DM24" i="23"/>
  <c r="DK24" i="23"/>
  <c r="DI24" i="23"/>
  <c r="DG24" i="23"/>
  <c r="DE24" i="23"/>
  <c r="DC24" i="23"/>
  <c r="DA24" i="23"/>
  <c r="CY24" i="23"/>
  <c r="CW24" i="23"/>
  <c r="CU24" i="23"/>
  <c r="CS24" i="23"/>
  <c r="CQ24" i="23"/>
  <c r="CO24" i="23"/>
  <c r="CM24" i="23"/>
  <c r="CK24" i="23"/>
  <c r="CI24" i="23"/>
  <c r="CG24" i="23"/>
  <c r="CE24" i="23"/>
  <c r="BD24" i="23"/>
  <c r="E24" i="23"/>
  <c r="AK24" i="23" s="1"/>
  <c r="GX23" i="23"/>
  <c r="FY23" i="23"/>
  <c r="EZ23" i="23"/>
  <c r="DZ23" i="23"/>
  <c r="EA23" i="23" s="1"/>
  <c r="DY23" i="23"/>
  <c r="DW23" i="23"/>
  <c r="DU23" i="23"/>
  <c r="DS23" i="23"/>
  <c r="DQ23" i="23"/>
  <c r="DO23" i="23"/>
  <c r="DM23" i="23"/>
  <c r="DK23" i="23"/>
  <c r="DI23" i="23"/>
  <c r="DG23" i="23"/>
  <c r="DE23" i="23"/>
  <c r="DC23" i="23"/>
  <c r="DA23" i="23"/>
  <c r="CY23" i="23"/>
  <c r="CW23" i="23"/>
  <c r="CU23" i="23"/>
  <c r="CS23" i="23"/>
  <c r="CQ23" i="23"/>
  <c r="CO23" i="23"/>
  <c r="CM23" i="23"/>
  <c r="CK23" i="23"/>
  <c r="CI23" i="23"/>
  <c r="CG23" i="23"/>
  <c r="CE23" i="23"/>
  <c r="BD23" i="23"/>
  <c r="E23" i="23"/>
  <c r="GX22" i="23"/>
  <c r="FY22" i="23"/>
  <c r="EZ22" i="23"/>
  <c r="DZ22" i="23"/>
  <c r="EA22" i="23" s="1"/>
  <c r="DY22" i="23"/>
  <c r="DW22" i="23"/>
  <c r="DU22" i="23"/>
  <c r="DS22" i="23"/>
  <c r="DQ22" i="23"/>
  <c r="DO22" i="23"/>
  <c r="DM22" i="23"/>
  <c r="DK22" i="23"/>
  <c r="DI22" i="23"/>
  <c r="DG22" i="23"/>
  <c r="DE22" i="23"/>
  <c r="DC22" i="23"/>
  <c r="DA22" i="23"/>
  <c r="CY22" i="23"/>
  <c r="CW22" i="23"/>
  <c r="CU22" i="23"/>
  <c r="CS22" i="23"/>
  <c r="CQ22" i="23"/>
  <c r="CO22" i="23"/>
  <c r="CM22" i="23"/>
  <c r="CK22" i="23"/>
  <c r="CI22" i="23"/>
  <c r="CG22" i="23"/>
  <c r="CE22" i="23"/>
  <c r="BD22" i="23"/>
  <c r="GX21" i="23"/>
  <c r="FY21" i="23"/>
  <c r="EZ21" i="23"/>
  <c r="DZ21" i="23"/>
  <c r="EA21" i="23" s="1"/>
  <c r="DY21" i="23"/>
  <c r="DW21" i="23"/>
  <c r="DU21" i="23"/>
  <c r="DS21" i="23"/>
  <c r="DQ21" i="23"/>
  <c r="DO21" i="23"/>
  <c r="DM21" i="23"/>
  <c r="DK21" i="23"/>
  <c r="DI21" i="23"/>
  <c r="DG21" i="23"/>
  <c r="DE21" i="23"/>
  <c r="DC21" i="23"/>
  <c r="DA21" i="23"/>
  <c r="CY21" i="23"/>
  <c r="CW21" i="23"/>
  <c r="CU21" i="23"/>
  <c r="CS21" i="23"/>
  <c r="CQ21" i="23"/>
  <c r="CO21" i="23"/>
  <c r="CM21" i="23"/>
  <c r="CK21" i="23"/>
  <c r="CI21" i="23"/>
  <c r="CG21" i="23"/>
  <c r="CE21" i="23"/>
  <c r="BD21" i="23"/>
  <c r="E21" i="23"/>
  <c r="GX20" i="23"/>
  <c r="FY20" i="23"/>
  <c r="EZ20" i="23"/>
  <c r="DZ20" i="23"/>
  <c r="EA20" i="23" s="1"/>
  <c r="DY20" i="23"/>
  <c r="DW20" i="23"/>
  <c r="DU20" i="23"/>
  <c r="DS20" i="23"/>
  <c r="DQ20" i="23"/>
  <c r="DO20" i="23"/>
  <c r="DM20" i="23"/>
  <c r="DK20" i="23"/>
  <c r="DI20" i="23"/>
  <c r="DG20" i="23"/>
  <c r="DE20" i="23"/>
  <c r="DC20" i="23"/>
  <c r="DA20" i="23"/>
  <c r="CY20" i="23"/>
  <c r="CW20" i="23"/>
  <c r="CU20" i="23"/>
  <c r="CS20" i="23"/>
  <c r="CQ20" i="23"/>
  <c r="CO20" i="23"/>
  <c r="CM20" i="23"/>
  <c r="CK20" i="23"/>
  <c r="CI20" i="23"/>
  <c r="CG20" i="23"/>
  <c r="CE20" i="23"/>
  <c r="BD20" i="23"/>
  <c r="E20" i="23"/>
  <c r="GX19" i="23"/>
  <c r="FY19" i="23"/>
  <c r="EZ19" i="23"/>
  <c r="DZ19" i="23"/>
  <c r="EA19" i="23" s="1"/>
  <c r="DY19" i="23"/>
  <c r="DW19" i="23"/>
  <c r="DU19" i="23"/>
  <c r="DS19" i="23"/>
  <c r="DQ19" i="23"/>
  <c r="DO19" i="23"/>
  <c r="DM19" i="23"/>
  <c r="DK19" i="23"/>
  <c r="DI19" i="23"/>
  <c r="DG19" i="23"/>
  <c r="DE19" i="23"/>
  <c r="DC19" i="23"/>
  <c r="DA19" i="23"/>
  <c r="CY19" i="23"/>
  <c r="CW19" i="23"/>
  <c r="CU19" i="23"/>
  <c r="CS19" i="23"/>
  <c r="CQ19" i="23"/>
  <c r="CO19" i="23"/>
  <c r="CM19" i="23"/>
  <c r="CK19" i="23"/>
  <c r="CI19" i="23"/>
  <c r="CG19" i="23"/>
  <c r="CE19" i="23"/>
  <c r="BD19" i="23"/>
  <c r="E19" i="23"/>
  <c r="GX18" i="23"/>
  <c r="FY18" i="23"/>
  <c r="EZ18" i="23"/>
  <c r="DZ18" i="23"/>
  <c r="EA18" i="23" s="1"/>
  <c r="DY18" i="23"/>
  <c r="DW18" i="23"/>
  <c r="DU18" i="23"/>
  <c r="DS18" i="23"/>
  <c r="DQ18" i="23"/>
  <c r="DO18" i="23"/>
  <c r="DM18" i="23"/>
  <c r="DK18" i="23"/>
  <c r="DI18" i="23"/>
  <c r="DG18" i="23"/>
  <c r="DE18" i="23"/>
  <c r="DC18" i="23"/>
  <c r="DA18" i="23"/>
  <c r="CY18" i="23"/>
  <c r="CW18" i="23"/>
  <c r="CU18" i="23"/>
  <c r="CS18" i="23"/>
  <c r="CQ18" i="23"/>
  <c r="CO18" i="23"/>
  <c r="CM18" i="23"/>
  <c r="CK18" i="23"/>
  <c r="CI18" i="23"/>
  <c r="CG18" i="23"/>
  <c r="CE18" i="23"/>
  <c r="BD18" i="23"/>
  <c r="E18" i="23"/>
  <c r="GX17" i="23"/>
  <c r="FY17" i="23"/>
  <c r="EZ17" i="23"/>
  <c r="DZ17" i="23"/>
  <c r="EA17" i="23" s="1"/>
  <c r="DY17" i="23"/>
  <c r="DW17" i="23"/>
  <c r="DU17" i="23"/>
  <c r="DS17" i="23"/>
  <c r="DQ17" i="23"/>
  <c r="DO17" i="23"/>
  <c r="DM17" i="23"/>
  <c r="DK17" i="23"/>
  <c r="DI17" i="23"/>
  <c r="DG17" i="23"/>
  <c r="DE17" i="23"/>
  <c r="DC17" i="23"/>
  <c r="DA17" i="23"/>
  <c r="CY17" i="23"/>
  <c r="CW17" i="23"/>
  <c r="CU17" i="23"/>
  <c r="CS17" i="23"/>
  <c r="CQ17" i="23"/>
  <c r="CO17" i="23"/>
  <c r="CM17" i="23"/>
  <c r="CK17" i="23"/>
  <c r="CI17" i="23"/>
  <c r="CG17" i="23"/>
  <c r="CE17" i="23"/>
  <c r="BD17" i="23"/>
  <c r="E17" i="23"/>
  <c r="GX16" i="23"/>
  <c r="FY16" i="23"/>
  <c r="EZ16" i="23"/>
  <c r="DZ16" i="23"/>
  <c r="EA16" i="23" s="1"/>
  <c r="DY16" i="23"/>
  <c r="DW16" i="23"/>
  <c r="DU16" i="23"/>
  <c r="DS16" i="23"/>
  <c r="DQ16" i="23"/>
  <c r="DO16" i="23"/>
  <c r="DM16" i="23"/>
  <c r="DK16" i="23"/>
  <c r="DI16" i="23"/>
  <c r="DG16" i="23"/>
  <c r="DE16" i="23"/>
  <c r="DC16" i="23"/>
  <c r="DA16" i="23"/>
  <c r="CY16" i="23"/>
  <c r="CW16" i="23"/>
  <c r="CU16" i="23"/>
  <c r="CS16" i="23"/>
  <c r="CQ16" i="23"/>
  <c r="CO16" i="23"/>
  <c r="CM16" i="23"/>
  <c r="CK16" i="23"/>
  <c r="CI16" i="23"/>
  <c r="CG16" i="23"/>
  <c r="CE16" i="23"/>
  <c r="BD16" i="23"/>
  <c r="E16" i="23"/>
  <c r="GX15" i="23"/>
  <c r="FY15" i="23"/>
  <c r="EZ15" i="23"/>
  <c r="DZ15" i="23"/>
  <c r="EA15" i="23" s="1"/>
  <c r="DY15" i="23"/>
  <c r="DW15" i="23"/>
  <c r="DU15" i="23"/>
  <c r="DS15" i="23"/>
  <c r="DQ15" i="23"/>
  <c r="DO15" i="23"/>
  <c r="DM15" i="23"/>
  <c r="DK15" i="23"/>
  <c r="DI15" i="23"/>
  <c r="DG15" i="23"/>
  <c r="DE15" i="23"/>
  <c r="DC15" i="23"/>
  <c r="DA15" i="23"/>
  <c r="CY15" i="23"/>
  <c r="CW15" i="23"/>
  <c r="CU15" i="23"/>
  <c r="CS15" i="23"/>
  <c r="CQ15" i="23"/>
  <c r="CO15" i="23"/>
  <c r="CM15" i="23"/>
  <c r="CK15" i="23"/>
  <c r="CI15" i="23"/>
  <c r="CG15" i="23"/>
  <c r="CE15" i="23"/>
  <c r="BD15" i="23"/>
  <c r="E15" i="23"/>
  <c r="GX14" i="23"/>
  <c r="FY14" i="23"/>
  <c r="EZ14" i="23"/>
  <c r="DZ14" i="23"/>
  <c r="EA14" i="23" s="1"/>
  <c r="DY14" i="23"/>
  <c r="DW14" i="23"/>
  <c r="DU14" i="23"/>
  <c r="DS14" i="23"/>
  <c r="DQ14" i="23"/>
  <c r="DO14" i="23"/>
  <c r="DM14" i="23"/>
  <c r="DK14" i="23"/>
  <c r="DI14" i="23"/>
  <c r="DG14" i="23"/>
  <c r="DE14" i="23"/>
  <c r="DC14" i="23"/>
  <c r="DA14" i="23"/>
  <c r="CY14" i="23"/>
  <c r="CW14" i="23"/>
  <c r="CU14" i="23"/>
  <c r="CS14" i="23"/>
  <c r="CQ14" i="23"/>
  <c r="CO14" i="23"/>
  <c r="CM14" i="23"/>
  <c r="CK14" i="23"/>
  <c r="CI14" i="23"/>
  <c r="CG14" i="23"/>
  <c r="CE14" i="23"/>
  <c r="BD14" i="23"/>
  <c r="GX13" i="23"/>
  <c r="FY13" i="23"/>
  <c r="EZ13" i="23"/>
  <c r="DZ13" i="23"/>
  <c r="EA13" i="23" s="1"/>
  <c r="DY13" i="23"/>
  <c r="DW13" i="23"/>
  <c r="DU13" i="23"/>
  <c r="DS13" i="23"/>
  <c r="DQ13" i="23"/>
  <c r="DO13" i="23"/>
  <c r="DM13" i="23"/>
  <c r="DK13" i="23"/>
  <c r="DI13" i="23"/>
  <c r="DG13" i="23"/>
  <c r="DE13" i="23"/>
  <c r="DC13" i="23"/>
  <c r="DA13" i="23"/>
  <c r="CY13" i="23"/>
  <c r="CW13" i="23"/>
  <c r="CU13" i="23"/>
  <c r="CS13" i="23"/>
  <c r="CQ13" i="23"/>
  <c r="CO13" i="23"/>
  <c r="CM13" i="23"/>
  <c r="CK13" i="23"/>
  <c r="CI13" i="23"/>
  <c r="CG13" i="23"/>
  <c r="CE13" i="23"/>
  <c r="BD13" i="23"/>
  <c r="E13" i="23"/>
  <c r="GX12" i="23"/>
  <c r="FY12" i="23"/>
  <c r="EZ12" i="23"/>
  <c r="DZ12" i="23"/>
  <c r="EA12" i="23" s="1"/>
  <c r="DY12" i="23"/>
  <c r="DW12" i="23"/>
  <c r="DU12" i="23"/>
  <c r="DS12" i="23"/>
  <c r="DQ12" i="23"/>
  <c r="DO12" i="23"/>
  <c r="DM12" i="23"/>
  <c r="DK12" i="23"/>
  <c r="DI12" i="23"/>
  <c r="DG12" i="23"/>
  <c r="DE12" i="23"/>
  <c r="DC12" i="23"/>
  <c r="DA12" i="23"/>
  <c r="CY12" i="23"/>
  <c r="CW12" i="23"/>
  <c r="CU12" i="23"/>
  <c r="CS12" i="23"/>
  <c r="CQ12" i="23"/>
  <c r="CO12" i="23"/>
  <c r="CM12" i="23"/>
  <c r="CK12" i="23"/>
  <c r="CI12" i="23"/>
  <c r="CG12" i="23"/>
  <c r="CE12" i="23"/>
  <c r="BD12" i="23"/>
  <c r="E12" i="23"/>
  <c r="GX11" i="23"/>
  <c r="FY11" i="23"/>
  <c r="EZ11" i="23"/>
  <c r="DZ11" i="23"/>
  <c r="EA11" i="23" s="1"/>
  <c r="DY11" i="23"/>
  <c r="DW11" i="23"/>
  <c r="DU11" i="23"/>
  <c r="DS11" i="23"/>
  <c r="DQ11" i="23"/>
  <c r="DO11" i="23"/>
  <c r="DM11" i="23"/>
  <c r="DK11" i="23"/>
  <c r="DI11" i="23"/>
  <c r="DG11" i="23"/>
  <c r="DE11" i="23"/>
  <c r="DC11" i="23"/>
  <c r="DA11" i="23"/>
  <c r="CY11" i="23"/>
  <c r="CW11" i="23"/>
  <c r="CU11" i="23"/>
  <c r="CS11" i="23"/>
  <c r="CQ11" i="23"/>
  <c r="CO11" i="23"/>
  <c r="CM11" i="23"/>
  <c r="CK11" i="23"/>
  <c r="CI11" i="23"/>
  <c r="CG11" i="23"/>
  <c r="CE11" i="23"/>
  <c r="BD11" i="23"/>
  <c r="E11" i="23"/>
  <c r="GX10" i="23"/>
  <c r="FY10" i="23"/>
  <c r="EZ10" i="23"/>
  <c r="DZ10" i="23"/>
  <c r="EA10" i="23" s="1"/>
  <c r="DY10" i="23"/>
  <c r="DW10" i="23"/>
  <c r="DU10" i="23"/>
  <c r="DS10" i="23"/>
  <c r="DQ10" i="23"/>
  <c r="DO10" i="23"/>
  <c r="DM10" i="23"/>
  <c r="DK10" i="23"/>
  <c r="DI10" i="23"/>
  <c r="DG10" i="23"/>
  <c r="DE10" i="23"/>
  <c r="DC10" i="23"/>
  <c r="DA10" i="23"/>
  <c r="CY10" i="23"/>
  <c r="CW10" i="23"/>
  <c r="CU10" i="23"/>
  <c r="CS10" i="23"/>
  <c r="CQ10" i="23"/>
  <c r="CO10" i="23"/>
  <c r="CM10" i="23"/>
  <c r="CK10" i="23"/>
  <c r="CI10" i="23"/>
  <c r="CG10" i="23"/>
  <c r="CE10" i="23"/>
  <c r="BD10" i="23"/>
  <c r="E10" i="23"/>
  <c r="GX9" i="23"/>
  <c r="FY9" i="23"/>
  <c r="EZ9" i="23"/>
  <c r="DZ9" i="23"/>
  <c r="EA9" i="23" s="1"/>
  <c r="DY9" i="23"/>
  <c r="DW9" i="23"/>
  <c r="DU9" i="23"/>
  <c r="DS9" i="23"/>
  <c r="DQ9" i="23"/>
  <c r="DO9" i="23"/>
  <c r="DM9" i="23"/>
  <c r="DK9" i="23"/>
  <c r="DI9" i="23"/>
  <c r="DG9" i="23"/>
  <c r="DE9" i="23"/>
  <c r="DC9" i="23"/>
  <c r="DA9" i="23"/>
  <c r="CY9" i="23"/>
  <c r="CW9" i="23"/>
  <c r="CU9" i="23"/>
  <c r="CS9" i="23"/>
  <c r="CQ9" i="23"/>
  <c r="CO9" i="23"/>
  <c r="CM9" i="23"/>
  <c r="CK9" i="23"/>
  <c r="CI9" i="23"/>
  <c r="CG9" i="23"/>
  <c r="CE9" i="23"/>
  <c r="BD9" i="23"/>
  <c r="E9" i="23"/>
  <c r="GX8" i="23"/>
  <c r="FY8" i="23"/>
  <c r="EZ8" i="23"/>
  <c r="DZ8" i="23"/>
  <c r="EA8" i="23" s="1"/>
  <c r="DY8" i="23"/>
  <c r="DW8" i="23"/>
  <c r="DU8" i="23"/>
  <c r="DS8" i="23"/>
  <c r="DQ8" i="23"/>
  <c r="DO8" i="23"/>
  <c r="DM8" i="23"/>
  <c r="DK8" i="23"/>
  <c r="DI8" i="23"/>
  <c r="DG8" i="23"/>
  <c r="DE8" i="23"/>
  <c r="DC8" i="23"/>
  <c r="DA8" i="23"/>
  <c r="CY8" i="23"/>
  <c r="CW8" i="23"/>
  <c r="CU8" i="23"/>
  <c r="CS8" i="23"/>
  <c r="CQ8" i="23"/>
  <c r="CO8" i="23"/>
  <c r="CM8" i="23"/>
  <c r="CK8" i="23"/>
  <c r="CI8" i="23"/>
  <c r="CG8" i="23"/>
  <c r="CE8" i="23"/>
  <c r="BD8" i="23"/>
  <c r="E8" i="23"/>
  <c r="GX7" i="23"/>
  <c r="FY7" i="23"/>
  <c r="EZ7" i="23"/>
  <c r="DZ7" i="23"/>
  <c r="EA7" i="23" s="1"/>
  <c r="DY7" i="23"/>
  <c r="DW7" i="23"/>
  <c r="DU7" i="23"/>
  <c r="DS7" i="23"/>
  <c r="DQ7" i="23"/>
  <c r="DO7" i="23"/>
  <c r="DM7" i="23"/>
  <c r="DK7" i="23"/>
  <c r="DI7" i="23"/>
  <c r="DG7" i="23"/>
  <c r="DE7" i="23"/>
  <c r="DC7" i="23"/>
  <c r="DA7" i="23"/>
  <c r="CY7" i="23"/>
  <c r="CW7" i="23"/>
  <c r="CU7" i="23"/>
  <c r="CS7" i="23"/>
  <c r="CQ7" i="23"/>
  <c r="CO7" i="23"/>
  <c r="CM7" i="23"/>
  <c r="CK7" i="23"/>
  <c r="CI7" i="23"/>
  <c r="CG7" i="23"/>
  <c r="CE7" i="23"/>
  <c r="BD7" i="23"/>
  <c r="EY5" i="23"/>
  <c r="EX5" i="23"/>
  <c r="EW5" i="23"/>
  <c r="EV5" i="23"/>
  <c r="EU5" i="23"/>
  <c r="ET5" i="23"/>
  <c r="ES5" i="23"/>
  <c r="ER5" i="23"/>
  <c r="EQ5" i="23"/>
  <c r="EP5" i="23"/>
  <c r="EO5" i="23"/>
  <c r="EN5" i="23"/>
  <c r="EM5" i="23"/>
  <c r="EL5" i="23"/>
  <c r="EK5" i="23"/>
  <c r="EJ5" i="23"/>
  <c r="EI5" i="23"/>
  <c r="EH5" i="23"/>
  <c r="EG5" i="23"/>
  <c r="EF5" i="23"/>
  <c r="EE5" i="23"/>
  <c r="ED5" i="23"/>
  <c r="EC5" i="23"/>
  <c r="EB5" i="23"/>
  <c r="EA5" i="23"/>
  <c r="DZ5" i="23"/>
  <c r="DY5" i="23"/>
  <c r="DX5" i="23"/>
  <c r="DW5" i="23"/>
  <c r="DV5" i="23"/>
  <c r="DU5" i="23"/>
  <c r="DT5" i="23"/>
  <c r="DS5" i="23"/>
  <c r="DR5" i="23"/>
  <c r="DQ5" i="23"/>
  <c r="DP5" i="23"/>
  <c r="DO5" i="23"/>
  <c r="DN5" i="23"/>
  <c r="DM5" i="23"/>
  <c r="DL5" i="23"/>
  <c r="DK5" i="23"/>
  <c r="DJ5" i="23"/>
  <c r="DI5" i="23"/>
  <c r="DH5" i="23"/>
  <c r="DG5" i="23"/>
  <c r="DF5" i="23"/>
  <c r="DE5" i="23"/>
  <c r="DD5" i="23"/>
  <c r="DC5" i="23"/>
  <c r="DB5" i="23"/>
  <c r="DA5" i="23"/>
  <c r="CZ5" i="23"/>
  <c r="CY5" i="23"/>
  <c r="CX5" i="23"/>
  <c r="CW5" i="23"/>
  <c r="CV5" i="23"/>
  <c r="CU5" i="23"/>
  <c r="CT5" i="23"/>
  <c r="CS5" i="23"/>
  <c r="CR5" i="23"/>
  <c r="CQ5" i="23"/>
  <c r="CP5" i="23"/>
  <c r="CO5" i="23"/>
  <c r="CN5" i="23"/>
  <c r="CM5" i="23"/>
  <c r="CL5" i="23"/>
  <c r="CK5" i="23"/>
  <c r="CJ5" i="23"/>
  <c r="CI5" i="23"/>
  <c r="CH5" i="23"/>
  <c r="CG5" i="23"/>
  <c r="CF5" i="23"/>
  <c r="CE5" i="23"/>
  <c r="CD5" i="23"/>
  <c r="CC5" i="23"/>
  <c r="CB5" i="23"/>
  <c r="CA5" i="23"/>
  <c r="BZ5" i="23"/>
  <c r="BY5" i="23"/>
  <c r="BX5" i="23"/>
  <c r="BW5" i="23"/>
  <c r="BV5" i="23"/>
  <c r="BU5" i="23"/>
  <c r="BT5" i="23"/>
  <c r="BS5" i="23"/>
  <c r="BR5" i="23"/>
  <c r="BQ5" i="23"/>
  <c r="BP5" i="23"/>
  <c r="BO5" i="23"/>
  <c r="BN5" i="23"/>
  <c r="BM5" i="23"/>
  <c r="BL5" i="23"/>
  <c r="BK5" i="23"/>
  <c r="BJ5" i="23"/>
  <c r="BI5" i="23"/>
  <c r="BH5" i="23"/>
  <c r="BG5" i="23"/>
  <c r="BF5" i="23"/>
  <c r="BE5" i="23"/>
  <c r="BD5" i="23"/>
  <c r="BC5" i="23"/>
  <c r="BB5" i="23"/>
  <c r="BA5" i="23"/>
  <c r="AZ5" i="23"/>
  <c r="AY5" i="23"/>
  <c r="AX5" i="23"/>
  <c r="AW5" i="23"/>
  <c r="AV5" i="23"/>
  <c r="AU5" i="23"/>
  <c r="AT5" i="23"/>
  <c r="AS5" i="23"/>
  <c r="AR5" i="23"/>
  <c r="AQ5" i="23"/>
  <c r="AP5" i="23"/>
  <c r="AO5" i="23"/>
  <c r="AN5" i="23"/>
  <c r="AM5" i="23"/>
  <c r="AL5" i="23"/>
  <c r="AK5" i="23"/>
  <c r="AJ5" i="23"/>
  <c r="AI5" i="23"/>
  <c r="AH5" i="23"/>
  <c r="AG5" i="23"/>
  <c r="AF5" i="23"/>
  <c r="AE5" i="23"/>
  <c r="AD5" i="23"/>
  <c r="AC5" i="23"/>
  <c r="AB5" i="23"/>
  <c r="AA5" i="23"/>
  <c r="Z5" i="23"/>
  <c r="Y5" i="23"/>
  <c r="X5" i="23"/>
  <c r="W5" i="23"/>
  <c r="V5" i="23"/>
  <c r="U5" i="23"/>
  <c r="T5" i="23"/>
  <c r="S5" i="23"/>
  <c r="R5" i="23"/>
  <c r="Q5" i="23"/>
  <c r="P5" i="23"/>
  <c r="O5" i="23"/>
  <c r="N5" i="23"/>
  <c r="M5" i="23"/>
  <c r="L5" i="23"/>
  <c r="K5" i="23"/>
  <c r="J5" i="23"/>
  <c r="I5" i="23"/>
  <c r="H5" i="23"/>
  <c r="GX1" i="23"/>
  <c r="GW1" i="23"/>
  <c r="GV1" i="23"/>
  <c r="GU1" i="23"/>
  <c r="GT1" i="23"/>
  <c r="GS1" i="23"/>
  <c r="GR1" i="23"/>
  <c r="GQ1" i="23"/>
  <c r="GP1" i="23"/>
  <c r="GO1" i="23"/>
  <c r="GN1" i="23"/>
  <c r="GM1" i="23"/>
  <c r="GL1" i="23"/>
  <c r="GK1" i="23"/>
  <c r="GJ1" i="23"/>
  <c r="GI1" i="23"/>
  <c r="GH1" i="23"/>
  <c r="GG1" i="23"/>
  <c r="GF1" i="23"/>
  <c r="GE1" i="23"/>
  <c r="GD1" i="23"/>
  <c r="GC1" i="23"/>
  <c r="GB1" i="23"/>
  <c r="GA1" i="23"/>
  <c r="FZ1" i="23"/>
  <c r="FY1" i="23"/>
  <c r="FX1" i="23"/>
  <c r="FW1" i="23"/>
  <c r="FV1" i="23"/>
  <c r="FU1" i="23"/>
  <c r="FT1" i="23"/>
  <c r="FS1" i="23"/>
  <c r="FR1" i="23"/>
  <c r="FQ1" i="23"/>
  <c r="FP1" i="23"/>
  <c r="FO1" i="23"/>
  <c r="FN1" i="23"/>
  <c r="FM1" i="23"/>
  <c r="FL1" i="23"/>
  <c r="FK1" i="23"/>
  <c r="FJ1" i="23"/>
  <c r="FI1" i="23"/>
  <c r="FH1" i="23"/>
  <c r="FG1" i="23"/>
  <c r="FF1" i="23"/>
  <c r="FE1" i="23"/>
  <c r="FD1" i="23"/>
  <c r="FC1" i="23"/>
  <c r="FB1" i="23"/>
  <c r="FA1" i="23"/>
  <c r="EZ1" i="23"/>
  <c r="EY1" i="23"/>
  <c r="EX1" i="23"/>
  <c r="EW1" i="23"/>
  <c r="EV1" i="23"/>
  <c r="EU1" i="23"/>
  <c r="ET1" i="23"/>
  <c r="ES1" i="23"/>
  <c r="ER1" i="23"/>
  <c r="EQ1" i="23"/>
  <c r="EP1" i="23"/>
  <c r="EO1" i="23"/>
  <c r="EN1" i="23"/>
  <c r="EM1" i="23"/>
  <c r="EL1" i="23"/>
  <c r="EK1" i="23"/>
  <c r="EJ1" i="23"/>
  <c r="EI1" i="23"/>
  <c r="EH1" i="23"/>
  <c r="EG1" i="23"/>
  <c r="EF1" i="23"/>
  <c r="EE1" i="23"/>
  <c r="ED1" i="23"/>
  <c r="EC1" i="23"/>
  <c r="EB1" i="23"/>
  <c r="EA1" i="23"/>
  <c r="DZ1" i="23"/>
  <c r="DY1" i="23"/>
  <c r="DX1" i="23"/>
  <c r="DW1" i="23"/>
  <c r="DV1" i="23"/>
  <c r="DU1" i="23"/>
  <c r="DT1" i="23"/>
  <c r="DS1" i="23"/>
  <c r="DR1" i="23"/>
  <c r="DQ1" i="23"/>
  <c r="DP1" i="23"/>
  <c r="DO1" i="23"/>
  <c r="DN1" i="23"/>
  <c r="DM1" i="23"/>
  <c r="DL1" i="23"/>
  <c r="DK1" i="23"/>
  <c r="DJ1" i="23"/>
  <c r="DI1" i="23"/>
  <c r="DH1" i="23"/>
  <c r="DG1" i="23"/>
  <c r="DF1" i="23"/>
  <c r="DE1" i="23"/>
  <c r="DD1" i="23"/>
  <c r="DC1" i="23"/>
  <c r="DB1" i="23"/>
  <c r="DA1" i="23"/>
  <c r="CZ1" i="23"/>
  <c r="CY1" i="23"/>
  <c r="CX1" i="23"/>
  <c r="CW1" i="23"/>
  <c r="CV1" i="23"/>
  <c r="CU1" i="23"/>
  <c r="CT1" i="23"/>
  <c r="CS1" i="23"/>
  <c r="CR1" i="23"/>
  <c r="CQ1" i="23"/>
  <c r="CP1" i="23"/>
  <c r="CO1" i="23"/>
  <c r="CN1" i="23"/>
  <c r="CM1" i="23"/>
  <c r="CL1" i="23"/>
  <c r="CK1" i="23"/>
  <c r="CJ1" i="23"/>
  <c r="CI1" i="23"/>
  <c r="CH1" i="23"/>
  <c r="CG1" i="23"/>
  <c r="CF1" i="23"/>
  <c r="CE1" i="23"/>
  <c r="CD1" i="23"/>
  <c r="CC1" i="23"/>
  <c r="CB1" i="23"/>
  <c r="CA1" i="23"/>
  <c r="BZ1" i="23"/>
  <c r="BY1" i="23"/>
  <c r="BX1" i="23"/>
  <c r="BW1" i="23"/>
  <c r="BV1" i="23"/>
  <c r="BU1" i="23"/>
  <c r="BT1" i="23"/>
  <c r="BS1" i="23"/>
  <c r="BR1" i="23"/>
  <c r="BQ1" i="23"/>
  <c r="BP1" i="23"/>
  <c r="BO1" i="23"/>
  <c r="BN1" i="23"/>
  <c r="BM1" i="23"/>
  <c r="BL1" i="23"/>
  <c r="BK1" i="23"/>
  <c r="BJ1" i="23"/>
  <c r="BI1" i="23"/>
  <c r="BH1" i="23"/>
  <c r="BG1" i="23"/>
  <c r="BF1" i="23"/>
  <c r="BE1" i="23"/>
  <c r="BD1" i="23"/>
  <c r="BC1" i="23"/>
  <c r="BB1" i="23"/>
  <c r="BA1" i="23"/>
  <c r="AZ1" i="23"/>
  <c r="AY1" i="23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R38" i="22"/>
  <c r="P38" i="22"/>
  <c r="N38" i="22"/>
  <c r="L38" i="22"/>
  <c r="J38" i="22"/>
  <c r="H38" i="22"/>
  <c r="BD37" i="22"/>
  <c r="I37" i="22"/>
  <c r="GX36" i="22"/>
  <c r="FY36" i="22"/>
  <c r="EZ36" i="22"/>
  <c r="DZ36" i="22"/>
  <c r="EA36" i="22" s="1"/>
  <c r="DY36" i="22"/>
  <c r="DW36" i="22"/>
  <c r="DU36" i="22"/>
  <c r="DS36" i="22"/>
  <c r="DQ36" i="22"/>
  <c r="DO36" i="22"/>
  <c r="DM36" i="22"/>
  <c r="DK36" i="22"/>
  <c r="DI36" i="22"/>
  <c r="DG36" i="22"/>
  <c r="DE36" i="22"/>
  <c r="DC36" i="22"/>
  <c r="DA36" i="22"/>
  <c r="CY36" i="22"/>
  <c r="CW36" i="22"/>
  <c r="CU36" i="22"/>
  <c r="CS36" i="22"/>
  <c r="CQ36" i="22"/>
  <c r="CO36" i="22"/>
  <c r="CM36" i="22"/>
  <c r="CK36" i="22"/>
  <c r="CI36" i="22"/>
  <c r="CG36" i="22"/>
  <c r="CE36" i="22"/>
  <c r="BD36" i="22"/>
  <c r="GX35" i="22"/>
  <c r="FY35" i="22"/>
  <c r="EZ35" i="22"/>
  <c r="DZ35" i="22"/>
  <c r="EA35" i="22" s="1"/>
  <c r="DY35" i="22"/>
  <c r="DW35" i="22"/>
  <c r="DU35" i="22"/>
  <c r="DS35" i="22"/>
  <c r="DQ35" i="22"/>
  <c r="DO35" i="22"/>
  <c r="DM35" i="22"/>
  <c r="DK35" i="22"/>
  <c r="DI35" i="22"/>
  <c r="DG35" i="22"/>
  <c r="DE35" i="22"/>
  <c r="DC35" i="22"/>
  <c r="DA35" i="22"/>
  <c r="CY35" i="22"/>
  <c r="CW35" i="22"/>
  <c r="CU35" i="22"/>
  <c r="CS35" i="22"/>
  <c r="CQ35" i="22"/>
  <c r="CO35" i="22"/>
  <c r="CM35" i="22"/>
  <c r="CK35" i="22"/>
  <c r="CI35" i="22"/>
  <c r="CG35" i="22"/>
  <c r="CE35" i="22"/>
  <c r="BD35" i="22"/>
  <c r="GX34" i="22"/>
  <c r="FY34" i="22"/>
  <c r="EZ34" i="22"/>
  <c r="DZ34" i="22"/>
  <c r="EA34" i="22" s="1"/>
  <c r="DY34" i="22"/>
  <c r="DW34" i="22"/>
  <c r="DU34" i="22"/>
  <c r="DS34" i="22"/>
  <c r="DQ34" i="22"/>
  <c r="DO34" i="22"/>
  <c r="DM34" i="22"/>
  <c r="DK34" i="22"/>
  <c r="DI34" i="22"/>
  <c r="DG34" i="22"/>
  <c r="DE34" i="22"/>
  <c r="DC34" i="22"/>
  <c r="DA34" i="22"/>
  <c r="CY34" i="22"/>
  <c r="CW34" i="22"/>
  <c r="CU34" i="22"/>
  <c r="CS34" i="22"/>
  <c r="CQ34" i="22"/>
  <c r="CO34" i="22"/>
  <c r="CM34" i="22"/>
  <c r="CK34" i="22"/>
  <c r="CI34" i="22"/>
  <c r="CG34" i="22"/>
  <c r="CE34" i="22"/>
  <c r="BD34" i="22"/>
  <c r="E34" i="22"/>
  <c r="GX33" i="22"/>
  <c r="FY33" i="22"/>
  <c r="EZ33" i="22"/>
  <c r="DZ33" i="22"/>
  <c r="EA33" i="22" s="1"/>
  <c r="DY33" i="22"/>
  <c r="DW33" i="22"/>
  <c r="DU33" i="22"/>
  <c r="DS33" i="22"/>
  <c r="DQ33" i="22"/>
  <c r="DO33" i="22"/>
  <c r="DM33" i="22"/>
  <c r="DK33" i="22"/>
  <c r="DI33" i="22"/>
  <c r="DG33" i="22"/>
  <c r="DE33" i="22"/>
  <c r="DC33" i="22"/>
  <c r="DA33" i="22"/>
  <c r="CY33" i="22"/>
  <c r="CW33" i="22"/>
  <c r="CU33" i="22"/>
  <c r="CS33" i="22"/>
  <c r="CQ33" i="22"/>
  <c r="CO33" i="22"/>
  <c r="CM33" i="22"/>
  <c r="CK33" i="22"/>
  <c r="CI33" i="22"/>
  <c r="CG33" i="22"/>
  <c r="CE33" i="22"/>
  <c r="BD33" i="22"/>
  <c r="E33" i="22"/>
  <c r="GX32" i="22"/>
  <c r="FY32" i="22"/>
  <c r="EZ32" i="22"/>
  <c r="DZ32" i="22"/>
  <c r="EA32" i="22" s="1"/>
  <c r="DY32" i="22"/>
  <c r="DW32" i="22"/>
  <c r="DU32" i="22"/>
  <c r="DS32" i="22"/>
  <c r="DQ32" i="22"/>
  <c r="DO32" i="22"/>
  <c r="DM32" i="22"/>
  <c r="DK32" i="22"/>
  <c r="DI32" i="22"/>
  <c r="DG32" i="22"/>
  <c r="DE32" i="22"/>
  <c r="DC32" i="22"/>
  <c r="DA32" i="22"/>
  <c r="CY32" i="22"/>
  <c r="CW32" i="22"/>
  <c r="CU32" i="22"/>
  <c r="CS32" i="22"/>
  <c r="CQ32" i="22"/>
  <c r="CO32" i="22"/>
  <c r="CM32" i="22"/>
  <c r="CK32" i="22"/>
  <c r="CI32" i="22"/>
  <c r="CG32" i="22"/>
  <c r="CE32" i="22"/>
  <c r="BD32" i="22"/>
  <c r="GX31" i="22"/>
  <c r="FY31" i="22"/>
  <c r="EZ31" i="22"/>
  <c r="DZ31" i="22"/>
  <c r="EA31" i="22" s="1"/>
  <c r="DY31" i="22"/>
  <c r="DW31" i="22"/>
  <c r="DU31" i="22"/>
  <c r="DS31" i="22"/>
  <c r="DQ31" i="22"/>
  <c r="DO31" i="22"/>
  <c r="DM31" i="22"/>
  <c r="DK31" i="22"/>
  <c r="DI31" i="22"/>
  <c r="DG31" i="22"/>
  <c r="DE31" i="22"/>
  <c r="DC31" i="22"/>
  <c r="DA31" i="22"/>
  <c r="CY31" i="22"/>
  <c r="CW31" i="22"/>
  <c r="CU31" i="22"/>
  <c r="CS31" i="22"/>
  <c r="CQ31" i="22"/>
  <c r="CO31" i="22"/>
  <c r="CM31" i="22"/>
  <c r="CK31" i="22"/>
  <c r="CI31" i="22"/>
  <c r="CG31" i="22"/>
  <c r="CE31" i="22"/>
  <c r="BD31" i="22"/>
  <c r="GX30" i="22"/>
  <c r="FY30" i="22"/>
  <c r="EZ30" i="22"/>
  <c r="DZ30" i="22"/>
  <c r="EA30" i="22" s="1"/>
  <c r="DY30" i="22"/>
  <c r="DW30" i="22"/>
  <c r="DU30" i="22"/>
  <c r="DS30" i="22"/>
  <c r="DQ30" i="22"/>
  <c r="DO30" i="22"/>
  <c r="DM30" i="22"/>
  <c r="DK30" i="22"/>
  <c r="DI30" i="22"/>
  <c r="DG30" i="22"/>
  <c r="DE30" i="22"/>
  <c r="DC30" i="22"/>
  <c r="DA30" i="22"/>
  <c r="CY30" i="22"/>
  <c r="CW30" i="22"/>
  <c r="CU30" i="22"/>
  <c r="CS30" i="22"/>
  <c r="CQ30" i="22"/>
  <c r="CO30" i="22"/>
  <c r="CM30" i="22"/>
  <c r="CK30" i="22"/>
  <c r="CI30" i="22"/>
  <c r="CG30" i="22"/>
  <c r="CE30" i="22"/>
  <c r="BD30" i="22"/>
  <c r="GX29" i="22"/>
  <c r="FY29" i="22"/>
  <c r="EZ29" i="22"/>
  <c r="DZ29" i="22"/>
  <c r="EA29" i="22" s="1"/>
  <c r="DY29" i="22"/>
  <c r="DW29" i="22"/>
  <c r="DU29" i="22"/>
  <c r="DS29" i="22"/>
  <c r="DQ29" i="22"/>
  <c r="DO29" i="22"/>
  <c r="DM29" i="22"/>
  <c r="DK29" i="22"/>
  <c r="DI29" i="22"/>
  <c r="DG29" i="22"/>
  <c r="DE29" i="22"/>
  <c r="DC29" i="22"/>
  <c r="DA29" i="22"/>
  <c r="CY29" i="22"/>
  <c r="CW29" i="22"/>
  <c r="CU29" i="22"/>
  <c r="CS29" i="22"/>
  <c r="CQ29" i="22"/>
  <c r="CO29" i="22"/>
  <c r="CM29" i="22"/>
  <c r="CK29" i="22"/>
  <c r="CI29" i="22"/>
  <c r="CG29" i="22"/>
  <c r="CE29" i="22"/>
  <c r="BD29" i="22"/>
  <c r="GX28" i="22"/>
  <c r="FY28" i="22"/>
  <c r="EZ28" i="22"/>
  <c r="DZ28" i="22"/>
  <c r="EA28" i="22" s="1"/>
  <c r="DY28" i="22"/>
  <c r="DW28" i="22"/>
  <c r="DU28" i="22"/>
  <c r="DS28" i="22"/>
  <c r="DQ28" i="22"/>
  <c r="DO28" i="22"/>
  <c r="DM28" i="22"/>
  <c r="DK28" i="22"/>
  <c r="DI28" i="22"/>
  <c r="DG28" i="22"/>
  <c r="DE28" i="22"/>
  <c r="DC28" i="22"/>
  <c r="DA28" i="22"/>
  <c r="CY28" i="22"/>
  <c r="CW28" i="22"/>
  <c r="CU28" i="22"/>
  <c r="CS28" i="22"/>
  <c r="CQ28" i="22"/>
  <c r="CO28" i="22"/>
  <c r="CM28" i="22"/>
  <c r="CK28" i="22"/>
  <c r="CI28" i="22"/>
  <c r="CG28" i="22"/>
  <c r="CE28" i="22"/>
  <c r="BD28" i="22"/>
  <c r="GX27" i="22"/>
  <c r="FY27" i="22"/>
  <c r="EZ27" i="22"/>
  <c r="DZ27" i="22"/>
  <c r="EA27" i="22" s="1"/>
  <c r="DY27" i="22"/>
  <c r="DW27" i="22"/>
  <c r="DU27" i="22"/>
  <c r="DS27" i="22"/>
  <c r="DQ27" i="22"/>
  <c r="DO27" i="22"/>
  <c r="DM27" i="22"/>
  <c r="DK27" i="22"/>
  <c r="DI27" i="22"/>
  <c r="DG27" i="22"/>
  <c r="DE27" i="22"/>
  <c r="DC27" i="22"/>
  <c r="DA27" i="22"/>
  <c r="CY27" i="22"/>
  <c r="CW27" i="22"/>
  <c r="CU27" i="22"/>
  <c r="CS27" i="22"/>
  <c r="CQ27" i="22"/>
  <c r="CO27" i="22"/>
  <c r="CM27" i="22"/>
  <c r="CK27" i="22"/>
  <c r="CI27" i="22"/>
  <c r="CG27" i="22"/>
  <c r="CE27" i="22"/>
  <c r="BD27" i="22"/>
  <c r="GX26" i="22"/>
  <c r="FY26" i="22"/>
  <c r="EZ26" i="22"/>
  <c r="DZ26" i="22"/>
  <c r="EA26" i="22" s="1"/>
  <c r="DY26" i="22"/>
  <c r="DW26" i="22"/>
  <c r="DU26" i="22"/>
  <c r="DS26" i="22"/>
  <c r="DQ26" i="22"/>
  <c r="DO26" i="22"/>
  <c r="DM26" i="22"/>
  <c r="DK26" i="22"/>
  <c r="DI26" i="22"/>
  <c r="DG26" i="22"/>
  <c r="DE26" i="22"/>
  <c r="DC26" i="22"/>
  <c r="DA26" i="22"/>
  <c r="CY26" i="22"/>
  <c r="CW26" i="22"/>
  <c r="CU26" i="22"/>
  <c r="CS26" i="22"/>
  <c r="CQ26" i="22"/>
  <c r="CO26" i="22"/>
  <c r="CM26" i="22"/>
  <c r="CK26" i="22"/>
  <c r="CI26" i="22"/>
  <c r="CG26" i="22"/>
  <c r="CE26" i="22"/>
  <c r="BD26" i="22"/>
  <c r="E26" i="22"/>
  <c r="GX25" i="22"/>
  <c r="FY25" i="22"/>
  <c r="EZ25" i="22"/>
  <c r="DZ25" i="22"/>
  <c r="EA25" i="22" s="1"/>
  <c r="DY25" i="22"/>
  <c r="DW25" i="22"/>
  <c r="DU25" i="22"/>
  <c r="DS25" i="22"/>
  <c r="DQ25" i="22"/>
  <c r="DO25" i="22"/>
  <c r="DM25" i="22"/>
  <c r="DK25" i="22"/>
  <c r="DI25" i="22"/>
  <c r="DG25" i="22"/>
  <c r="DE25" i="22"/>
  <c r="DC25" i="22"/>
  <c r="DA25" i="22"/>
  <c r="CY25" i="22"/>
  <c r="CW25" i="22"/>
  <c r="CU25" i="22"/>
  <c r="CS25" i="22"/>
  <c r="CQ25" i="22"/>
  <c r="CO25" i="22"/>
  <c r="CM25" i="22"/>
  <c r="CK25" i="22"/>
  <c r="CI25" i="22"/>
  <c r="CG25" i="22"/>
  <c r="CE25" i="22"/>
  <c r="BD25" i="22"/>
  <c r="E25" i="22"/>
  <c r="GX24" i="22"/>
  <c r="FY24" i="22"/>
  <c r="EZ24" i="22"/>
  <c r="DZ24" i="22"/>
  <c r="EA24" i="22" s="1"/>
  <c r="DY24" i="22"/>
  <c r="DW24" i="22"/>
  <c r="DU24" i="22"/>
  <c r="DS24" i="22"/>
  <c r="DQ24" i="22"/>
  <c r="DO24" i="22"/>
  <c r="DM24" i="22"/>
  <c r="DK24" i="22"/>
  <c r="DI24" i="22"/>
  <c r="DG24" i="22"/>
  <c r="DE24" i="22"/>
  <c r="DC24" i="22"/>
  <c r="DA24" i="22"/>
  <c r="CY24" i="22"/>
  <c r="CW24" i="22"/>
  <c r="CU24" i="22"/>
  <c r="CS24" i="22"/>
  <c r="CQ24" i="22"/>
  <c r="CO24" i="22"/>
  <c r="CM24" i="22"/>
  <c r="CK24" i="22"/>
  <c r="CI24" i="22"/>
  <c r="CG24" i="22"/>
  <c r="CE24" i="22"/>
  <c r="BD24" i="22"/>
  <c r="E24" i="22"/>
  <c r="GX23" i="22"/>
  <c r="FY23" i="22"/>
  <c r="EZ23" i="22"/>
  <c r="DZ23" i="22"/>
  <c r="EA23" i="22" s="1"/>
  <c r="DY23" i="22"/>
  <c r="DW23" i="22"/>
  <c r="DU23" i="22"/>
  <c r="DS23" i="22"/>
  <c r="DQ23" i="22"/>
  <c r="DO23" i="22"/>
  <c r="DM23" i="22"/>
  <c r="DK23" i="22"/>
  <c r="DI23" i="22"/>
  <c r="DG23" i="22"/>
  <c r="DE23" i="22"/>
  <c r="DC23" i="22"/>
  <c r="DA23" i="22"/>
  <c r="CY23" i="22"/>
  <c r="CW23" i="22"/>
  <c r="CU23" i="22"/>
  <c r="CS23" i="22"/>
  <c r="CQ23" i="22"/>
  <c r="CO23" i="22"/>
  <c r="CM23" i="22"/>
  <c r="CK23" i="22"/>
  <c r="CI23" i="22"/>
  <c r="CG23" i="22"/>
  <c r="CE23" i="22"/>
  <c r="BD23" i="22"/>
  <c r="GX22" i="22"/>
  <c r="FY22" i="22"/>
  <c r="EZ22" i="22"/>
  <c r="DZ22" i="22"/>
  <c r="EA22" i="22" s="1"/>
  <c r="DY22" i="22"/>
  <c r="DW22" i="22"/>
  <c r="DU22" i="22"/>
  <c r="DS22" i="22"/>
  <c r="DQ22" i="22"/>
  <c r="DO22" i="22"/>
  <c r="DM22" i="22"/>
  <c r="DK22" i="22"/>
  <c r="DI22" i="22"/>
  <c r="DG22" i="22"/>
  <c r="DE22" i="22"/>
  <c r="DC22" i="22"/>
  <c r="DA22" i="22"/>
  <c r="CY22" i="22"/>
  <c r="CW22" i="22"/>
  <c r="CU22" i="22"/>
  <c r="CS22" i="22"/>
  <c r="CQ22" i="22"/>
  <c r="CO22" i="22"/>
  <c r="CM22" i="22"/>
  <c r="CK22" i="22"/>
  <c r="CI22" i="22"/>
  <c r="CG22" i="22"/>
  <c r="CE22" i="22"/>
  <c r="BD22" i="22"/>
  <c r="GX21" i="22"/>
  <c r="FY21" i="22"/>
  <c r="EZ21" i="22"/>
  <c r="DZ21" i="22"/>
  <c r="EA21" i="22" s="1"/>
  <c r="DY21" i="22"/>
  <c r="DW21" i="22"/>
  <c r="DU21" i="22"/>
  <c r="DS21" i="22"/>
  <c r="DQ21" i="22"/>
  <c r="DO21" i="22"/>
  <c r="DM21" i="22"/>
  <c r="DK21" i="22"/>
  <c r="DI21" i="22"/>
  <c r="DG21" i="22"/>
  <c r="DE21" i="22"/>
  <c r="DC21" i="22"/>
  <c r="DA21" i="22"/>
  <c r="CY21" i="22"/>
  <c r="CW21" i="22"/>
  <c r="CU21" i="22"/>
  <c r="CS21" i="22"/>
  <c r="CQ21" i="22"/>
  <c r="CO21" i="22"/>
  <c r="CM21" i="22"/>
  <c r="CK21" i="22"/>
  <c r="CI21" i="22"/>
  <c r="CG21" i="22"/>
  <c r="CE21" i="22"/>
  <c r="BD21" i="22"/>
  <c r="GX20" i="22"/>
  <c r="FY20" i="22"/>
  <c r="EZ20" i="22"/>
  <c r="DZ20" i="22"/>
  <c r="EA20" i="22" s="1"/>
  <c r="DY20" i="22"/>
  <c r="DW20" i="22"/>
  <c r="DU20" i="22"/>
  <c r="DS20" i="22"/>
  <c r="DQ20" i="22"/>
  <c r="DO20" i="22"/>
  <c r="DM20" i="22"/>
  <c r="DK20" i="22"/>
  <c r="DI20" i="22"/>
  <c r="DG20" i="22"/>
  <c r="DE20" i="22"/>
  <c r="DC20" i="22"/>
  <c r="DA20" i="22"/>
  <c r="CY20" i="22"/>
  <c r="CW20" i="22"/>
  <c r="CU20" i="22"/>
  <c r="CS20" i="22"/>
  <c r="CQ20" i="22"/>
  <c r="CO20" i="22"/>
  <c r="CM20" i="22"/>
  <c r="CK20" i="22"/>
  <c r="CI20" i="22"/>
  <c r="CG20" i="22"/>
  <c r="CE20" i="22"/>
  <c r="BD20" i="22"/>
  <c r="GX19" i="22"/>
  <c r="FY19" i="22"/>
  <c r="EZ19" i="22"/>
  <c r="DZ19" i="22"/>
  <c r="EA19" i="22" s="1"/>
  <c r="DY19" i="22"/>
  <c r="DW19" i="22"/>
  <c r="DU19" i="22"/>
  <c r="DS19" i="22"/>
  <c r="DQ19" i="22"/>
  <c r="DO19" i="22"/>
  <c r="DM19" i="22"/>
  <c r="DK19" i="22"/>
  <c r="DI19" i="22"/>
  <c r="DG19" i="22"/>
  <c r="DE19" i="22"/>
  <c r="DC19" i="22"/>
  <c r="DA19" i="22"/>
  <c r="CY19" i="22"/>
  <c r="CW19" i="22"/>
  <c r="CU19" i="22"/>
  <c r="CS19" i="22"/>
  <c r="CQ19" i="22"/>
  <c r="CO19" i="22"/>
  <c r="CM19" i="22"/>
  <c r="CK19" i="22"/>
  <c r="CI19" i="22"/>
  <c r="CG19" i="22"/>
  <c r="CE19" i="22"/>
  <c r="BD19" i="22"/>
  <c r="GX18" i="22"/>
  <c r="FY18" i="22"/>
  <c r="EZ18" i="22"/>
  <c r="DZ18" i="22"/>
  <c r="EA18" i="22" s="1"/>
  <c r="DY18" i="22"/>
  <c r="DW18" i="22"/>
  <c r="DU18" i="22"/>
  <c r="DS18" i="22"/>
  <c r="DQ18" i="22"/>
  <c r="DO18" i="22"/>
  <c r="DM18" i="22"/>
  <c r="DK18" i="22"/>
  <c r="DI18" i="22"/>
  <c r="DG18" i="22"/>
  <c r="DE18" i="22"/>
  <c r="DC18" i="22"/>
  <c r="DA18" i="22"/>
  <c r="CY18" i="22"/>
  <c r="CW18" i="22"/>
  <c r="CU18" i="22"/>
  <c r="CS18" i="22"/>
  <c r="CQ18" i="22"/>
  <c r="CO18" i="22"/>
  <c r="CM18" i="22"/>
  <c r="CK18" i="22"/>
  <c r="CI18" i="22"/>
  <c r="CG18" i="22"/>
  <c r="CE18" i="22"/>
  <c r="BD18" i="22"/>
  <c r="E18" i="22"/>
  <c r="GX17" i="22"/>
  <c r="FY17" i="22"/>
  <c r="EZ17" i="22"/>
  <c r="DZ17" i="22"/>
  <c r="EA17" i="22" s="1"/>
  <c r="DY17" i="22"/>
  <c r="DW17" i="22"/>
  <c r="DU17" i="22"/>
  <c r="DS17" i="22"/>
  <c r="DQ17" i="22"/>
  <c r="DO17" i="22"/>
  <c r="DM17" i="22"/>
  <c r="DK17" i="22"/>
  <c r="DI17" i="22"/>
  <c r="DG17" i="22"/>
  <c r="DE17" i="22"/>
  <c r="DC17" i="22"/>
  <c r="DA17" i="22"/>
  <c r="CY17" i="22"/>
  <c r="CW17" i="22"/>
  <c r="CU17" i="22"/>
  <c r="CS17" i="22"/>
  <c r="CQ17" i="22"/>
  <c r="CO17" i="22"/>
  <c r="CM17" i="22"/>
  <c r="CK17" i="22"/>
  <c r="CI17" i="22"/>
  <c r="CG17" i="22"/>
  <c r="CE17" i="22"/>
  <c r="BD17" i="22"/>
  <c r="E17" i="22"/>
  <c r="GX16" i="22"/>
  <c r="FY16" i="22"/>
  <c r="EZ16" i="22"/>
  <c r="DZ16" i="22"/>
  <c r="EA16" i="22" s="1"/>
  <c r="DY16" i="22"/>
  <c r="DW16" i="22"/>
  <c r="DU16" i="22"/>
  <c r="DS16" i="22"/>
  <c r="DQ16" i="22"/>
  <c r="DO16" i="22"/>
  <c r="DM16" i="22"/>
  <c r="DK16" i="22"/>
  <c r="DI16" i="22"/>
  <c r="DG16" i="22"/>
  <c r="DE16" i="22"/>
  <c r="DC16" i="22"/>
  <c r="DA16" i="22"/>
  <c r="CY16" i="22"/>
  <c r="CW16" i="22"/>
  <c r="CU16" i="22"/>
  <c r="CS16" i="22"/>
  <c r="CQ16" i="22"/>
  <c r="CO16" i="22"/>
  <c r="CM16" i="22"/>
  <c r="CK16" i="22"/>
  <c r="CI16" i="22"/>
  <c r="CG16" i="22"/>
  <c r="CE16" i="22"/>
  <c r="BD16" i="22"/>
  <c r="E16" i="22"/>
  <c r="GX15" i="22"/>
  <c r="FY15" i="22"/>
  <c r="EZ15" i="22"/>
  <c r="DZ15" i="22"/>
  <c r="EA15" i="22" s="1"/>
  <c r="DY15" i="22"/>
  <c r="DW15" i="22"/>
  <c r="DU15" i="22"/>
  <c r="DS15" i="22"/>
  <c r="DQ15" i="22"/>
  <c r="DO15" i="22"/>
  <c r="DM15" i="22"/>
  <c r="DK15" i="22"/>
  <c r="DI15" i="22"/>
  <c r="DG15" i="22"/>
  <c r="DE15" i="22"/>
  <c r="DC15" i="22"/>
  <c r="DA15" i="22"/>
  <c r="CY15" i="22"/>
  <c r="CW15" i="22"/>
  <c r="CU15" i="22"/>
  <c r="CS15" i="22"/>
  <c r="CQ15" i="22"/>
  <c r="CO15" i="22"/>
  <c r="CM15" i="22"/>
  <c r="CK15" i="22"/>
  <c r="CI15" i="22"/>
  <c r="CG15" i="22"/>
  <c r="CE15" i="22"/>
  <c r="BD15" i="22"/>
  <c r="GX14" i="22"/>
  <c r="FY14" i="22"/>
  <c r="EZ14" i="22"/>
  <c r="DZ14" i="22"/>
  <c r="EA14" i="22" s="1"/>
  <c r="DY14" i="22"/>
  <c r="DW14" i="22"/>
  <c r="DU14" i="22"/>
  <c r="DS14" i="22"/>
  <c r="DQ14" i="22"/>
  <c r="DO14" i="22"/>
  <c r="DM14" i="22"/>
  <c r="DK14" i="22"/>
  <c r="DI14" i="22"/>
  <c r="DG14" i="22"/>
  <c r="DE14" i="22"/>
  <c r="DC14" i="22"/>
  <c r="DA14" i="22"/>
  <c r="CY14" i="22"/>
  <c r="CW14" i="22"/>
  <c r="CU14" i="22"/>
  <c r="CS14" i="22"/>
  <c r="CQ14" i="22"/>
  <c r="CO14" i="22"/>
  <c r="CM14" i="22"/>
  <c r="CK14" i="22"/>
  <c r="CI14" i="22"/>
  <c r="CG14" i="22"/>
  <c r="CE14" i="22"/>
  <c r="BD14" i="22"/>
  <c r="GX13" i="22"/>
  <c r="FY13" i="22"/>
  <c r="EZ13" i="22"/>
  <c r="DZ13" i="22"/>
  <c r="EA13" i="22" s="1"/>
  <c r="DY13" i="22"/>
  <c r="DW13" i="22"/>
  <c r="DU13" i="22"/>
  <c r="DS13" i="22"/>
  <c r="DQ13" i="22"/>
  <c r="DO13" i="22"/>
  <c r="DM13" i="22"/>
  <c r="DK13" i="22"/>
  <c r="DI13" i="22"/>
  <c r="DG13" i="22"/>
  <c r="DE13" i="22"/>
  <c r="DC13" i="22"/>
  <c r="DA13" i="22"/>
  <c r="CY13" i="22"/>
  <c r="CW13" i="22"/>
  <c r="CU13" i="22"/>
  <c r="CS13" i="22"/>
  <c r="CQ13" i="22"/>
  <c r="CO13" i="22"/>
  <c r="CM13" i="22"/>
  <c r="CK13" i="22"/>
  <c r="CI13" i="22"/>
  <c r="CG13" i="22"/>
  <c r="CE13" i="22"/>
  <c r="BD13" i="22"/>
  <c r="GX12" i="22"/>
  <c r="FY12" i="22"/>
  <c r="EZ12" i="22"/>
  <c r="DZ12" i="22"/>
  <c r="EA12" i="22" s="1"/>
  <c r="DY12" i="22"/>
  <c r="DW12" i="22"/>
  <c r="DU12" i="22"/>
  <c r="DS12" i="22"/>
  <c r="DQ12" i="22"/>
  <c r="DO12" i="22"/>
  <c r="DM12" i="22"/>
  <c r="DK12" i="22"/>
  <c r="DI12" i="22"/>
  <c r="DG12" i="22"/>
  <c r="DE12" i="22"/>
  <c r="DC12" i="22"/>
  <c r="DA12" i="22"/>
  <c r="CY12" i="22"/>
  <c r="CW12" i="22"/>
  <c r="CU12" i="22"/>
  <c r="CS12" i="22"/>
  <c r="CQ12" i="22"/>
  <c r="CO12" i="22"/>
  <c r="CM12" i="22"/>
  <c r="CK12" i="22"/>
  <c r="CI12" i="22"/>
  <c r="CG12" i="22"/>
  <c r="CE12" i="22"/>
  <c r="BD12" i="22"/>
  <c r="GX11" i="22"/>
  <c r="FY11" i="22"/>
  <c r="EZ11" i="22"/>
  <c r="DZ11" i="22"/>
  <c r="EA11" i="22" s="1"/>
  <c r="DY11" i="22"/>
  <c r="DW11" i="22"/>
  <c r="DU11" i="22"/>
  <c r="DS11" i="22"/>
  <c r="DQ11" i="22"/>
  <c r="DO11" i="22"/>
  <c r="DM11" i="22"/>
  <c r="DK11" i="22"/>
  <c r="DI11" i="22"/>
  <c r="DG11" i="22"/>
  <c r="DE11" i="22"/>
  <c r="DC11" i="22"/>
  <c r="DA11" i="22"/>
  <c r="CY11" i="22"/>
  <c r="CW11" i="22"/>
  <c r="CU11" i="22"/>
  <c r="CS11" i="22"/>
  <c r="CQ11" i="22"/>
  <c r="CO11" i="22"/>
  <c r="CM11" i="22"/>
  <c r="CK11" i="22"/>
  <c r="CI11" i="22"/>
  <c r="CG11" i="22"/>
  <c r="CE11" i="22"/>
  <c r="BD11" i="22"/>
  <c r="GX10" i="22"/>
  <c r="FY10" i="22"/>
  <c r="EZ10" i="22"/>
  <c r="DZ10" i="22"/>
  <c r="EA10" i="22" s="1"/>
  <c r="DY10" i="22"/>
  <c r="DW10" i="22"/>
  <c r="DU10" i="22"/>
  <c r="DS10" i="22"/>
  <c r="DQ10" i="22"/>
  <c r="DO10" i="22"/>
  <c r="DM10" i="22"/>
  <c r="DK10" i="22"/>
  <c r="DI10" i="22"/>
  <c r="DG10" i="22"/>
  <c r="DE10" i="22"/>
  <c r="DC10" i="22"/>
  <c r="DA10" i="22"/>
  <c r="CY10" i="22"/>
  <c r="CW10" i="22"/>
  <c r="CU10" i="22"/>
  <c r="CS10" i="22"/>
  <c r="CQ10" i="22"/>
  <c r="CO10" i="22"/>
  <c r="CM10" i="22"/>
  <c r="CK10" i="22"/>
  <c r="CI10" i="22"/>
  <c r="CG10" i="22"/>
  <c r="CE10" i="22"/>
  <c r="BD10" i="22"/>
  <c r="E10" i="22"/>
  <c r="GX9" i="22"/>
  <c r="FY9" i="22"/>
  <c r="EZ9" i="22"/>
  <c r="DZ9" i="22"/>
  <c r="EA9" i="22" s="1"/>
  <c r="DY9" i="22"/>
  <c r="DW9" i="22"/>
  <c r="DU9" i="22"/>
  <c r="DS9" i="22"/>
  <c r="DQ9" i="22"/>
  <c r="DO9" i="22"/>
  <c r="DM9" i="22"/>
  <c r="DK9" i="22"/>
  <c r="DI9" i="22"/>
  <c r="DG9" i="22"/>
  <c r="DE9" i="22"/>
  <c r="DC9" i="22"/>
  <c r="DA9" i="22"/>
  <c r="CY9" i="22"/>
  <c r="CW9" i="22"/>
  <c r="CU9" i="22"/>
  <c r="CS9" i="22"/>
  <c r="CQ9" i="22"/>
  <c r="CO9" i="22"/>
  <c r="CM9" i="22"/>
  <c r="CK9" i="22"/>
  <c r="CI9" i="22"/>
  <c r="CG9" i="22"/>
  <c r="CE9" i="22"/>
  <c r="BD9" i="22"/>
  <c r="E9" i="22"/>
  <c r="GX8" i="22"/>
  <c r="FY8" i="22"/>
  <c r="EZ8" i="22"/>
  <c r="DZ8" i="22"/>
  <c r="EA8" i="22" s="1"/>
  <c r="DY8" i="22"/>
  <c r="DW8" i="22"/>
  <c r="DU8" i="22"/>
  <c r="DS8" i="22"/>
  <c r="DQ8" i="22"/>
  <c r="DO8" i="22"/>
  <c r="DM8" i="22"/>
  <c r="DK8" i="22"/>
  <c r="DI8" i="22"/>
  <c r="DG8" i="22"/>
  <c r="DE8" i="22"/>
  <c r="DC8" i="22"/>
  <c r="DA8" i="22"/>
  <c r="CY8" i="22"/>
  <c r="CW8" i="22"/>
  <c r="CU8" i="22"/>
  <c r="CS8" i="22"/>
  <c r="CQ8" i="22"/>
  <c r="CO8" i="22"/>
  <c r="CM8" i="22"/>
  <c r="CK8" i="22"/>
  <c r="CI8" i="22"/>
  <c r="CG8" i="22"/>
  <c r="CE8" i="22"/>
  <c r="BD8" i="22"/>
  <c r="E8" i="22"/>
  <c r="GX7" i="22"/>
  <c r="FY7" i="22"/>
  <c r="EZ7" i="22"/>
  <c r="DZ7" i="22"/>
  <c r="DY7" i="22"/>
  <c r="DW7" i="22"/>
  <c r="DU7" i="22"/>
  <c r="DS7" i="22"/>
  <c r="DQ7" i="22"/>
  <c r="DO7" i="22"/>
  <c r="DM7" i="22"/>
  <c r="DK7" i="22"/>
  <c r="DI7" i="22"/>
  <c r="DG7" i="22"/>
  <c r="DE7" i="22"/>
  <c r="DC7" i="22"/>
  <c r="DA7" i="22"/>
  <c r="CY7" i="22"/>
  <c r="CW7" i="22"/>
  <c r="CU7" i="22"/>
  <c r="CS7" i="22"/>
  <c r="CQ7" i="22"/>
  <c r="CO7" i="22"/>
  <c r="CM7" i="22"/>
  <c r="CK7" i="22"/>
  <c r="CI7" i="22"/>
  <c r="CG7" i="22"/>
  <c r="CE7" i="22"/>
  <c r="BD7" i="22"/>
  <c r="EY5" i="22"/>
  <c r="EX5" i="22"/>
  <c r="EW5" i="22"/>
  <c r="EV5" i="22"/>
  <c r="EU5" i="22"/>
  <c r="ET5" i="22"/>
  <c r="ES5" i="22"/>
  <c r="ER5" i="22"/>
  <c r="EQ5" i="22"/>
  <c r="EP5" i="22"/>
  <c r="EO5" i="22"/>
  <c r="EN5" i="22"/>
  <c r="EM5" i="22"/>
  <c r="EL5" i="22"/>
  <c r="EK5" i="22"/>
  <c r="EJ5" i="22"/>
  <c r="EI5" i="22"/>
  <c r="EH5" i="22"/>
  <c r="EG5" i="22"/>
  <c r="EF5" i="22"/>
  <c r="EE5" i="22"/>
  <c r="ED5" i="22"/>
  <c r="EC5" i="22"/>
  <c r="EB5" i="22"/>
  <c r="EA5" i="22"/>
  <c r="DZ5" i="22"/>
  <c r="DY5" i="22"/>
  <c r="DX5" i="22"/>
  <c r="DW5" i="22"/>
  <c r="DV5" i="22"/>
  <c r="DU5" i="22"/>
  <c r="DT5" i="22"/>
  <c r="DS5" i="22"/>
  <c r="DR5" i="22"/>
  <c r="DQ5" i="22"/>
  <c r="DP5" i="22"/>
  <c r="DO5" i="22"/>
  <c r="DN5" i="22"/>
  <c r="DM5" i="22"/>
  <c r="DL5" i="22"/>
  <c r="DK5" i="22"/>
  <c r="DJ5" i="22"/>
  <c r="DI5" i="22"/>
  <c r="DH5" i="22"/>
  <c r="DG5" i="22"/>
  <c r="DF5" i="22"/>
  <c r="DE5" i="22"/>
  <c r="DD5" i="22"/>
  <c r="DC5" i="22"/>
  <c r="DB5" i="22"/>
  <c r="DA5" i="22"/>
  <c r="CZ5" i="22"/>
  <c r="CY5" i="22"/>
  <c r="CX5" i="22"/>
  <c r="CW5" i="22"/>
  <c r="CV5" i="22"/>
  <c r="CU5" i="22"/>
  <c r="CT5" i="22"/>
  <c r="CS5" i="22"/>
  <c r="CR5" i="22"/>
  <c r="CQ5" i="22"/>
  <c r="CP5" i="22"/>
  <c r="CO5" i="22"/>
  <c r="CN5" i="22"/>
  <c r="CM5" i="22"/>
  <c r="CL5" i="22"/>
  <c r="CK5" i="22"/>
  <c r="CJ5" i="22"/>
  <c r="CI5" i="22"/>
  <c r="CH5" i="22"/>
  <c r="CG5" i="22"/>
  <c r="CF5" i="22"/>
  <c r="CE5" i="22"/>
  <c r="CD5" i="22"/>
  <c r="CC5" i="22"/>
  <c r="CB5" i="22"/>
  <c r="CA5" i="22"/>
  <c r="BZ5" i="22"/>
  <c r="BY5" i="22"/>
  <c r="BX5" i="22"/>
  <c r="BW5" i="22"/>
  <c r="BV5" i="22"/>
  <c r="BU5" i="22"/>
  <c r="BT5" i="22"/>
  <c r="BS5" i="22"/>
  <c r="BR5" i="22"/>
  <c r="BQ5" i="22"/>
  <c r="BP5" i="22"/>
  <c r="BO5" i="22"/>
  <c r="BN5" i="22"/>
  <c r="BM5" i="22"/>
  <c r="BL5" i="22"/>
  <c r="BK5" i="22"/>
  <c r="BJ5" i="22"/>
  <c r="BI5" i="22"/>
  <c r="BH5" i="22"/>
  <c r="BG5" i="22"/>
  <c r="BF5" i="22"/>
  <c r="BE5" i="22"/>
  <c r="BD5" i="22"/>
  <c r="BC5" i="22"/>
  <c r="BB5" i="22"/>
  <c r="BA5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X1" i="22"/>
  <c r="GW1" i="22"/>
  <c r="GV1" i="22"/>
  <c r="GU1" i="22"/>
  <c r="GT1" i="22"/>
  <c r="GS1" i="22"/>
  <c r="GR1" i="22"/>
  <c r="GQ1" i="22"/>
  <c r="GP1" i="22"/>
  <c r="GO1" i="22"/>
  <c r="GN1" i="22"/>
  <c r="GM1" i="22"/>
  <c r="GL1" i="22"/>
  <c r="GK1" i="22"/>
  <c r="GJ1" i="22"/>
  <c r="GI1" i="22"/>
  <c r="GH1" i="22"/>
  <c r="GG1" i="22"/>
  <c r="GF1" i="22"/>
  <c r="GE1" i="22"/>
  <c r="GD1" i="22"/>
  <c r="GC1" i="22"/>
  <c r="GB1" i="22"/>
  <c r="GA1" i="22"/>
  <c r="FZ1" i="22"/>
  <c r="FY1" i="22"/>
  <c r="FX1" i="22"/>
  <c r="FW1" i="22"/>
  <c r="FV1" i="22"/>
  <c r="FU1" i="22"/>
  <c r="FT1" i="22"/>
  <c r="FS1" i="22"/>
  <c r="FR1" i="22"/>
  <c r="FQ1" i="22"/>
  <c r="FP1" i="22"/>
  <c r="FO1" i="22"/>
  <c r="FN1" i="22"/>
  <c r="FM1" i="22"/>
  <c r="FL1" i="22"/>
  <c r="FK1" i="22"/>
  <c r="FJ1" i="22"/>
  <c r="FI1" i="22"/>
  <c r="FH1" i="22"/>
  <c r="FG1" i="22"/>
  <c r="FF1" i="22"/>
  <c r="FE1" i="22"/>
  <c r="FD1" i="22"/>
  <c r="FC1" i="22"/>
  <c r="FB1" i="22"/>
  <c r="FA1" i="22"/>
  <c r="EZ1" i="22"/>
  <c r="EY1" i="22"/>
  <c r="EX1" i="22"/>
  <c r="EW1" i="22"/>
  <c r="EV1" i="22"/>
  <c r="EU1" i="22"/>
  <c r="ET1" i="22"/>
  <c r="ES1" i="22"/>
  <c r="ER1" i="22"/>
  <c r="EQ1" i="22"/>
  <c r="EP1" i="22"/>
  <c r="EO1" i="22"/>
  <c r="EN1" i="22"/>
  <c r="EM1" i="22"/>
  <c r="EL1" i="22"/>
  <c r="EK1" i="22"/>
  <c r="EJ1" i="22"/>
  <c r="EI1" i="22"/>
  <c r="EH1" i="22"/>
  <c r="EG1" i="22"/>
  <c r="EF1" i="22"/>
  <c r="EE1" i="22"/>
  <c r="ED1" i="22"/>
  <c r="EC1" i="22"/>
  <c r="EB1" i="22"/>
  <c r="EA1" i="22"/>
  <c r="DZ1" i="22"/>
  <c r="DY1" i="22"/>
  <c r="DX1" i="22"/>
  <c r="DW1" i="22"/>
  <c r="DV1" i="22"/>
  <c r="DU1" i="22"/>
  <c r="DT1" i="22"/>
  <c r="DS1" i="22"/>
  <c r="DR1" i="22"/>
  <c r="DQ1" i="22"/>
  <c r="DP1" i="22"/>
  <c r="DO1" i="22"/>
  <c r="DN1" i="22"/>
  <c r="DM1" i="22"/>
  <c r="DL1" i="22"/>
  <c r="DK1" i="22"/>
  <c r="DJ1" i="22"/>
  <c r="DI1" i="22"/>
  <c r="DH1" i="22"/>
  <c r="DG1" i="22"/>
  <c r="DF1" i="22"/>
  <c r="DE1" i="22"/>
  <c r="DD1" i="22"/>
  <c r="DC1" i="22"/>
  <c r="DB1" i="22"/>
  <c r="DA1" i="22"/>
  <c r="CZ1" i="22"/>
  <c r="CY1" i="22"/>
  <c r="CX1" i="22"/>
  <c r="CW1" i="22"/>
  <c r="CV1" i="22"/>
  <c r="CU1" i="22"/>
  <c r="CT1" i="22"/>
  <c r="CS1" i="22"/>
  <c r="CR1" i="22"/>
  <c r="CQ1" i="22"/>
  <c r="CP1" i="22"/>
  <c r="CO1" i="22"/>
  <c r="CN1" i="22"/>
  <c r="CM1" i="22"/>
  <c r="CL1" i="22"/>
  <c r="CK1" i="22"/>
  <c r="CJ1" i="22"/>
  <c r="CI1" i="22"/>
  <c r="CH1" i="22"/>
  <c r="CG1" i="22"/>
  <c r="CF1" i="22"/>
  <c r="CE1" i="22"/>
  <c r="CD1" i="22"/>
  <c r="CC1" i="22"/>
  <c r="CB1" i="22"/>
  <c r="CA1" i="22"/>
  <c r="BZ1" i="22"/>
  <c r="BY1" i="22"/>
  <c r="BX1" i="22"/>
  <c r="BW1" i="22"/>
  <c r="BV1" i="22"/>
  <c r="BU1" i="22"/>
  <c r="BT1" i="22"/>
  <c r="BS1" i="22"/>
  <c r="BR1" i="22"/>
  <c r="BQ1" i="22"/>
  <c r="BP1" i="22"/>
  <c r="BO1" i="22"/>
  <c r="BN1" i="22"/>
  <c r="BM1" i="22"/>
  <c r="BL1" i="22"/>
  <c r="BK1" i="22"/>
  <c r="BJ1" i="22"/>
  <c r="BI1" i="22"/>
  <c r="BH1" i="22"/>
  <c r="BG1" i="22"/>
  <c r="BF1" i="22"/>
  <c r="BE1" i="22"/>
  <c r="BD1" i="22"/>
  <c r="BC1" i="22"/>
  <c r="BB1" i="22"/>
  <c r="BA1" i="22"/>
  <c r="AZ1" i="22"/>
  <c r="AY1" i="22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K74" i="1"/>
  <c r="L38" i="1"/>
  <c r="L39" i="1"/>
  <c r="L40" i="1"/>
  <c r="L41" i="1"/>
  <c r="L42" i="1"/>
  <c r="L43" i="1"/>
  <c r="L44" i="1"/>
  <c r="L45" i="1"/>
  <c r="F78" i="1"/>
  <c r="L78" i="1" s="1"/>
  <c r="F79" i="1"/>
  <c r="F80" i="1"/>
  <c r="L80" i="1" s="1"/>
  <c r="F81" i="1"/>
  <c r="F82" i="1"/>
  <c r="F83" i="1"/>
  <c r="F84" i="1"/>
  <c r="F85" i="1"/>
  <c r="F86" i="1"/>
  <c r="F87" i="1"/>
  <c r="F88" i="1"/>
  <c r="L88" i="1" s="1"/>
  <c r="C78" i="1"/>
  <c r="C80" i="1"/>
  <c r="C82" i="1"/>
  <c r="C83" i="1"/>
  <c r="C84" i="1"/>
  <c r="C86" i="1"/>
  <c r="C88" i="1"/>
  <c r="C64" i="1"/>
  <c r="D64" i="1"/>
  <c r="F64" i="1"/>
  <c r="G64" i="1"/>
  <c r="I64" i="1"/>
  <c r="J64" i="1"/>
  <c r="C65" i="1"/>
  <c r="D65" i="1"/>
  <c r="F65" i="1"/>
  <c r="G65" i="1"/>
  <c r="I65" i="1"/>
  <c r="J65" i="1"/>
  <c r="C66" i="1"/>
  <c r="D66" i="1"/>
  <c r="F66" i="1"/>
  <c r="G66" i="1"/>
  <c r="I66" i="1"/>
  <c r="J66" i="1"/>
  <c r="C67" i="1"/>
  <c r="D67" i="1"/>
  <c r="F67" i="1"/>
  <c r="G67" i="1"/>
  <c r="I67" i="1"/>
  <c r="J67" i="1"/>
  <c r="C68" i="1"/>
  <c r="D68" i="1"/>
  <c r="F68" i="1"/>
  <c r="G68" i="1"/>
  <c r="I68" i="1"/>
  <c r="J68" i="1"/>
  <c r="C69" i="1"/>
  <c r="D69" i="1"/>
  <c r="F69" i="1"/>
  <c r="G69" i="1"/>
  <c r="I69" i="1"/>
  <c r="J69" i="1"/>
  <c r="C70" i="1"/>
  <c r="D70" i="1"/>
  <c r="F70" i="1"/>
  <c r="G70" i="1"/>
  <c r="I70" i="1"/>
  <c r="J70" i="1"/>
  <c r="C71" i="1"/>
  <c r="D71" i="1"/>
  <c r="F71" i="1"/>
  <c r="G71" i="1"/>
  <c r="I71" i="1"/>
  <c r="J71" i="1"/>
  <c r="C72" i="1"/>
  <c r="D72" i="1"/>
  <c r="F72" i="1"/>
  <c r="G72" i="1"/>
  <c r="I72" i="1"/>
  <c r="J72" i="1"/>
  <c r="C73" i="1"/>
  <c r="D73" i="1"/>
  <c r="F73" i="1"/>
  <c r="G73" i="1"/>
  <c r="I73" i="1"/>
  <c r="J73" i="1"/>
  <c r="C74" i="1"/>
  <c r="F74" i="1"/>
  <c r="I74" i="1"/>
  <c r="D63" i="1"/>
  <c r="F63" i="1"/>
  <c r="G63" i="1"/>
  <c r="J63" i="1"/>
  <c r="C63" i="1"/>
  <c r="L86" i="1" l="1"/>
  <c r="L77" i="1"/>
  <c r="L79" i="1"/>
  <c r="L87" i="1"/>
  <c r="C81" i="1"/>
  <c r="L81" i="1" s="1"/>
  <c r="L85" i="1"/>
  <c r="L84" i="1"/>
  <c r="I79" i="1"/>
  <c r="I85" i="1"/>
  <c r="L83" i="1"/>
  <c r="L82" i="1"/>
  <c r="M17" i="24"/>
  <c r="BC12" i="24"/>
  <c r="AS12" i="24"/>
  <c r="I12" i="24"/>
  <c r="AQ12" i="24"/>
  <c r="AO12" i="24"/>
  <c r="K12" i="24"/>
  <c r="AC12" i="24"/>
  <c r="AA12" i="24"/>
  <c r="Y12" i="24"/>
  <c r="M12" i="24"/>
  <c r="AQ35" i="24"/>
  <c r="AS35" i="24"/>
  <c r="AO35" i="24"/>
  <c r="AC35" i="24"/>
  <c r="Y35" i="24"/>
  <c r="M35" i="24"/>
  <c r="I35" i="24"/>
  <c r="BC11" i="24"/>
  <c r="AU11" i="24"/>
  <c r="O11" i="24"/>
  <c r="AS11" i="24"/>
  <c r="M11" i="24"/>
  <c r="AQ11" i="24"/>
  <c r="K11" i="24"/>
  <c r="AO11" i="24"/>
  <c r="I11" i="24"/>
  <c r="AE11" i="24"/>
  <c r="Y11" i="24"/>
  <c r="AC11" i="24"/>
  <c r="AA11" i="24"/>
  <c r="AS25" i="24"/>
  <c r="BC25" i="24"/>
  <c r="W25" i="24"/>
  <c r="O25" i="24"/>
  <c r="M25" i="24"/>
  <c r="AU21" i="24"/>
  <c r="W21" i="24"/>
  <c r="U21" i="24"/>
  <c r="O21" i="24"/>
  <c r="BC21" i="24"/>
  <c r="AO20" i="24"/>
  <c r="BC20" i="24"/>
  <c r="W20" i="24"/>
  <c r="Q20" i="24"/>
  <c r="I20" i="24"/>
  <c r="O10" i="24"/>
  <c r="AQ10" i="24"/>
  <c r="O14" i="24"/>
  <c r="BC14" i="24"/>
  <c r="O17" i="24"/>
  <c r="Y19" i="24"/>
  <c r="S22" i="24"/>
  <c r="Y24" i="24"/>
  <c r="BA26" i="24"/>
  <c r="K27" i="24"/>
  <c r="Q10" i="24"/>
  <c r="AS10" i="24"/>
  <c r="AA14" i="24"/>
  <c r="W17" i="24"/>
  <c r="AY19" i="24"/>
  <c r="U22" i="24"/>
  <c r="K23" i="24"/>
  <c r="AE24" i="24"/>
  <c r="S27" i="24"/>
  <c r="Y10" i="24"/>
  <c r="AU10" i="24"/>
  <c r="AC14" i="24"/>
  <c r="AC17" i="24"/>
  <c r="K18" i="24"/>
  <c r="BA22" i="24"/>
  <c r="Q23" i="24"/>
  <c r="AW24" i="24"/>
  <c r="AY27" i="24"/>
  <c r="AA10" i="24"/>
  <c r="AW10" i="24"/>
  <c r="AE14" i="24"/>
  <c r="BC17" i="24"/>
  <c r="M18" i="24"/>
  <c r="S23" i="24"/>
  <c r="AC10" i="24"/>
  <c r="AI14" i="24"/>
  <c r="I10" i="24"/>
  <c r="AE10" i="24"/>
  <c r="I14" i="24"/>
  <c r="AS14" i="24"/>
  <c r="AA18" i="24"/>
  <c r="I19" i="24"/>
  <c r="AG23" i="24"/>
  <c r="I24" i="24"/>
  <c r="K26" i="24"/>
  <c r="BC9" i="24"/>
  <c r="AI9" i="24"/>
  <c r="O9" i="24"/>
  <c r="Q9" i="24"/>
  <c r="AO9" i="24"/>
  <c r="S9" i="24"/>
  <c r="AQ9" i="24"/>
  <c r="Y9" i="24"/>
  <c r="AS9" i="24"/>
  <c r="AA9" i="24"/>
  <c r="AU9" i="24"/>
  <c r="I9" i="24"/>
  <c r="AC9" i="24"/>
  <c r="AW9" i="24"/>
  <c r="K9" i="24"/>
  <c r="AE9" i="24"/>
  <c r="AY9" i="24"/>
  <c r="M9" i="24"/>
  <c r="AG9" i="24"/>
  <c r="AU8" i="24"/>
  <c r="AE8" i="24"/>
  <c r="O8" i="24"/>
  <c r="AS8" i="24"/>
  <c r="AC8" i="24"/>
  <c r="M8" i="24"/>
  <c r="AY8" i="24"/>
  <c r="S8" i="24"/>
  <c r="AQ8" i="24"/>
  <c r="AA8" i="24"/>
  <c r="K8" i="24"/>
  <c r="AW8" i="24"/>
  <c r="AO8" i="24"/>
  <c r="Y8" i="24"/>
  <c r="I8" i="24"/>
  <c r="BC8" i="24"/>
  <c r="AM8" i="24"/>
  <c r="W8" i="24"/>
  <c r="AG8" i="24"/>
  <c r="BA8" i="24"/>
  <c r="AK8" i="24"/>
  <c r="U8" i="24"/>
  <c r="AI8" i="24"/>
  <c r="Q8" i="24"/>
  <c r="AW7" i="24"/>
  <c r="AG7" i="24"/>
  <c r="Q7" i="24"/>
  <c r="AU7" i="24"/>
  <c r="AE7" i="24"/>
  <c r="O7" i="24"/>
  <c r="AK7" i="24"/>
  <c r="AS7" i="24"/>
  <c r="AC7" i="24"/>
  <c r="M7" i="24"/>
  <c r="AY7" i="24"/>
  <c r="AI7" i="24"/>
  <c r="AQ7" i="24"/>
  <c r="AA7" i="24"/>
  <c r="K7" i="24"/>
  <c r="AO7" i="24"/>
  <c r="Y7" i="24"/>
  <c r="I7" i="24"/>
  <c r="S7" i="24"/>
  <c r="BC7" i="24"/>
  <c r="AM7" i="24"/>
  <c r="W7" i="24"/>
  <c r="BA7" i="24"/>
  <c r="U7" i="24"/>
  <c r="AU15" i="24"/>
  <c r="AE15" i="24"/>
  <c r="O15" i="24"/>
  <c r="AS15" i="24"/>
  <c r="AC15" i="24"/>
  <c r="M15" i="24"/>
  <c r="AO15" i="24"/>
  <c r="AQ15" i="24"/>
  <c r="U15" i="24"/>
  <c r="AM15" i="24"/>
  <c r="S15" i="24"/>
  <c r="AW15" i="24"/>
  <c r="AK15" i="24"/>
  <c r="Q15" i="24"/>
  <c r="AI15" i="24"/>
  <c r="K15" i="24"/>
  <c r="AY15" i="24"/>
  <c r="Y15" i="24"/>
  <c r="BC15" i="24"/>
  <c r="AG15" i="24"/>
  <c r="I15" i="24"/>
  <c r="BA15" i="24"/>
  <c r="AA15" i="24"/>
  <c r="W15" i="24"/>
  <c r="AY13" i="24"/>
  <c r="AI13" i="24"/>
  <c r="S13" i="24"/>
  <c r="AQ13" i="24"/>
  <c r="AY29" i="24"/>
  <c r="AI29" i="24"/>
  <c r="S29" i="24"/>
  <c r="AW29" i="24"/>
  <c r="AG29" i="24"/>
  <c r="Q29" i="24"/>
  <c r="AS29" i="24"/>
  <c r="AC29" i="24"/>
  <c r="M29" i="24"/>
  <c r="AQ29" i="24"/>
  <c r="AA29" i="24"/>
  <c r="K29" i="24"/>
  <c r="AO29" i="24"/>
  <c r="Y29" i="24"/>
  <c r="I29" i="24"/>
  <c r="M33" i="24"/>
  <c r="K13" i="24"/>
  <c r="AC13" i="24"/>
  <c r="AU13" i="24"/>
  <c r="AS16" i="24"/>
  <c r="AC16" i="24"/>
  <c r="M16" i="24"/>
  <c r="AQ16" i="24"/>
  <c r="AA16" i="24"/>
  <c r="K16" i="24"/>
  <c r="BC16" i="24"/>
  <c r="AM16" i="24"/>
  <c r="W16" i="24"/>
  <c r="BA16" i="24"/>
  <c r="AK16" i="24"/>
  <c r="U16" i="24"/>
  <c r="AI16" i="24"/>
  <c r="Q28" i="24"/>
  <c r="U29" i="24"/>
  <c r="S30" i="24"/>
  <c r="AW32" i="24"/>
  <c r="AG32" i="24"/>
  <c r="Q32" i="24"/>
  <c r="AS32" i="24"/>
  <c r="AC32" i="24"/>
  <c r="M32" i="24"/>
  <c r="AQ32" i="24"/>
  <c r="AA32" i="24"/>
  <c r="K32" i="24"/>
  <c r="BC32" i="24"/>
  <c r="AM32" i="24"/>
  <c r="W32" i="24"/>
  <c r="BA32" i="24"/>
  <c r="AK32" i="24"/>
  <c r="U32" i="24"/>
  <c r="AY32" i="24"/>
  <c r="AI32" i="24"/>
  <c r="S32" i="24"/>
  <c r="Y13" i="24"/>
  <c r="BA29" i="24"/>
  <c r="AU33" i="24"/>
  <c r="AE33" i="24"/>
  <c r="O33" i="24"/>
  <c r="AQ33" i="24"/>
  <c r="AA33" i="24"/>
  <c r="K33" i="24"/>
  <c r="AO33" i="24"/>
  <c r="Y33" i="24"/>
  <c r="I33" i="24"/>
  <c r="BA33" i="24"/>
  <c r="AK33" i="24"/>
  <c r="U33" i="24"/>
  <c r="AY33" i="24"/>
  <c r="AI33" i="24"/>
  <c r="S33" i="24"/>
  <c r="AW33" i="24"/>
  <c r="AG33" i="24"/>
  <c r="Q33" i="24"/>
  <c r="AS13" i="24"/>
  <c r="BC29" i="24"/>
  <c r="M30" i="24"/>
  <c r="U9" i="24"/>
  <c r="AK9" i="24"/>
  <c r="BA9" i="24"/>
  <c r="S10" i="24"/>
  <c r="AI10" i="24"/>
  <c r="AY10" i="24"/>
  <c r="Q11" i="24"/>
  <c r="AG11" i="24"/>
  <c r="AW11" i="24"/>
  <c r="O12" i="24"/>
  <c r="AE12" i="24"/>
  <c r="AU12" i="24"/>
  <c r="M13" i="24"/>
  <c r="AE13" i="24"/>
  <c r="AW13" i="24"/>
  <c r="S14" i="24"/>
  <c r="AK14" i="24"/>
  <c r="I16" i="24"/>
  <c r="AO16" i="24"/>
  <c r="AE17" i="24"/>
  <c r="AC18" i="24"/>
  <c r="AA19" i="24"/>
  <c r="Y20" i="24"/>
  <c r="AE21" i="24"/>
  <c r="AC22" i="24"/>
  <c r="AC25" i="24"/>
  <c r="AA26" i="24"/>
  <c r="Y27" i="24"/>
  <c r="W29" i="24"/>
  <c r="AC30" i="24"/>
  <c r="I32" i="24"/>
  <c r="AC33" i="24"/>
  <c r="BA28" i="24"/>
  <c r="AK28" i="24"/>
  <c r="U28" i="24"/>
  <c r="AY28" i="24"/>
  <c r="AI28" i="24"/>
  <c r="S28" i="24"/>
  <c r="AU28" i="24"/>
  <c r="AE28" i="24"/>
  <c r="O28" i="24"/>
  <c r="AS28" i="24"/>
  <c r="AC28" i="24"/>
  <c r="M28" i="24"/>
  <c r="AQ28" i="24"/>
  <c r="AA28" i="24"/>
  <c r="K28" i="24"/>
  <c r="BC28" i="24"/>
  <c r="O29" i="24"/>
  <c r="W9" i="24"/>
  <c r="AM9" i="24"/>
  <c r="U10" i="24"/>
  <c r="AK10" i="24"/>
  <c r="BA10" i="24"/>
  <c r="S11" i="24"/>
  <c r="AI11" i="24"/>
  <c r="AY11" i="24"/>
  <c r="Q12" i="24"/>
  <c r="AG12" i="24"/>
  <c r="AW12" i="24"/>
  <c r="O13" i="24"/>
  <c r="AG13" i="24"/>
  <c r="BA13" i="24"/>
  <c r="U14" i="24"/>
  <c r="AM14" i="24"/>
  <c r="O16" i="24"/>
  <c r="AU16" i="24"/>
  <c r="AM17" i="24"/>
  <c r="AK18" i="24"/>
  <c r="AI19" i="24"/>
  <c r="AG20" i="24"/>
  <c r="AK21" i="24"/>
  <c r="AI22" i="24"/>
  <c r="AI23" i="24"/>
  <c r="AG24" i="24"/>
  <c r="AE25" i="24"/>
  <c r="AC26" i="24"/>
  <c r="AA27" i="24"/>
  <c r="Y28" i="24"/>
  <c r="AE29" i="24"/>
  <c r="AI30" i="24"/>
  <c r="AY31" i="24"/>
  <c r="AI31" i="24"/>
  <c r="S31" i="24"/>
  <c r="AU31" i="24"/>
  <c r="AE31" i="24"/>
  <c r="O31" i="24"/>
  <c r="AS31" i="24"/>
  <c r="AC31" i="24"/>
  <c r="M31" i="24"/>
  <c r="AO31" i="24"/>
  <c r="Y31" i="24"/>
  <c r="I31" i="24"/>
  <c r="BC31" i="24"/>
  <c r="AM31" i="24"/>
  <c r="W31" i="24"/>
  <c r="BA31" i="24"/>
  <c r="AK31" i="24"/>
  <c r="U31" i="24"/>
  <c r="O32" i="24"/>
  <c r="AM33" i="24"/>
  <c r="AS34" i="24"/>
  <c r="AC34" i="24"/>
  <c r="M34" i="24"/>
  <c r="AO34" i="24"/>
  <c r="Y34" i="24"/>
  <c r="I34" i="24"/>
  <c r="BC34" i="24"/>
  <c r="AM34" i="24"/>
  <c r="W34" i="24"/>
  <c r="BA34" i="24"/>
  <c r="AK34" i="24"/>
  <c r="U34" i="24"/>
  <c r="AY34" i="24"/>
  <c r="AI34" i="24"/>
  <c r="S34" i="24"/>
  <c r="AW34" i="24"/>
  <c r="AG34" i="24"/>
  <c r="Q34" i="24"/>
  <c r="AU34" i="24"/>
  <c r="AE34" i="24"/>
  <c r="O34" i="24"/>
  <c r="I13" i="24"/>
  <c r="W10" i="24"/>
  <c r="AM10" i="24"/>
  <c r="U11" i="24"/>
  <c r="AK11" i="24"/>
  <c r="BA11" i="24"/>
  <c r="S12" i="24"/>
  <c r="AI12" i="24"/>
  <c r="AY12" i="24"/>
  <c r="Q13" i="24"/>
  <c r="AK13" i="24"/>
  <c r="BC13" i="24"/>
  <c r="W14" i="24"/>
  <c r="Q16" i="24"/>
  <c r="AW16" i="24"/>
  <c r="AM20" i="24"/>
  <c r="AM21" i="24"/>
  <c r="AK22" i="24"/>
  <c r="AM25" i="24"/>
  <c r="AK26" i="24"/>
  <c r="AI27" i="24"/>
  <c r="AG28" i="24"/>
  <c r="AK29" i="24"/>
  <c r="K31" i="24"/>
  <c r="Y32" i="24"/>
  <c r="AS33" i="24"/>
  <c r="AO36" i="24"/>
  <c r="Y36" i="24"/>
  <c r="I36" i="24"/>
  <c r="BA36" i="24"/>
  <c r="AK36" i="24"/>
  <c r="U36" i="24"/>
  <c r="AY36" i="24"/>
  <c r="AI36" i="24"/>
  <c r="S36" i="24"/>
  <c r="AW36" i="24"/>
  <c r="AG36" i="24"/>
  <c r="Q36" i="24"/>
  <c r="AU36" i="24"/>
  <c r="AE36" i="24"/>
  <c r="O36" i="24"/>
  <c r="AS36" i="24"/>
  <c r="AC36" i="24"/>
  <c r="M36" i="24"/>
  <c r="AQ36" i="24"/>
  <c r="AA36" i="24"/>
  <c r="K36" i="24"/>
  <c r="AW28" i="24"/>
  <c r="BA30" i="24"/>
  <c r="AK30" i="24"/>
  <c r="U30" i="24"/>
  <c r="AW30" i="24"/>
  <c r="AG30" i="24"/>
  <c r="Q30" i="24"/>
  <c r="AU30" i="24"/>
  <c r="AE30" i="24"/>
  <c r="O30" i="24"/>
  <c r="AQ30" i="24"/>
  <c r="AA30" i="24"/>
  <c r="K30" i="24"/>
  <c r="AO30" i="24"/>
  <c r="Y30" i="24"/>
  <c r="I30" i="24"/>
  <c r="BC30" i="24"/>
  <c r="AM30" i="24"/>
  <c r="W30" i="24"/>
  <c r="AA13" i="24"/>
  <c r="I28" i="24"/>
  <c r="W11" i="24"/>
  <c r="AM11" i="24"/>
  <c r="U12" i="24"/>
  <c r="AK12" i="24"/>
  <c r="BA12" i="24"/>
  <c r="U13" i="24"/>
  <c r="AM13" i="24"/>
  <c r="AW14" i="24"/>
  <c r="AG14" i="24"/>
  <c r="Q14" i="24"/>
  <c r="AU14" i="24"/>
  <c r="Y14" i="24"/>
  <c r="AQ14" i="24"/>
  <c r="S16" i="24"/>
  <c r="AY16" i="24"/>
  <c r="AQ17" i="24"/>
  <c r="AA17" i="24"/>
  <c r="K17" i="24"/>
  <c r="AO17" i="24"/>
  <c r="Y17" i="24"/>
  <c r="I17" i="24"/>
  <c r="BA17" i="24"/>
  <c r="AK17" i="24"/>
  <c r="U17" i="24"/>
  <c r="AY17" i="24"/>
  <c r="AI17" i="24"/>
  <c r="S17" i="24"/>
  <c r="AW17" i="24"/>
  <c r="AG17" i="24"/>
  <c r="Q17" i="24"/>
  <c r="AU17" i="24"/>
  <c r="AO18" i="24"/>
  <c r="Y18" i="24"/>
  <c r="I18" i="24"/>
  <c r="BC18" i="24"/>
  <c r="AM18" i="24"/>
  <c r="W18" i="24"/>
  <c r="AY18" i="24"/>
  <c r="AI18" i="24"/>
  <c r="S18" i="24"/>
  <c r="AW18" i="24"/>
  <c r="AG18" i="24"/>
  <c r="Q18" i="24"/>
  <c r="AU18" i="24"/>
  <c r="AE18" i="24"/>
  <c r="O18" i="24"/>
  <c r="AS18" i="24"/>
  <c r="BC19" i="24"/>
  <c r="AM19" i="24"/>
  <c r="W19" i="24"/>
  <c r="BA19" i="24"/>
  <c r="AK19" i="24"/>
  <c r="U19" i="24"/>
  <c r="AW19" i="24"/>
  <c r="AG19" i="24"/>
  <c r="Q19" i="24"/>
  <c r="AU19" i="24"/>
  <c r="AE19" i="24"/>
  <c r="O19" i="24"/>
  <c r="AS19" i="24"/>
  <c r="AC19" i="24"/>
  <c r="M19" i="24"/>
  <c r="AQ19" i="24"/>
  <c r="AU23" i="24"/>
  <c r="AE23" i="24"/>
  <c r="O23" i="24"/>
  <c r="AS23" i="24"/>
  <c r="AC23" i="24"/>
  <c r="M23" i="24"/>
  <c r="AO23" i="24"/>
  <c r="Y23" i="24"/>
  <c r="I23" i="24"/>
  <c r="BC23" i="24"/>
  <c r="AM23" i="24"/>
  <c r="W23" i="24"/>
  <c r="BA23" i="24"/>
  <c r="AK23" i="24"/>
  <c r="U23" i="24"/>
  <c r="AW23" i="24"/>
  <c r="AS24" i="24"/>
  <c r="AC24" i="24"/>
  <c r="M24" i="24"/>
  <c r="AQ24" i="24"/>
  <c r="AA24" i="24"/>
  <c r="K24" i="24"/>
  <c r="BC24" i="24"/>
  <c r="AM24" i="24"/>
  <c r="W24" i="24"/>
  <c r="BA24" i="24"/>
  <c r="AK24" i="24"/>
  <c r="U24" i="24"/>
  <c r="AY24" i="24"/>
  <c r="AI24" i="24"/>
  <c r="S24" i="24"/>
  <c r="AU24" i="24"/>
  <c r="AM28" i="24"/>
  <c r="AM29" i="24"/>
  <c r="AY30" i="24"/>
  <c r="Q31" i="24"/>
  <c r="AE32" i="24"/>
  <c r="BC33" i="24"/>
  <c r="AA34" i="24"/>
  <c r="W36" i="24"/>
  <c r="W12" i="24"/>
  <c r="AM12" i="24"/>
  <c r="W13" i="24"/>
  <c r="AO13" i="24"/>
  <c r="Y16" i="24"/>
  <c r="BA20" i="24"/>
  <c r="AK20" i="24"/>
  <c r="U20" i="24"/>
  <c r="AY20" i="24"/>
  <c r="AI20" i="24"/>
  <c r="S20" i="24"/>
  <c r="AU20" i="24"/>
  <c r="AE20" i="24"/>
  <c r="O20" i="24"/>
  <c r="AS20" i="24"/>
  <c r="AC20" i="24"/>
  <c r="M20" i="24"/>
  <c r="AQ20" i="24"/>
  <c r="AA20" i="24"/>
  <c r="K20" i="24"/>
  <c r="AW20" i="24"/>
  <c r="AY21" i="24"/>
  <c r="AI21" i="24"/>
  <c r="S21" i="24"/>
  <c r="AW21" i="24"/>
  <c r="AG21" i="24"/>
  <c r="Q21" i="24"/>
  <c r="AS21" i="24"/>
  <c r="AC21" i="24"/>
  <c r="M21" i="24"/>
  <c r="AQ21" i="24"/>
  <c r="AA21" i="24"/>
  <c r="K21" i="24"/>
  <c r="AO21" i="24"/>
  <c r="Y21" i="24"/>
  <c r="I21" i="24"/>
  <c r="BA21" i="24"/>
  <c r="AW22" i="24"/>
  <c r="AG22" i="24"/>
  <c r="Q22" i="24"/>
  <c r="AU22" i="24"/>
  <c r="AE22" i="24"/>
  <c r="O22" i="24"/>
  <c r="AQ22" i="24"/>
  <c r="AA22" i="24"/>
  <c r="K22" i="24"/>
  <c r="AO22" i="24"/>
  <c r="Y22" i="24"/>
  <c r="I22" i="24"/>
  <c r="BC22" i="24"/>
  <c r="AM22" i="24"/>
  <c r="W22" i="24"/>
  <c r="AY22" i="24"/>
  <c r="AQ25" i="24"/>
  <c r="AA25" i="24"/>
  <c r="K25" i="24"/>
  <c r="AO25" i="24"/>
  <c r="Y25" i="24"/>
  <c r="I25" i="24"/>
  <c r="BA25" i="24"/>
  <c r="AK25" i="24"/>
  <c r="U25" i="24"/>
  <c r="AY25" i="24"/>
  <c r="AI25" i="24"/>
  <c r="S25" i="24"/>
  <c r="AW25" i="24"/>
  <c r="AG25" i="24"/>
  <c r="Q25" i="24"/>
  <c r="AU25" i="24"/>
  <c r="AO26" i="24"/>
  <c r="Y26" i="24"/>
  <c r="I26" i="24"/>
  <c r="BC26" i="24"/>
  <c r="AM26" i="24"/>
  <c r="W26" i="24"/>
  <c r="AY26" i="24"/>
  <c r="AI26" i="24"/>
  <c r="S26" i="24"/>
  <c r="AW26" i="24"/>
  <c r="AG26" i="24"/>
  <c r="Q26" i="24"/>
  <c r="AU26" i="24"/>
  <c r="AE26" i="24"/>
  <c r="O26" i="24"/>
  <c r="AS26" i="24"/>
  <c r="BC27" i="24"/>
  <c r="AM27" i="24"/>
  <c r="W27" i="24"/>
  <c r="BA27" i="24"/>
  <c r="AK27" i="24"/>
  <c r="U27" i="24"/>
  <c r="AW27" i="24"/>
  <c r="AG27" i="24"/>
  <c r="Q27" i="24"/>
  <c r="AU27" i="24"/>
  <c r="AE27" i="24"/>
  <c r="O27" i="24"/>
  <c r="AS27" i="24"/>
  <c r="AC27" i="24"/>
  <c r="M27" i="24"/>
  <c r="AQ27" i="24"/>
  <c r="AO28" i="24"/>
  <c r="AU29" i="24"/>
  <c r="AA31" i="24"/>
  <c r="AO32" i="24"/>
  <c r="AM36" i="24"/>
  <c r="O35" i="24"/>
  <c r="AE35" i="24"/>
  <c r="AU35" i="24"/>
  <c r="Q35" i="24"/>
  <c r="AG35" i="24"/>
  <c r="AW35" i="24"/>
  <c r="S35" i="24"/>
  <c r="AI35" i="24"/>
  <c r="AY35" i="24"/>
  <c r="U35" i="24"/>
  <c r="AK35" i="24"/>
  <c r="BA35" i="24"/>
  <c r="W35" i="24"/>
  <c r="AM35" i="24"/>
  <c r="BC35" i="24"/>
  <c r="K35" i="24"/>
  <c r="AA35" i="24"/>
  <c r="EZ38" i="23"/>
  <c r="I30" i="23"/>
  <c r="CI38" i="23"/>
  <c r="CY38" i="23"/>
  <c r="DO38" i="23"/>
  <c r="CO38" i="23"/>
  <c r="DE38" i="23"/>
  <c r="DU38" i="23"/>
  <c r="AS27" i="22"/>
  <c r="BC27" i="22"/>
  <c r="AG20" i="22"/>
  <c r="AA28" i="22"/>
  <c r="K20" i="22"/>
  <c r="AQ28" i="22"/>
  <c r="AI20" i="22"/>
  <c r="BA20" i="22"/>
  <c r="I33" i="22"/>
  <c r="I26" i="22"/>
  <c r="AQ34" i="22"/>
  <c r="AO34" i="22"/>
  <c r="Y34" i="22"/>
  <c r="I34" i="22"/>
  <c r="BC35" i="22"/>
  <c r="AM35" i="22"/>
  <c r="W35" i="22"/>
  <c r="I21" i="22"/>
  <c r="S21" i="22"/>
  <c r="AC21" i="22"/>
  <c r="AG21" i="22"/>
  <c r="AU21" i="22"/>
  <c r="I25" i="22"/>
  <c r="M27" i="22"/>
  <c r="AY21" i="22"/>
  <c r="I17" i="22"/>
  <c r="AQ20" i="22"/>
  <c r="I14" i="23"/>
  <c r="BC19" i="23"/>
  <c r="S19" i="23"/>
  <c r="K19" i="23"/>
  <c r="AK19" i="23"/>
  <c r="AQ19" i="23"/>
  <c r="AW11" i="23"/>
  <c r="Y11" i="23"/>
  <c r="AY11" i="23"/>
  <c r="S11" i="23"/>
  <c r="AU11" i="23"/>
  <c r="O11" i="23"/>
  <c r="AQ11" i="23"/>
  <c r="K11" i="23"/>
  <c r="AA11" i="23"/>
  <c r="AO11" i="23"/>
  <c r="I11" i="23"/>
  <c r="AI11" i="23"/>
  <c r="AE11" i="23"/>
  <c r="AQ17" i="23"/>
  <c r="BC17" i="23"/>
  <c r="O17" i="23"/>
  <c r="AY17" i="23"/>
  <c r="I17" i="23"/>
  <c r="AU17" i="23"/>
  <c r="AO17" i="23"/>
  <c r="W17" i="23"/>
  <c r="AI17" i="23"/>
  <c r="AA17" i="23"/>
  <c r="Y17" i="23"/>
  <c r="BC31" i="23"/>
  <c r="AM31" i="23"/>
  <c r="M31" i="23"/>
  <c r="I20" i="23"/>
  <c r="K24" i="23"/>
  <c r="BA24" i="23"/>
  <c r="I33" i="23"/>
  <c r="AQ18" i="23"/>
  <c r="AA18" i="23"/>
  <c r="K18" i="23"/>
  <c r="AY18" i="23"/>
  <c r="AI18" i="23"/>
  <c r="S18" i="23"/>
  <c r="AU18" i="23"/>
  <c r="AE18" i="23"/>
  <c r="O18" i="23"/>
  <c r="AM18" i="23"/>
  <c r="M18" i="23"/>
  <c r="I18" i="23"/>
  <c r="AG18" i="23"/>
  <c r="BC18" i="23"/>
  <c r="AC18" i="23"/>
  <c r="BA18" i="23"/>
  <c r="Y18" i="23"/>
  <c r="AW18" i="23"/>
  <c r="W18" i="23"/>
  <c r="AK18" i="23"/>
  <c r="AS18" i="23"/>
  <c r="U18" i="23"/>
  <c r="AO18" i="23"/>
  <c r="Q18" i="23"/>
  <c r="I26" i="23"/>
  <c r="AY10" i="23"/>
  <c r="AI10" i="23"/>
  <c r="S10" i="23"/>
  <c r="AW10" i="23"/>
  <c r="AU10" i="23"/>
  <c r="AE10" i="23"/>
  <c r="O10" i="23"/>
  <c r="AS10" i="23"/>
  <c r="AC10" i="23"/>
  <c r="M10" i="23"/>
  <c r="AQ10" i="23"/>
  <c r="AA10" i="23"/>
  <c r="K10" i="23"/>
  <c r="AO10" i="23"/>
  <c r="Y10" i="23"/>
  <c r="I10" i="23"/>
  <c r="BC10" i="23"/>
  <c r="AM10" i="23"/>
  <c r="W10" i="23"/>
  <c r="BA10" i="23"/>
  <c r="AK10" i="23"/>
  <c r="U10" i="23"/>
  <c r="AG10" i="23"/>
  <c r="Q10" i="23"/>
  <c r="I8" i="23"/>
  <c r="I13" i="23"/>
  <c r="CS38" i="23"/>
  <c r="DI38" i="23"/>
  <c r="DY38" i="23"/>
  <c r="W19" i="23"/>
  <c r="AY19" i="23"/>
  <c r="I23" i="23"/>
  <c r="U24" i="23"/>
  <c r="S25" i="23"/>
  <c r="U32" i="23"/>
  <c r="CU38" i="23"/>
  <c r="DK38" i="23"/>
  <c r="DZ38" i="23"/>
  <c r="I9" i="23"/>
  <c r="U11" i="23"/>
  <c r="AK11" i="23"/>
  <c r="BA11" i="23"/>
  <c r="I15" i="23"/>
  <c r="S17" i="23"/>
  <c r="AA19" i="23"/>
  <c r="BA19" i="23"/>
  <c r="Y24" i="23"/>
  <c r="W25" i="23"/>
  <c r="AA32" i="23"/>
  <c r="CG38" i="23"/>
  <c r="CW38" i="23"/>
  <c r="DM38" i="23"/>
  <c r="EA38" i="23"/>
  <c r="W11" i="23"/>
  <c r="AM11" i="23"/>
  <c r="BC11" i="23"/>
  <c r="AE19" i="23"/>
  <c r="AA24" i="23"/>
  <c r="Y25" i="23"/>
  <c r="AW31" i="23"/>
  <c r="AG31" i="23"/>
  <c r="Q31" i="23"/>
  <c r="AU31" i="23"/>
  <c r="AE31" i="23"/>
  <c r="O31" i="23"/>
  <c r="AQ31" i="23"/>
  <c r="AA31" i="23"/>
  <c r="K31" i="23"/>
  <c r="AO31" i="23"/>
  <c r="Y31" i="23"/>
  <c r="I31" i="23"/>
  <c r="BA31" i="23"/>
  <c r="AK31" i="23"/>
  <c r="U31" i="23"/>
  <c r="AY31" i="23"/>
  <c r="AI31" i="23"/>
  <c r="S31" i="23"/>
  <c r="AK32" i="23"/>
  <c r="I34" i="23"/>
  <c r="AO19" i="23"/>
  <c r="Y19" i="23"/>
  <c r="I19" i="23"/>
  <c r="AW19" i="23"/>
  <c r="AG19" i="23"/>
  <c r="Q19" i="23"/>
  <c r="AS19" i="23"/>
  <c r="AC19" i="23"/>
  <c r="M19" i="23"/>
  <c r="AI19" i="23"/>
  <c r="AI25" i="23"/>
  <c r="I28" i="23"/>
  <c r="AQ32" i="23"/>
  <c r="I36" i="23"/>
  <c r="CK38" i="23"/>
  <c r="FY38" i="23"/>
  <c r="I12" i="23"/>
  <c r="I16" i="23"/>
  <c r="AU24" i="23"/>
  <c r="AE24" i="23"/>
  <c r="O24" i="23"/>
  <c r="AS24" i="23"/>
  <c r="AC24" i="23"/>
  <c r="BC24" i="23"/>
  <c r="AM24" i="23"/>
  <c r="W24" i="23"/>
  <c r="AY24" i="23"/>
  <c r="AI24" i="23"/>
  <c r="S24" i="23"/>
  <c r="AW24" i="23"/>
  <c r="AG24" i="23"/>
  <c r="Q24" i="23"/>
  <c r="AO24" i="23"/>
  <c r="AM25" i="23"/>
  <c r="W31" i="23"/>
  <c r="DA38" i="23"/>
  <c r="DQ38" i="23"/>
  <c r="CM38" i="23"/>
  <c r="DC38" i="23"/>
  <c r="DS38" i="23"/>
  <c r="GX38" i="23"/>
  <c r="M11" i="23"/>
  <c r="AC11" i="23"/>
  <c r="AS11" i="23"/>
  <c r="AS17" i="23"/>
  <c r="AC17" i="23"/>
  <c r="M17" i="23"/>
  <c r="BA17" i="23"/>
  <c r="AK17" i="23"/>
  <c r="U17" i="23"/>
  <c r="AW17" i="23"/>
  <c r="AG17" i="23"/>
  <c r="Q17" i="23"/>
  <c r="AE17" i="23"/>
  <c r="O19" i="23"/>
  <c r="AM19" i="23"/>
  <c r="I22" i="23"/>
  <c r="I24" i="23"/>
  <c r="AQ24" i="23"/>
  <c r="AC31" i="23"/>
  <c r="AU32" i="23"/>
  <c r="AE32" i="23"/>
  <c r="O32" i="23"/>
  <c r="AS32" i="23"/>
  <c r="AC32" i="23"/>
  <c r="M32" i="23"/>
  <c r="AO32" i="23"/>
  <c r="Y32" i="23"/>
  <c r="I32" i="23"/>
  <c r="BC32" i="23"/>
  <c r="AM32" i="23"/>
  <c r="W32" i="23"/>
  <c r="AY32" i="23"/>
  <c r="AI32" i="23"/>
  <c r="S32" i="23"/>
  <c r="AW32" i="23"/>
  <c r="AG32" i="23"/>
  <c r="Q32" i="23"/>
  <c r="I35" i="23"/>
  <c r="AS25" i="23"/>
  <c r="AC25" i="23"/>
  <c r="M25" i="23"/>
  <c r="AQ25" i="23"/>
  <c r="AA25" i="23"/>
  <c r="K25" i="23"/>
  <c r="BA25" i="23"/>
  <c r="AK25" i="23"/>
  <c r="U25" i="23"/>
  <c r="AW25" i="23"/>
  <c r="AG25" i="23"/>
  <c r="Q25" i="23"/>
  <c r="AU25" i="23"/>
  <c r="AE25" i="23"/>
  <c r="O25" i="23"/>
  <c r="AY25" i="23"/>
  <c r="I27" i="23"/>
  <c r="I7" i="23"/>
  <c r="CQ38" i="23"/>
  <c r="DG38" i="23"/>
  <c r="DW38" i="23"/>
  <c r="Q11" i="23"/>
  <c r="AG11" i="23"/>
  <c r="K17" i="23"/>
  <c r="AM17" i="23"/>
  <c r="U19" i="23"/>
  <c r="AU19" i="23"/>
  <c r="M24" i="23"/>
  <c r="I25" i="23"/>
  <c r="BC25" i="23"/>
  <c r="AS31" i="23"/>
  <c r="K32" i="23"/>
  <c r="I21" i="23"/>
  <c r="I29" i="23"/>
  <c r="Q13" i="22"/>
  <c r="I16" i="22"/>
  <c r="M21" i="22"/>
  <c r="AI21" i="22"/>
  <c r="I29" i="22"/>
  <c r="I32" i="22"/>
  <c r="S13" i="22"/>
  <c r="O21" i="22"/>
  <c r="AO21" i="22"/>
  <c r="AI13" i="22"/>
  <c r="U20" i="22"/>
  <c r="Q21" i="22"/>
  <c r="AS21" i="22"/>
  <c r="I24" i="22"/>
  <c r="AM13" i="22"/>
  <c r="BC13" i="22"/>
  <c r="Y14" i="22"/>
  <c r="Y21" i="22"/>
  <c r="AW21" i="22"/>
  <c r="AS14" i="22"/>
  <c r="AM27" i="22"/>
  <c r="AE21" i="22"/>
  <c r="I9" i="22"/>
  <c r="I18" i="22"/>
  <c r="I11" i="22"/>
  <c r="BA7" i="22"/>
  <c r="AK7" i="22"/>
  <c r="U7" i="22"/>
  <c r="AY7" i="22"/>
  <c r="AU7" i="22"/>
  <c r="AW7" i="22"/>
  <c r="AG7" i="22"/>
  <c r="Q7" i="22"/>
  <c r="AQ7" i="22"/>
  <c r="AA7" i="22"/>
  <c r="K7" i="22"/>
  <c r="S7" i="22"/>
  <c r="AE7" i="22"/>
  <c r="O7" i="22"/>
  <c r="AS7" i="22"/>
  <c r="AO7" i="22"/>
  <c r="Y7" i="22"/>
  <c r="I7" i="22"/>
  <c r="M7" i="22"/>
  <c r="BC7" i="22"/>
  <c r="AM7" i="22"/>
  <c r="W7" i="22"/>
  <c r="AI7" i="22"/>
  <c r="AC7" i="22"/>
  <c r="I19" i="22"/>
  <c r="AE14" i="22"/>
  <c r="K13" i="22"/>
  <c r="AC13" i="22"/>
  <c r="AU13" i="22"/>
  <c r="O14" i="22"/>
  <c r="AM14" i="22"/>
  <c r="S20" i="22"/>
  <c r="AY20" i="22"/>
  <c r="AC27" i="22"/>
  <c r="I10" i="22"/>
  <c r="M13" i="22"/>
  <c r="AE13" i="22"/>
  <c r="AW13" i="22"/>
  <c r="Q14" i="22"/>
  <c r="AO14" i="22"/>
  <c r="I22" i="22"/>
  <c r="I23" i="22"/>
  <c r="BC28" i="22"/>
  <c r="AM28" i="22"/>
  <c r="W28" i="22"/>
  <c r="AY28" i="22"/>
  <c r="AI28" i="22"/>
  <c r="S28" i="22"/>
  <c r="AW28" i="22"/>
  <c r="AG28" i="22"/>
  <c r="Q28" i="22"/>
  <c r="AU28" i="22"/>
  <c r="AE28" i="22"/>
  <c r="O28" i="22"/>
  <c r="AS28" i="22"/>
  <c r="AC28" i="22"/>
  <c r="M28" i="22"/>
  <c r="AO28" i="22"/>
  <c r="Y28" i="22"/>
  <c r="I28" i="22"/>
  <c r="I36" i="22"/>
  <c r="EA7" i="22"/>
  <c r="Y13" i="22"/>
  <c r="K14" i="22"/>
  <c r="I8" i="22"/>
  <c r="O13" i="22"/>
  <c r="AG13" i="22"/>
  <c r="AY13" i="22"/>
  <c r="W14" i="22"/>
  <c r="K28" i="22"/>
  <c r="I31" i="22"/>
  <c r="AY14" i="22"/>
  <c r="AI14" i="22"/>
  <c r="S14" i="22"/>
  <c r="BA14" i="22"/>
  <c r="AK14" i="22"/>
  <c r="U14" i="22"/>
  <c r="AU14" i="22"/>
  <c r="W13" i="22"/>
  <c r="I14" i="22"/>
  <c r="AC14" i="22"/>
  <c r="AW14" i="22"/>
  <c r="BC20" i="22"/>
  <c r="AM20" i="22"/>
  <c r="W20" i="22"/>
  <c r="AU20" i="22"/>
  <c r="AE20" i="22"/>
  <c r="O20" i="22"/>
  <c r="AS20" i="22"/>
  <c r="AC20" i="22"/>
  <c r="M20" i="22"/>
  <c r="AO20" i="22"/>
  <c r="Y20" i="22"/>
  <c r="I20" i="22"/>
  <c r="AK20" i="22"/>
  <c r="AO27" i="22"/>
  <c r="Y27" i="22"/>
  <c r="I27" i="22"/>
  <c r="BA27" i="22"/>
  <c r="AK27" i="22"/>
  <c r="U27" i="22"/>
  <c r="AY27" i="22"/>
  <c r="AI27" i="22"/>
  <c r="S27" i="22"/>
  <c r="AW27" i="22"/>
  <c r="AG27" i="22"/>
  <c r="Q27" i="22"/>
  <c r="AU27" i="22"/>
  <c r="AE27" i="22"/>
  <c r="O27" i="22"/>
  <c r="AQ27" i="22"/>
  <c r="AA27" i="22"/>
  <c r="K27" i="22"/>
  <c r="AK28" i="22"/>
  <c r="AA14" i="22"/>
  <c r="BA13" i="22"/>
  <c r="AK13" i="22"/>
  <c r="U13" i="22"/>
  <c r="AQ13" i="22"/>
  <c r="BC14" i="22"/>
  <c r="I13" i="22"/>
  <c r="AA13" i="22"/>
  <c r="AS13" i="22"/>
  <c r="M14" i="22"/>
  <c r="AG14" i="22"/>
  <c r="I15" i="22"/>
  <c r="Q20" i="22"/>
  <c r="AW20" i="22"/>
  <c r="W27" i="22"/>
  <c r="BA28" i="22"/>
  <c r="I30" i="22"/>
  <c r="AO35" i="22"/>
  <c r="Y35" i="22"/>
  <c r="I35" i="22"/>
  <c r="BA35" i="22"/>
  <c r="AK35" i="22"/>
  <c r="U35" i="22"/>
  <c r="AY35" i="22"/>
  <c r="AI35" i="22"/>
  <c r="S35" i="22"/>
  <c r="AW35" i="22"/>
  <c r="AG35" i="22"/>
  <c r="Q35" i="22"/>
  <c r="AU35" i="22"/>
  <c r="AE35" i="22"/>
  <c r="O35" i="22"/>
  <c r="AS35" i="22"/>
  <c r="AC35" i="22"/>
  <c r="M35" i="22"/>
  <c r="AQ35" i="22"/>
  <c r="AA35" i="22"/>
  <c r="K35" i="22"/>
  <c r="W21" i="22"/>
  <c r="AM21" i="22"/>
  <c r="BC21" i="22"/>
  <c r="M34" i="22"/>
  <c r="AC34" i="22"/>
  <c r="AS34" i="22"/>
  <c r="O34" i="22"/>
  <c r="AE34" i="22"/>
  <c r="AU34" i="22"/>
  <c r="K21" i="22"/>
  <c r="AA21" i="22"/>
  <c r="AQ21" i="22"/>
  <c r="Q34" i="22"/>
  <c r="AG34" i="22"/>
  <c r="AW34" i="22"/>
  <c r="S34" i="22"/>
  <c r="AI34" i="22"/>
  <c r="AY34" i="22"/>
  <c r="U34" i="22"/>
  <c r="AK34" i="22"/>
  <c r="BA34" i="22"/>
  <c r="W34" i="22"/>
  <c r="AM34" i="22"/>
  <c r="BC34" i="22"/>
  <c r="U21" i="22"/>
  <c r="AK21" i="22"/>
  <c r="K34" i="22"/>
  <c r="AA34" i="22"/>
  <c r="E34" i="1"/>
  <c r="H34" i="1"/>
  <c r="K34" i="1"/>
  <c r="H38" i="21"/>
  <c r="C38" i="21"/>
  <c r="E38" i="21" s="1"/>
  <c r="BD37" i="21"/>
  <c r="GX36" i="21"/>
  <c r="FY36" i="21"/>
  <c r="EZ36" i="21"/>
  <c r="DZ36" i="21"/>
  <c r="EA36" i="21" s="1"/>
  <c r="DY36" i="21"/>
  <c r="DW36" i="21"/>
  <c r="DU36" i="21"/>
  <c r="DS36" i="21"/>
  <c r="DQ36" i="21"/>
  <c r="DO36" i="21"/>
  <c r="DM36" i="21"/>
  <c r="DK36" i="21"/>
  <c r="DI36" i="21"/>
  <c r="DG36" i="21"/>
  <c r="DE36" i="21"/>
  <c r="DC36" i="21"/>
  <c r="DA36" i="21"/>
  <c r="CY36" i="21"/>
  <c r="CW36" i="21"/>
  <c r="CU36" i="21"/>
  <c r="CS36" i="21"/>
  <c r="CQ36" i="21"/>
  <c r="CO36" i="21"/>
  <c r="CM36" i="21"/>
  <c r="CK36" i="21"/>
  <c r="CI36" i="21"/>
  <c r="CG36" i="21"/>
  <c r="CE36" i="21"/>
  <c r="BD36" i="21"/>
  <c r="E36" i="21"/>
  <c r="AC36" i="21" s="1"/>
  <c r="GX35" i="21"/>
  <c r="FY35" i="21"/>
  <c r="EZ35" i="21"/>
  <c r="DZ35" i="21"/>
  <c r="EA35" i="21" s="1"/>
  <c r="DY35" i="21"/>
  <c r="DW35" i="21"/>
  <c r="DU35" i="21"/>
  <c r="DS35" i="21"/>
  <c r="DQ35" i="21"/>
  <c r="DO35" i="21"/>
  <c r="DM35" i="21"/>
  <c r="DK35" i="21"/>
  <c r="DI35" i="21"/>
  <c r="DG35" i="21"/>
  <c r="DE35" i="21"/>
  <c r="DC35" i="21"/>
  <c r="DA35" i="21"/>
  <c r="CY35" i="21"/>
  <c r="CW35" i="21"/>
  <c r="CU35" i="21"/>
  <c r="CS35" i="21"/>
  <c r="CQ35" i="21"/>
  <c r="CO35" i="21"/>
  <c r="CM35" i="21"/>
  <c r="CK35" i="21"/>
  <c r="CI35" i="21"/>
  <c r="CG35" i="21"/>
  <c r="CE35" i="21"/>
  <c r="BD35" i="21"/>
  <c r="E35" i="21"/>
  <c r="GX34" i="21"/>
  <c r="FY34" i="21"/>
  <c r="EZ34" i="21"/>
  <c r="DZ34" i="21"/>
  <c r="EA34" i="21" s="1"/>
  <c r="DY34" i="21"/>
  <c r="DW34" i="21"/>
  <c r="DU34" i="21"/>
  <c r="DS34" i="21"/>
  <c r="DQ34" i="21"/>
  <c r="DO34" i="21"/>
  <c r="DM34" i="21"/>
  <c r="DK34" i="21"/>
  <c r="DI34" i="21"/>
  <c r="DG34" i="21"/>
  <c r="DE34" i="21"/>
  <c r="DC34" i="21"/>
  <c r="DA34" i="21"/>
  <c r="CY34" i="21"/>
  <c r="CW34" i="21"/>
  <c r="CU34" i="21"/>
  <c r="CS34" i="21"/>
  <c r="CQ34" i="21"/>
  <c r="CO34" i="21"/>
  <c r="CM34" i="21"/>
  <c r="CK34" i="21"/>
  <c r="CI34" i="21"/>
  <c r="CG34" i="21"/>
  <c r="CE34" i="21"/>
  <c r="BD34" i="21"/>
  <c r="E34" i="21"/>
  <c r="GX33" i="21"/>
  <c r="FY33" i="21"/>
  <c r="EZ33" i="21"/>
  <c r="DZ33" i="21"/>
  <c r="EA33" i="21" s="1"/>
  <c r="DY33" i="21"/>
  <c r="DW33" i="21"/>
  <c r="DU33" i="21"/>
  <c r="DS33" i="21"/>
  <c r="DQ33" i="21"/>
  <c r="DO33" i="21"/>
  <c r="DM33" i="21"/>
  <c r="DK33" i="21"/>
  <c r="DI33" i="21"/>
  <c r="DG33" i="21"/>
  <c r="DE33" i="21"/>
  <c r="DC33" i="21"/>
  <c r="DA33" i="21"/>
  <c r="CY33" i="21"/>
  <c r="CW33" i="21"/>
  <c r="CU33" i="21"/>
  <c r="CS33" i="21"/>
  <c r="CQ33" i="21"/>
  <c r="CO33" i="21"/>
  <c r="CM33" i="21"/>
  <c r="CK33" i="21"/>
  <c r="CI33" i="21"/>
  <c r="CG33" i="21"/>
  <c r="CE33" i="21"/>
  <c r="BD33" i="21"/>
  <c r="E33" i="21"/>
  <c r="GX32" i="21"/>
  <c r="FY32" i="21"/>
  <c r="EZ32" i="21"/>
  <c r="DZ32" i="21"/>
  <c r="EA32" i="21" s="1"/>
  <c r="DY32" i="21"/>
  <c r="DW32" i="21"/>
  <c r="DU32" i="21"/>
  <c r="DS32" i="21"/>
  <c r="DQ32" i="21"/>
  <c r="DO32" i="21"/>
  <c r="DM32" i="21"/>
  <c r="DK32" i="21"/>
  <c r="DI32" i="21"/>
  <c r="DG32" i="21"/>
  <c r="DE32" i="21"/>
  <c r="DC32" i="21"/>
  <c r="DA32" i="21"/>
  <c r="CY32" i="21"/>
  <c r="CW32" i="21"/>
  <c r="CU32" i="21"/>
  <c r="CS32" i="21"/>
  <c r="CQ32" i="21"/>
  <c r="CO32" i="21"/>
  <c r="CM32" i="21"/>
  <c r="CK32" i="21"/>
  <c r="CI32" i="21"/>
  <c r="CG32" i="21"/>
  <c r="CE32" i="21"/>
  <c r="BD32" i="21"/>
  <c r="E32" i="21"/>
  <c r="GX31" i="21"/>
  <c r="FY31" i="21"/>
  <c r="EZ31" i="21"/>
  <c r="DZ31" i="21"/>
  <c r="EA31" i="21" s="1"/>
  <c r="DY31" i="21"/>
  <c r="DW31" i="21"/>
  <c r="DU31" i="21"/>
  <c r="DS31" i="21"/>
  <c r="DQ31" i="21"/>
  <c r="DO31" i="21"/>
  <c r="DM31" i="21"/>
  <c r="DK31" i="21"/>
  <c r="DI31" i="21"/>
  <c r="DG31" i="21"/>
  <c r="DE31" i="21"/>
  <c r="DC31" i="21"/>
  <c r="DA31" i="21"/>
  <c r="CY31" i="21"/>
  <c r="CW31" i="21"/>
  <c r="CU31" i="21"/>
  <c r="CS31" i="21"/>
  <c r="CQ31" i="21"/>
  <c r="CO31" i="21"/>
  <c r="CM31" i="21"/>
  <c r="CK31" i="21"/>
  <c r="CI31" i="21"/>
  <c r="CG31" i="21"/>
  <c r="CE31" i="21"/>
  <c r="BD31" i="21"/>
  <c r="E31" i="21"/>
  <c r="GX30" i="21"/>
  <c r="FY30" i="21"/>
  <c r="EZ30" i="21"/>
  <c r="DZ30" i="21"/>
  <c r="EA30" i="21" s="1"/>
  <c r="DY30" i="21"/>
  <c r="DW30" i="21"/>
  <c r="DU30" i="21"/>
  <c r="DS30" i="21"/>
  <c r="DQ30" i="21"/>
  <c r="DO30" i="21"/>
  <c r="DM30" i="21"/>
  <c r="DK30" i="21"/>
  <c r="DI30" i="21"/>
  <c r="DG30" i="21"/>
  <c r="DE30" i="21"/>
  <c r="DC30" i="21"/>
  <c r="DA30" i="21"/>
  <c r="CY30" i="21"/>
  <c r="CW30" i="21"/>
  <c r="CU30" i="21"/>
  <c r="CS30" i="21"/>
  <c r="CQ30" i="21"/>
  <c r="CO30" i="21"/>
  <c r="CM30" i="21"/>
  <c r="CK30" i="21"/>
  <c r="CI30" i="21"/>
  <c r="CG30" i="21"/>
  <c r="CE30" i="21"/>
  <c r="BD30" i="21"/>
  <c r="E30" i="21"/>
  <c r="AA30" i="21" s="1"/>
  <c r="GX29" i="21"/>
  <c r="FY29" i="21"/>
  <c r="EZ29" i="21"/>
  <c r="DZ29" i="21"/>
  <c r="EA29" i="21" s="1"/>
  <c r="DY29" i="21"/>
  <c r="DW29" i="21"/>
  <c r="DU29" i="21"/>
  <c r="DS29" i="21"/>
  <c r="DQ29" i="21"/>
  <c r="DO29" i="21"/>
  <c r="DM29" i="21"/>
  <c r="DK29" i="21"/>
  <c r="DI29" i="21"/>
  <c r="DG29" i="21"/>
  <c r="DE29" i="21"/>
  <c r="DC29" i="21"/>
  <c r="DA29" i="21"/>
  <c r="CY29" i="21"/>
  <c r="CW29" i="21"/>
  <c r="CU29" i="21"/>
  <c r="CS29" i="21"/>
  <c r="CQ29" i="21"/>
  <c r="CO29" i="21"/>
  <c r="CM29" i="21"/>
  <c r="CK29" i="21"/>
  <c r="CI29" i="21"/>
  <c r="CG29" i="21"/>
  <c r="CE29" i="21"/>
  <c r="BD29" i="21"/>
  <c r="E29" i="21"/>
  <c r="BC29" i="21" s="1"/>
  <c r="GX28" i="21"/>
  <c r="FY28" i="21"/>
  <c r="EZ28" i="21"/>
  <c r="DZ28" i="21"/>
  <c r="EA28" i="21" s="1"/>
  <c r="DY28" i="21"/>
  <c r="DW28" i="21"/>
  <c r="DU28" i="21"/>
  <c r="DS28" i="21"/>
  <c r="DQ28" i="21"/>
  <c r="DO28" i="21"/>
  <c r="DM28" i="21"/>
  <c r="DK28" i="21"/>
  <c r="DI28" i="21"/>
  <c r="DG28" i="21"/>
  <c r="DE28" i="21"/>
  <c r="DC28" i="21"/>
  <c r="DA28" i="21"/>
  <c r="CY28" i="21"/>
  <c r="CW28" i="21"/>
  <c r="CU28" i="21"/>
  <c r="CS28" i="21"/>
  <c r="CQ28" i="21"/>
  <c r="CO28" i="21"/>
  <c r="CM28" i="21"/>
  <c r="CK28" i="21"/>
  <c r="CI28" i="21"/>
  <c r="CG28" i="21"/>
  <c r="CE28" i="21"/>
  <c r="BD28" i="21"/>
  <c r="E28" i="21"/>
  <c r="GX27" i="21"/>
  <c r="FY27" i="21"/>
  <c r="EZ27" i="21"/>
  <c r="DZ27" i="21"/>
  <c r="EA27" i="21" s="1"/>
  <c r="DY27" i="21"/>
  <c r="DW27" i="21"/>
  <c r="DU27" i="21"/>
  <c r="DS27" i="21"/>
  <c r="DQ27" i="21"/>
  <c r="DO27" i="21"/>
  <c r="DM27" i="21"/>
  <c r="DK27" i="21"/>
  <c r="DI27" i="21"/>
  <c r="DG27" i="21"/>
  <c r="DE27" i="21"/>
  <c r="DC27" i="21"/>
  <c r="DA27" i="21"/>
  <c r="CY27" i="21"/>
  <c r="CW27" i="21"/>
  <c r="CU27" i="21"/>
  <c r="CS27" i="21"/>
  <c r="CQ27" i="21"/>
  <c r="CO27" i="21"/>
  <c r="CM27" i="21"/>
  <c r="CK27" i="21"/>
  <c r="CI27" i="21"/>
  <c r="CG27" i="21"/>
  <c r="CE27" i="21"/>
  <c r="BD27" i="21"/>
  <c r="E27" i="21"/>
  <c r="GX26" i="21"/>
  <c r="FY26" i="21"/>
  <c r="EZ26" i="21"/>
  <c r="DZ26" i="21"/>
  <c r="EA26" i="21" s="1"/>
  <c r="DY26" i="21"/>
  <c r="DW26" i="21"/>
  <c r="DU26" i="21"/>
  <c r="DS26" i="21"/>
  <c r="DQ26" i="21"/>
  <c r="DO26" i="21"/>
  <c r="DM26" i="21"/>
  <c r="DK26" i="21"/>
  <c r="DI26" i="21"/>
  <c r="DG26" i="21"/>
  <c r="DE26" i="21"/>
  <c r="DC26" i="21"/>
  <c r="DA26" i="21"/>
  <c r="CY26" i="21"/>
  <c r="CW26" i="21"/>
  <c r="CU26" i="21"/>
  <c r="CS26" i="21"/>
  <c r="CQ26" i="21"/>
  <c r="CO26" i="21"/>
  <c r="CM26" i="21"/>
  <c r="CK26" i="21"/>
  <c r="CI26" i="21"/>
  <c r="CG26" i="21"/>
  <c r="CE26" i="21"/>
  <c r="BD26" i="21"/>
  <c r="E26" i="21"/>
  <c r="GX25" i="21"/>
  <c r="FY25" i="21"/>
  <c r="EZ25" i="21"/>
  <c r="DZ25" i="21"/>
  <c r="EA25" i="21" s="1"/>
  <c r="DY25" i="21"/>
  <c r="DW25" i="21"/>
  <c r="DU25" i="21"/>
  <c r="DS25" i="21"/>
  <c r="DQ25" i="21"/>
  <c r="DO25" i="21"/>
  <c r="DM25" i="21"/>
  <c r="DK25" i="21"/>
  <c r="DI25" i="21"/>
  <c r="DG25" i="21"/>
  <c r="DE25" i="21"/>
  <c r="DC25" i="21"/>
  <c r="DA25" i="21"/>
  <c r="CY25" i="21"/>
  <c r="CW25" i="21"/>
  <c r="CU25" i="21"/>
  <c r="CS25" i="21"/>
  <c r="CQ25" i="21"/>
  <c r="CO25" i="21"/>
  <c r="CM25" i="21"/>
  <c r="CK25" i="21"/>
  <c r="CI25" i="21"/>
  <c r="CG25" i="21"/>
  <c r="CE25" i="21"/>
  <c r="BD25" i="21"/>
  <c r="E25" i="21"/>
  <c r="GX24" i="21"/>
  <c r="FY24" i="21"/>
  <c r="EZ24" i="21"/>
  <c r="DZ24" i="21"/>
  <c r="EA24" i="21" s="1"/>
  <c r="DY24" i="21"/>
  <c r="DW24" i="21"/>
  <c r="DU24" i="21"/>
  <c r="DS24" i="21"/>
  <c r="DQ24" i="21"/>
  <c r="DO24" i="21"/>
  <c r="DM24" i="21"/>
  <c r="DK24" i="21"/>
  <c r="DI24" i="21"/>
  <c r="DG24" i="21"/>
  <c r="DE24" i="21"/>
  <c r="DC24" i="21"/>
  <c r="DA24" i="21"/>
  <c r="CY24" i="21"/>
  <c r="CW24" i="21"/>
  <c r="CU24" i="21"/>
  <c r="CS24" i="21"/>
  <c r="CQ24" i="21"/>
  <c r="CO24" i="21"/>
  <c r="CM24" i="21"/>
  <c r="CK24" i="21"/>
  <c r="CI24" i="21"/>
  <c r="CG24" i="21"/>
  <c r="CE24" i="21"/>
  <c r="BD24" i="21"/>
  <c r="E24" i="21"/>
  <c r="GX23" i="21"/>
  <c r="FY23" i="21"/>
  <c r="EZ23" i="21"/>
  <c r="DZ23" i="21"/>
  <c r="EA23" i="21" s="1"/>
  <c r="DY23" i="21"/>
  <c r="DW23" i="21"/>
  <c r="DU23" i="21"/>
  <c r="DS23" i="21"/>
  <c r="DQ23" i="21"/>
  <c r="DO23" i="21"/>
  <c r="DM23" i="21"/>
  <c r="DK23" i="21"/>
  <c r="DI23" i="21"/>
  <c r="DG23" i="21"/>
  <c r="DE23" i="21"/>
  <c r="DC23" i="21"/>
  <c r="DA23" i="21"/>
  <c r="CY23" i="21"/>
  <c r="CW23" i="21"/>
  <c r="CU23" i="21"/>
  <c r="CS23" i="21"/>
  <c r="CQ23" i="21"/>
  <c r="CO23" i="21"/>
  <c r="CM23" i="21"/>
  <c r="CK23" i="21"/>
  <c r="CI23" i="21"/>
  <c r="CG23" i="21"/>
  <c r="CE23" i="21"/>
  <c r="BD23" i="21"/>
  <c r="E23" i="21"/>
  <c r="AK23" i="21" s="1"/>
  <c r="GX22" i="21"/>
  <c r="FY22" i="21"/>
  <c r="EZ22" i="21"/>
  <c r="DZ22" i="21"/>
  <c r="EA22" i="21" s="1"/>
  <c r="DY22" i="21"/>
  <c r="DW22" i="21"/>
  <c r="DU22" i="21"/>
  <c r="DS22" i="21"/>
  <c r="DQ22" i="21"/>
  <c r="DO22" i="21"/>
  <c r="DM22" i="21"/>
  <c r="DK22" i="21"/>
  <c r="DI22" i="21"/>
  <c r="DG22" i="21"/>
  <c r="DE22" i="21"/>
  <c r="DC22" i="21"/>
  <c r="DA22" i="21"/>
  <c r="CY22" i="21"/>
  <c r="CW22" i="21"/>
  <c r="CU22" i="21"/>
  <c r="CS22" i="21"/>
  <c r="CQ22" i="21"/>
  <c r="CO22" i="21"/>
  <c r="CM22" i="21"/>
  <c r="CK22" i="21"/>
  <c r="CI22" i="21"/>
  <c r="CG22" i="21"/>
  <c r="CE22" i="21"/>
  <c r="BD22" i="21"/>
  <c r="E22" i="21"/>
  <c r="GX21" i="21"/>
  <c r="FY21" i="21"/>
  <c r="EZ21" i="21"/>
  <c r="DZ21" i="21"/>
  <c r="EA21" i="21" s="1"/>
  <c r="DY21" i="21"/>
  <c r="DW21" i="21"/>
  <c r="DU21" i="21"/>
  <c r="DS21" i="21"/>
  <c r="DQ21" i="21"/>
  <c r="DO21" i="21"/>
  <c r="DM21" i="21"/>
  <c r="DK21" i="21"/>
  <c r="DI21" i="21"/>
  <c r="DG21" i="21"/>
  <c r="DE21" i="21"/>
  <c r="DC21" i="21"/>
  <c r="DA21" i="21"/>
  <c r="CY21" i="21"/>
  <c r="CW21" i="21"/>
  <c r="CU21" i="21"/>
  <c r="CS21" i="21"/>
  <c r="CQ21" i="21"/>
  <c r="CO21" i="21"/>
  <c r="CM21" i="21"/>
  <c r="CK21" i="21"/>
  <c r="CI21" i="21"/>
  <c r="CG21" i="21"/>
  <c r="CE21" i="21"/>
  <c r="BD21" i="21"/>
  <c r="E21" i="21"/>
  <c r="GX20" i="21"/>
  <c r="FY20" i="21"/>
  <c r="EZ20" i="21"/>
  <c r="DZ20" i="21"/>
  <c r="EA20" i="21" s="1"/>
  <c r="DY20" i="21"/>
  <c r="DW20" i="21"/>
  <c r="DU20" i="21"/>
  <c r="DS20" i="21"/>
  <c r="DQ20" i="21"/>
  <c r="DO20" i="21"/>
  <c r="DM20" i="21"/>
  <c r="DK20" i="21"/>
  <c r="DI20" i="21"/>
  <c r="DG20" i="21"/>
  <c r="DE20" i="21"/>
  <c r="DC20" i="21"/>
  <c r="DA20" i="21"/>
  <c r="CY20" i="21"/>
  <c r="CW20" i="21"/>
  <c r="CU20" i="21"/>
  <c r="CS20" i="21"/>
  <c r="CQ20" i="21"/>
  <c r="CO20" i="21"/>
  <c r="CM20" i="21"/>
  <c r="CK20" i="21"/>
  <c r="CI20" i="21"/>
  <c r="CG20" i="21"/>
  <c r="CE20" i="21"/>
  <c r="BD20" i="21"/>
  <c r="E20" i="21"/>
  <c r="GX19" i="21"/>
  <c r="FY19" i="21"/>
  <c r="EZ19" i="21"/>
  <c r="DZ19" i="21"/>
  <c r="EA19" i="21" s="1"/>
  <c r="DY19" i="21"/>
  <c r="DW19" i="21"/>
  <c r="DU19" i="21"/>
  <c r="DS19" i="21"/>
  <c r="DQ19" i="21"/>
  <c r="DO19" i="21"/>
  <c r="DM19" i="21"/>
  <c r="DK19" i="21"/>
  <c r="DI19" i="21"/>
  <c r="DG19" i="21"/>
  <c r="DE19" i="21"/>
  <c r="DC19" i="21"/>
  <c r="DA19" i="21"/>
  <c r="CY19" i="21"/>
  <c r="CW19" i="21"/>
  <c r="CU19" i="21"/>
  <c r="CS19" i="21"/>
  <c r="CQ19" i="21"/>
  <c r="CO19" i="21"/>
  <c r="CM19" i="21"/>
  <c r="CK19" i="21"/>
  <c r="CI19" i="21"/>
  <c r="CG19" i="21"/>
  <c r="CE19" i="21"/>
  <c r="BD19" i="21"/>
  <c r="E19" i="21"/>
  <c r="GX18" i="21"/>
  <c r="FY18" i="21"/>
  <c r="EZ18" i="21"/>
  <c r="DZ18" i="21"/>
  <c r="EA18" i="21" s="1"/>
  <c r="DY18" i="21"/>
  <c r="DW18" i="21"/>
  <c r="DU18" i="21"/>
  <c r="DS18" i="21"/>
  <c r="DQ18" i="21"/>
  <c r="DO18" i="21"/>
  <c r="DM18" i="21"/>
  <c r="DK18" i="21"/>
  <c r="DI18" i="21"/>
  <c r="DG18" i="21"/>
  <c r="DE18" i="21"/>
  <c r="DC18" i="21"/>
  <c r="DA18" i="21"/>
  <c r="CY18" i="21"/>
  <c r="CW18" i="21"/>
  <c r="CU18" i="21"/>
  <c r="CS18" i="21"/>
  <c r="CQ18" i="21"/>
  <c r="CO18" i="21"/>
  <c r="CM18" i="21"/>
  <c r="CK18" i="21"/>
  <c r="CI18" i="21"/>
  <c r="CG18" i="21"/>
  <c r="CE18" i="21"/>
  <c r="BD18" i="21"/>
  <c r="E18" i="21"/>
  <c r="GX17" i="21"/>
  <c r="FY17" i="21"/>
  <c r="EZ17" i="21"/>
  <c r="DZ17" i="21"/>
  <c r="EA17" i="21" s="1"/>
  <c r="DY17" i="21"/>
  <c r="DW17" i="21"/>
  <c r="DU17" i="21"/>
  <c r="DS17" i="21"/>
  <c r="DQ17" i="21"/>
  <c r="DO17" i="21"/>
  <c r="DM17" i="21"/>
  <c r="DK17" i="21"/>
  <c r="DI17" i="21"/>
  <c r="DG17" i="21"/>
  <c r="DE17" i="21"/>
  <c r="DC17" i="21"/>
  <c r="DA17" i="21"/>
  <c r="CY17" i="21"/>
  <c r="CW17" i="21"/>
  <c r="CU17" i="21"/>
  <c r="CS17" i="21"/>
  <c r="CQ17" i="21"/>
  <c r="CO17" i="21"/>
  <c r="CM17" i="21"/>
  <c r="CK17" i="21"/>
  <c r="CI17" i="21"/>
  <c r="CG17" i="21"/>
  <c r="CE17" i="21"/>
  <c r="BD17" i="21"/>
  <c r="E17" i="21"/>
  <c r="GX16" i="21"/>
  <c r="FY16" i="21"/>
  <c r="EZ16" i="21"/>
  <c r="DZ16" i="21"/>
  <c r="EA16" i="21" s="1"/>
  <c r="DY16" i="21"/>
  <c r="DW16" i="21"/>
  <c r="DU16" i="21"/>
  <c r="DS16" i="21"/>
  <c r="DQ16" i="21"/>
  <c r="DO16" i="21"/>
  <c r="DM16" i="21"/>
  <c r="DK16" i="21"/>
  <c r="DI16" i="21"/>
  <c r="DG16" i="21"/>
  <c r="DE16" i="21"/>
  <c r="DC16" i="21"/>
  <c r="DA16" i="21"/>
  <c r="CY16" i="21"/>
  <c r="CW16" i="21"/>
  <c r="CU16" i="21"/>
  <c r="CS16" i="21"/>
  <c r="CQ16" i="21"/>
  <c r="CO16" i="21"/>
  <c r="CM16" i="21"/>
  <c r="CK16" i="21"/>
  <c r="CI16" i="21"/>
  <c r="CG16" i="21"/>
  <c r="CE16" i="21"/>
  <c r="BD16" i="21"/>
  <c r="E16" i="21"/>
  <c r="AO16" i="21" s="1"/>
  <c r="GX15" i="21"/>
  <c r="FY15" i="21"/>
  <c r="EZ15" i="21"/>
  <c r="DZ15" i="21"/>
  <c r="EA15" i="21" s="1"/>
  <c r="DY15" i="21"/>
  <c r="DW15" i="21"/>
  <c r="DU15" i="21"/>
  <c r="DS15" i="21"/>
  <c r="DQ15" i="21"/>
  <c r="DO15" i="21"/>
  <c r="DM15" i="21"/>
  <c r="DK15" i="21"/>
  <c r="DI15" i="21"/>
  <c r="DG15" i="21"/>
  <c r="DE15" i="21"/>
  <c r="DC15" i="21"/>
  <c r="DA15" i="21"/>
  <c r="CY15" i="21"/>
  <c r="CW15" i="21"/>
  <c r="CU15" i="21"/>
  <c r="CS15" i="21"/>
  <c r="CQ15" i="21"/>
  <c r="CO15" i="21"/>
  <c r="CM15" i="21"/>
  <c r="CK15" i="21"/>
  <c r="CI15" i="21"/>
  <c r="CG15" i="21"/>
  <c r="CE15" i="21"/>
  <c r="BD15" i="21"/>
  <c r="E15" i="21"/>
  <c r="AQ15" i="21" s="1"/>
  <c r="GX14" i="21"/>
  <c r="FY14" i="21"/>
  <c r="EZ14" i="21"/>
  <c r="DZ14" i="21"/>
  <c r="EA14" i="21" s="1"/>
  <c r="DY14" i="21"/>
  <c r="DW14" i="21"/>
  <c r="DU14" i="21"/>
  <c r="DS14" i="21"/>
  <c r="DQ14" i="21"/>
  <c r="DO14" i="21"/>
  <c r="DM14" i="21"/>
  <c r="DK14" i="21"/>
  <c r="DI14" i="21"/>
  <c r="DG14" i="21"/>
  <c r="DE14" i="21"/>
  <c r="DC14" i="21"/>
  <c r="DA14" i="21"/>
  <c r="CY14" i="21"/>
  <c r="CW14" i="21"/>
  <c r="CU14" i="21"/>
  <c r="CS14" i="21"/>
  <c r="CQ14" i="21"/>
  <c r="CO14" i="21"/>
  <c r="CM14" i="21"/>
  <c r="CK14" i="21"/>
  <c r="CI14" i="21"/>
  <c r="CG14" i="21"/>
  <c r="CE14" i="21"/>
  <c r="BD14" i="21"/>
  <c r="E14" i="21"/>
  <c r="GX13" i="21"/>
  <c r="FY13" i="21"/>
  <c r="EZ13" i="21"/>
  <c r="DZ13" i="21"/>
  <c r="EA13" i="21" s="1"/>
  <c r="DY13" i="21"/>
  <c r="DW13" i="21"/>
  <c r="DU13" i="21"/>
  <c r="DS13" i="21"/>
  <c r="DQ13" i="21"/>
  <c r="DO13" i="21"/>
  <c r="DM13" i="21"/>
  <c r="DK13" i="21"/>
  <c r="DI13" i="21"/>
  <c r="DG13" i="21"/>
  <c r="DE13" i="21"/>
  <c r="DC13" i="21"/>
  <c r="DA13" i="21"/>
  <c r="CY13" i="21"/>
  <c r="CW13" i="21"/>
  <c r="CU13" i="21"/>
  <c r="CS13" i="21"/>
  <c r="CQ13" i="21"/>
  <c r="CO13" i="21"/>
  <c r="CM13" i="21"/>
  <c r="CK13" i="21"/>
  <c r="CI13" i="21"/>
  <c r="CG13" i="21"/>
  <c r="CE13" i="21"/>
  <c r="BD13" i="21"/>
  <c r="E13" i="21"/>
  <c r="GX12" i="21"/>
  <c r="FY12" i="21"/>
  <c r="EZ12" i="21"/>
  <c r="DZ12" i="21"/>
  <c r="EA12" i="21" s="1"/>
  <c r="DY12" i="21"/>
  <c r="DW12" i="21"/>
  <c r="DU12" i="21"/>
  <c r="DS12" i="21"/>
  <c r="DQ12" i="21"/>
  <c r="DO12" i="21"/>
  <c r="DM12" i="21"/>
  <c r="DK12" i="21"/>
  <c r="DI12" i="21"/>
  <c r="DG12" i="21"/>
  <c r="DE12" i="21"/>
  <c r="DC12" i="21"/>
  <c r="DA12" i="21"/>
  <c r="CY12" i="21"/>
  <c r="CW12" i="21"/>
  <c r="CU12" i="21"/>
  <c r="CS12" i="21"/>
  <c r="CQ12" i="21"/>
  <c r="CO12" i="21"/>
  <c r="CM12" i="21"/>
  <c r="CK12" i="21"/>
  <c r="CI12" i="21"/>
  <c r="CG12" i="21"/>
  <c r="CE12" i="21"/>
  <c r="BD12" i="21"/>
  <c r="E12" i="21"/>
  <c r="GX11" i="21"/>
  <c r="FY11" i="21"/>
  <c r="EZ11" i="21"/>
  <c r="DZ11" i="21"/>
  <c r="EA11" i="21" s="1"/>
  <c r="DY11" i="21"/>
  <c r="DW11" i="21"/>
  <c r="DU11" i="21"/>
  <c r="DS11" i="21"/>
  <c r="DQ11" i="21"/>
  <c r="DO11" i="21"/>
  <c r="DM11" i="21"/>
  <c r="DK11" i="21"/>
  <c r="DI11" i="21"/>
  <c r="DG11" i="21"/>
  <c r="DE11" i="21"/>
  <c r="DC11" i="21"/>
  <c r="DA11" i="21"/>
  <c r="CY11" i="21"/>
  <c r="CW11" i="21"/>
  <c r="CU11" i="21"/>
  <c r="CS11" i="21"/>
  <c r="CQ11" i="21"/>
  <c r="CO11" i="21"/>
  <c r="CM11" i="21"/>
  <c r="CK11" i="21"/>
  <c r="CI11" i="21"/>
  <c r="CG11" i="21"/>
  <c r="CE11" i="21"/>
  <c r="BD11" i="21"/>
  <c r="E11" i="21"/>
  <c r="GX10" i="21"/>
  <c r="FY10" i="21"/>
  <c r="EZ10" i="21"/>
  <c r="DZ10" i="21"/>
  <c r="EA10" i="21" s="1"/>
  <c r="DY10" i="21"/>
  <c r="DW10" i="21"/>
  <c r="DU10" i="21"/>
  <c r="DS10" i="21"/>
  <c r="DQ10" i="21"/>
  <c r="DO10" i="21"/>
  <c r="DM10" i="21"/>
  <c r="DK10" i="21"/>
  <c r="DI10" i="21"/>
  <c r="DG10" i="21"/>
  <c r="DE10" i="21"/>
  <c r="DC10" i="21"/>
  <c r="DA10" i="21"/>
  <c r="CY10" i="21"/>
  <c r="CW10" i="21"/>
  <c r="CU10" i="21"/>
  <c r="CS10" i="21"/>
  <c r="CQ10" i="21"/>
  <c r="CO10" i="21"/>
  <c r="CM10" i="21"/>
  <c r="CK10" i="21"/>
  <c r="CI10" i="21"/>
  <c r="CG10" i="21"/>
  <c r="CE10" i="21"/>
  <c r="BD10" i="21"/>
  <c r="E10" i="21"/>
  <c r="GX9" i="21"/>
  <c r="FY9" i="21"/>
  <c r="EZ9" i="21"/>
  <c r="DZ9" i="21"/>
  <c r="EA9" i="21" s="1"/>
  <c r="DY9" i="21"/>
  <c r="DW9" i="21"/>
  <c r="DU9" i="21"/>
  <c r="DS9" i="21"/>
  <c r="DQ9" i="21"/>
  <c r="DO9" i="21"/>
  <c r="DM9" i="21"/>
  <c r="DK9" i="21"/>
  <c r="DI9" i="21"/>
  <c r="DG9" i="21"/>
  <c r="DE9" i="21"/>
  <c r="DC9" i="21"/>
  <c r="DA9" i="21"/>
  <c r="CY9" i="21"/>
  <c r="CW9" i="21"/>
  <c r="CU9" i="21"/>
  <c r="CS9" i="21"/>
  <c r="CQ9" i="21"/>
  <c r="CO9" i="21"/>
  <c r="CM9" i="21"/>
  <c r="CK9" i="21"/>
  <c r="CI9" i="21"/>
  <c r="CG9" i="21"/>
  <c r="CE9" i="21"/>
  <c r="BD9" i="21"/>
  <c r="E9" i="21"/>
  <c r="AI9" i="21" s="1"/>
  <c r="GX8" i="21"/>
  <c r="FY8" i="21"/>
  <c r="EZ8" i="21"/>
  <c r="DZ8" i="21"/>
  <c r="EA8" i="21" s="1"/>
  <c r="DY8" i="21"/>
  <c r="DW8" i="21"/>
  <c r="DU8" i="21"/>
  <c r="DS8" i="21"/>
  <c r="DQ8" i="21"/>
  <c r="DO8" i="21"/>
  <c r="DM8" i="21"/>
  <c r="DK8" i="21"/>
  <c r="DI8" i="21"/>
  <c r="DG8" i="21"/>
  <c r="DE8" i="21"/>
  <c r="DC8" i="21"/>
  <c r="DA8" i="21"/>
  <c r="CY8" i="21"/>
  <c r="CW8" i="21"/>
  <c r="CU8" i="21"/>
  <c r="CS8" i="21"/>
  <c r="CQ8" i="21"/>
  <c r="CO8" i="21"/>
  <c r="CM8" i="21"/>
  <c r="CK8" i="21"/>
  <c r="CI8" i="21"/>
  <c r="CG8" i="21"/>
  <c r="CE8" i="21"/>
  <c r="BD8" i="21"/>
  <c r="E8" i="21"/>
  <c r="GX7" i="21"/>
  <c r="FY7" i="21"/>
  <c r="EZ7" i="21"/>
  <c r="DZ7" i="21"/>
  <c r="DY7" i="21"/>
  <c r="DW7" i="21"/>
  <c r="DU7" i="21"/>
  <c r="DS7" i="21"/>
  <c r="DQ7" i="21"/>
  <c r="DO7" i="21"/>
  <c r="DM7" i="21"/>
  <c r="DK7" i="21"/>
  <c r="DI7" i="21"/>
  <c r="DG7" i="21"/>
  <c r="DE7" i="21"/>
  <c r="DC7" i="21"/>
  <c r="DA7" i="21"/>
  <c r="CY7" i="21"/>
  <c r="CW7" i="21"/>
  <c r="CU7" i="21"/>
  <c r="CS7" i="21"/>
  <c r="CQ7" i="21"/>
  <c r="CO7" i="21"/>
  <c r="CM7" i="21"/>
  <c r="CK7" i="21"/>
  <c r="CI7" i="21"/>
  <c r="CG7" i="21"/>
  <c r="CE7" i="21"/>
  <c r="BD7" i="21"/>
  <c r="E7" i="21"/>
  <c r="EY5" i="21"/>
  <c r="EX5" i="21"/>
  <c r="EW5" i="21"/>
  <c r="EV5" i="21"/>
  <c r="EU5" i="21"/>
  <c r="ET5" i="21"/>
  <c r="ES5" i="21"/>
  <c r="ER5" i="21"/>
  <c r="EQ5" i="21"/>
  <c r="EP5" i="21"/>
  <c r="EO5" i="21"/>
  <c r="EN5" i="21"/>
  <c r="EM5" i="21"/>
  <c r="EL5" i="21"/>
  <c r="EK5" i="21"/>
  <c r="EJ5" i="21"/>
  <c r="EI5" i="21"/>
  <c r="EH5" i="21"/>
  <c r="EG5" i="21"/>
  <c r="EF5" i="21"/>
  <c r="EE5" i="21"/>
  <c r="ED5" i="21"/>
  <c r="EC5" i="21"/>
  <c r="EB5" i="21"/>
  <c r="EA5" i="21"/>
  <c r="DZ5" i="21"/>
  <c r="DY5" i="21"/>
  <c r="DX5" i="21"/>
  <c r="DW5" i="21"/>
  <c r="DV5" i="21"/>
  <c r="DU5" i="21"/>
  <c r="DT5" i="21"/>
  <c r="DS5" i="21"/>
  <c r="DR5" i="21"/>
  <c r="DQ5" i="21"/>
  <c r="DP5" i="21"/>
  <c r="DO5" i="21"/>
  <c r="DN5" i="21"/>
  <c r="DM5" i="21"/>
  <c r="DL5" i="21"/>
  <c r="DK5" i="21"/>
  <c r="DJ5" i="21"/>
  <c r="DI5" i="21"/>
  <c r="DH5" i="21"/>
  <c r="DG5" i="21"/>
  <c r="DF5" i="21"/>
  <c r="DE5" i="21"/>
  <c r="DD5" i="21"/>
  <c r="DC5" i="21"/>
  <c r="DB5" i="21"/>
  <c r="DA5" i="21"/>
  <c r="CZ5" i="21"/>
  <c r="CY5" i="21"/>
  <c r="CX5" i="21"/>
  <c r="CW5" i="21"/>
  <c r="CV5" i="21"/>
  <c r="CU5" i="21"/>
  <c r="CT5" i="21"/>
  <c r="CS5" i="21"/>
  <c r="CR5" i="21"/>
  <c r="CQ5" i="21"/>
  <c r="CP5" i="21"/>
  <c r="CO5" i="21"/>
  <c r="CN5" i="21"/>
  <c r="CM5" i="21"/>
  <c r="CL5" i="21"/>
  <c r="CK5" i="21"/>
  <c r="CJ5" i="21"/>
  <c r="CI5" i="21"/>
  <c r="CH5" i="21"/>
  <c r="CG5" i="21"/>
  <c r="CF5" i="21"/>
  <c r="CE5" i="21"/>
  <c r="CD5" i="21"/>
  <c r="CC5" i="21"/>
  <c r="CB5" i="21"/>
  <c r="CA5" i="21"/>
  <c r="BZ5" i="21"/>
  <c r="BY5" i="21"/>
  <c r="BX5" i="21"/>
  <c r="BW5" i="21"/>
  <c r="BV5" i="21"/>
  <c r="BU5" i="21"/>
  <c r="BT5" i="21"/>
  <c r="BS5" i="21"/>
  <c r="BR5" i="21"/>
  <c r="BQ5" i="21"/>
  <c r="BP5" i="21"/>
  <c r="BO5" i="21"/>
  <c r="BN5" i="21"/>
  <c r="BM5" i="21"/>
  <c r="BL5" i="21"/>
  <c r="BK5" i="21"/>
  <c r="BJ5" i="21"/>
  <c r="BI5" i="21"/>
  <c r="BH5" i="21"/>
  <c r="BG5" i="21"/>
  <c r="BF5" i="21"/>
  <c r="BE5" i="21"/>
  <c r="BD5" i="21"/>
  <c r="BC5" i="21"/>
  <c r="BB5" i="21"/>
  <c r="BA5" i="21"/>
  <c r="AZ5" i="21"/>
  <c r="AY5" i="21"/>
  <c r="AX5" i="21"/>
  <c r="AW5" i="21"/>
  <c r="AV5" i="21"/>
  <c r="AU5" i="21"/>
  <c r="AT5" i="21"/>
  <c r="AS5" i="21"/>
  <c r="AR5" i="21"/>
  <c r="AQ5" i="21"/>
  <c r="AP5" i="21"/>
  <c r="AO5" i="21"/>
  <c r="AN5" i="21"/>
  <c r="AM5" i="21"/>
  <c r="AL5" i="21"/>
  <c r="AK5" i="21"/>
  <c r="AJ5" i="21"/>
  <c r="AI5" i="21"/>
  <c r="AH5" i="21"/>
  <c r="AG5" i="21"/>
  <c r="AF5" i="21"/>
  <c r="AE5" i="21"/>
  <c r="AD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X1" i="21"/>
  <c r="GW1" i="21"/>
  <c r="GV1" i="21"/>
  <c r="GU1" i="21"/>
  <c r="GT1" i="21"/>
  <c r="GS1" i="21"/>
  <c r="GR1" i="21"/>
  <c r="GQ1" i="21"/>
  <c r="GP1" i="21"/>
  <c r="GO1" i="21"/>
  <c r="GN1" i="21"/>
  <c r="GM1" i="21"/>
  <c r="GL1" i="21"/>
  <c r="GK1" i="21"/>
  <c r="GJ1" i="21"/>
  <c r="GI1" i="21"/>
  <c r="GH1" i="21"/>
  <c r="GG1" i="21"/>
  <c r="GF1" i="21"/>
  <c r="GE1" i="21"/>
  <c r="GD1" i="21"/>
  <c r="GC1" i="21"/>
  <c r="GB1" i="21"/>
  <c r="GA1" i="21"/>
  <c r="FZ1" i="21"/>
  <c r="FY1" i="21"/>
  <c r="FX1" i="21"/>
  <c r="FW1" i="21"/>
  <c r="FV1" i="21"/>
  <c r="FU1" i="21"/>
  <c r="FT1" i="21"/>
  <c r="FS1" i="21"/>
  <c r="FR1" i="21"/>
  <c r="FQ1" i="21"/>
  <c r="FP1" i="21"/>
  <c r="FO1" i="21"/>
  <c r="FN1" i="21"/>
  <c r="FM1" i="21"/>
  <c r="FL1" i="21"/>
  <c r="FK1" i="21"/>
  <c r="FJ1" i="21"/>
  <c r="FI1" i="21"/>
  <c r="FH1" i="21"/>
  <c r="FG1" i="21"/>
  <c r="FF1" i="21"/>
  <c r="FE1" i="21"/>
  <c r="FD1" i="21"/>
  <c r="FC1" i="21"/>
  <c r="FB1" i="21"/>
  <c r="FA1" i="21"/>
  <c r="EZ1" i="21"/>
  <c r="EY1" i="21"/>
  <c r="EX1" i="21"/>
  <c r="EW1" i="21"/>
  <c r="EV1" i="21"/>
  <c r="EU1" i="21"/>
  <c r="ET1" i="21"/>
  <c r="ES1" i="21"/>
  <c r="ER1" i="21"/>
  <c r="EQ1" i="21"/>
  <c r="EP1" i="21"/>
  <c r="EO1" i="21"/>
  <c r="EN1" i="21"/>
  <c r="EM1" i="21"/>
  <c r="EL1" i="21"/>
  <c r="EK1" i="21"/>
  <c r="EJ1" i="21"/>
  <c r="EI1" i="21"/>
  <c r="EH1" i="21"/>
  <c r="EG1" i="21"/>
  <c r="EF1" i="21"/>
  <c r="EE1" i="21"/>
  <c r="ED1" i="21"/>
  <c r="EC1" i="21"/>
  <c r="EB1" i="21"/>
  <c r="EA1" i="21"/>
  <c r="DZ1" i="21"/>
  <c r="DY1" i="21"/>
  <c r="DX1" i="21"/>
  <c r="DW1" i="21"/>
  <c r="DV1" i="21"/>
  <c r="DU1" i="21"/>
  <c r="DT1" i="21"/>
  <c r="DS1" i="21"/>
  <c r="DR1" i="21"/>
  <c r="DQ1" i="21"/>
  <c r="DP1" i="21"/>
  <c r="DO1" i="21"/>
  <c r="DN1" i="21"/>
  <c r="DM1" i="21"/>
  <c r="DL1" i="21"/>
  <c r="DK1" i="21"/>
  <c r="DJ1" i="21"/>
  <c r="DI1" i="21"/>
  <c r="DH1" i="21"/>
  <c r="DG1" i="21"/>
  <c r="DF1" i="21"/>
  <c r="DE1" i="21"/>
  <c r="DD1" i="21"/>
  <c r="DC1" i="21"/>
  <c r="DB1" i="21"/>
  <c r="DA1" i="21"/>
  <c r="CZ1" i="21"/>
  <c r="CY1" i="21"/>
  <c r="CX1" i="21"/>
  <c r="CW1" i="21"/>
  <c r="CV1" i="21"/>
  <c r="CU1" i="21"/>
  <c r="CT1" i="21"/>
  <c r="CS1" i="21"/>
  <c r="CR1" i="21"/>
  <c r="CQ1" i="21"/>
  <c r="CP1" i="21"/>
  <c r="CO1" i="21"/>
  <c r="CN1" i="21"/>
  <c r="CM1" i="21"/>
  <c r="CL1" i="21"/>
  <c r="CK1" i="21"/>
  <c r="CJ1" i="21"/>
  <c r="CI1" i="21"/>
  <c r="CH1" i="21"/>
  <c r="CG1" i="21"/>
  <c r="CF1" i="21"/>
  <c r="CE1" i="21"/>
  <c r="CD1" i="21"/>
  <c r="CC1" i="21"/>
  <c r="CB1" i="21"/>
  <c r="CA1" i="21"/>
  <c r="BZ1" i="21"/>
  <c r="BY1" i="21"/>
  <c r="BX1" i="21"/>
  <c r="BW1" i="21"/>
  <c r="BV1" i="21"/>
  <c r="BU1" i="21"/>
  <c r="BT1" i="21"/>
  <c r="BS1" i="21"/>
  <c r="BR1" i="21"/>
  <c r="BQ1" i="21"/>
  <c r="BP1" i="21"/>
  <c r="BO1" i="21"/>
  <c r="BN1" i="21"/>
  <c r="BM1" i="21"/>
  <c r="BL1" i="21"/>
  <c r="BK1" i="21"/>
  <c r="BJ1" i="21"/>
  <c r="BI1" i="21"/>
  <c r="BH1" i="21"/>
  <c r="BG1" i="21"/>
  <c r="BF1" i="21"/>
  <c r="BE1" i="21"/>
  <c r="BD1" i="21"/>
  <c r="BC1" i="21"/>
  <c r="BB1" i="21"/>
  <c r="BA1" i="21"/>
  <c r="AZ1" i="21"/>
  <c r="AY1" i="21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H38" i="20"/>
  <c r="C38" i="20"/>
  <c r="E38" i="20" s="1"/>
  <c r="BD37" i="20"/>
  <c r="GX36" i="20"/>
  <c r="FY36" i="20"/>
  <c r="EZ36" i="20"/>
  <c r="DZ36" i="20"/>
  <c r="EA36" i="20" s="1"/>
  <c r="DY36" i="20"/>
  <c r="DW36" i="20"/>
  <c r="DU36" i="20"/>
  <c r="DS36" i="20"/>
  <c r="DQ36" i="20"/>
  <c r="DO36" i="20"/>
  <c r="DM36" i="20"/>
  <c r="DK36" i="20"/>
  <c r="DI36" i="20"/>
  <c r="DG36" i="20"/>
  <c r="DE36" i="20"/>
  <c r="DC36" i="20"/>
  <c r="DA36" i="20"/>
  <c r="CY36" i="20"/>
  <c r="CW36" i="20"/>
  <c r="CU36" i="20"/>
  <c r="CS36" i="20"/>
  <c r="CQ36" i="20"/>
  <c r="CO36" i="20"/>
  <c r="CM36" i="20"/>
  <c r="CK36" i="20"/>
  <c r="CI36" i="20"/>
  <c r="CG36" i="20"/>
  <c r="CE36" i="20"/>
  <c r="BD36" i="20"/>
  <c r="E36" i="20"/>
  <c r="GX35" i="20"/>
  <c r="FY35" i="20"/>
  <c r="EZ35" i="20"/>
  <c r="DZ35" i="20"/>
  <c r="EA35" i="20" s="1"/>
  <c r="DY35" i="20"/>
  <c r="DW35" i="20"/>
  <c r="DU35" i="20"/>
  <c r="DS35" i="20"/>
  <c r="DQ35" i="20"/>
  <c r="DO35" i="20"/>
  <c r="DM35" i="20"/>
  <c r="DK35" i="20"/>
  <c r="DI35" i="20"/>
  <c r="DG35" i="20"/>
  <c r="DE35" i="20"/>
  <c r="DC35" i="20"/>
  <c r="DA35" i="20"/>
  <c r="CY35" i="20"/>
  <c r="CW35" i="20"/>
  <c r="CU35" i="20"/>
  <c r="CS35" i="20"/>
  <c r="CQ35" i="20"/>
  <c r="CO35" i="20"/>
  <c r="CM35" i="20"/>
  <c r="CK35" i="20"/>
  <c r="CI35" i="20"/>
  <c r="CG35" i="20"/>
  <c r="CE35" i="20"/>
  <c r="BD35" i="20"/>
  <c r="E35" i="20"/>
  <c r="GX34" i="20"/>
  <c r="FY34" i="20"/>
  <c r="EZ34" i="20"/>
  <c r="DZ34" i="20"/>
  <c r="EA34" i="20" s="1"/>
  <c r="DY34" i="20"/>
  <c r="DW34" i="20"/>
  <c r="DU34" i="20"/>
  <c r="DS34" i="20"/>
  <c r="DQ34" i="20"/>
  <c r="DO34" i="20"/>
  <c r="DM34" i="20"/>
  <c r="DK34" i="20"/>
  <c r="DI34" i="20"/>
  <c r="DG34" i="20"/>
  <c r="DE34" i="20"/>
  <c r="DC34" i="20"/>
  <c r="DA34" i="20"/>
  <c r="CY34" i="20"/>
  <c r="CW34" i="20"/>
  <c r="CU34" i="20"/>
  <c r="CS34" i="20"/>
  <c r="CQ34" i="20"/>
  <c r="CO34" i="20"/>
  <c r="CM34" i="20"/>
  <c r="CK34" i="20"/>
  <c r="CI34" i="20"/>
  <c r="CG34" i="20"/>
  <c r="CE34" i="20"/>
  <c r="BD34" i="20"/>
  <c r="E34" i="20"/>
  <c r="GX33" i="20"/>
  <c r="FY33" i="20"/>
  <c r="EZ33" i="20"/>
  <c r="DZ33" i="20"/>
  <c r="EA33" i="20" s="1"/>
  <c r="DY33" i="20"/>
  <c r="DW33" i="20"/>
  <c r="DU33" i="20"/>
  <c r="DS33" i="20"/>
  <c r="DQ33" i="20"/>
  <c r="DO33" i="20"/>
  <c r="DM33" i="20"/>
  <c r="DK33" i="20"/>
  <c r="DI33" i="20"/>
  <c r="DG33" i="20"/>
  <c r="DE33" i="20"/>
  <c r="DC33" i="20"/>
  <c r="DA33" i="20"/>
  <c r="CY33" i="20"/>
  <c r="CW33" i="20"/>
  <c r="CU33" i="20"/>
  <c r="CS33" i="20"/>
  <c r="CQ33" i="20"/>
  <c r="CO33" i="20"/>
  <c r="CM33" i="20"/>
  <c r="CK33" i="20"/>
  <c r="CI33" i="20"/>
  <c r="CG33" i="20"/>
  <c r="CE33" i="20"/>
  <c r="BD33" i="20"/>
  <c r="E33" i="20"/>
  <c r="GX32" i="20"/>
  <c r="FY32" i="20"/>
  <c r="EZ32" i="20"/>
  <c r="DZ32" i="20"/>
  <c r="EA32" i="20" s="1"/>
  <c r="DY32" i="20"/>
  <c r="DW32" i="20"/>
  <c r="DU32" i="20"/>
  <c r="DS32" i="20"/>
  <c r="DQ32" i="20"/>
  <c r="DO32" i="20"/>
  <c r="DM32" i="20"/>
  <c r="DK32" i="20"/>
  <c r="DI32" i="20"/>
  <c r="DG32" i="20"/>
  <c r="DE32" i="20"/>
  <c r="DC32" i="20"/>
  <c r="DA32" i="20"/>
  <c r="CY32" i="20"/>
  <c r="CW32" i="20"/>
  <c r="CU32" i="20"/>
  <c r="CS32" i="20"/>
  <c r="CQ32" i="20"/>
  <c r="CO32" i="20"/>
  <c r="CM32" i="20"/>
  <c r="CK32" i="20"/>
  <c r="CI32" i="20"/>
  <c r="CG32" i="20"/>
  <c r="CE32" i="20"/>
  <c r="BD32" i="20"/>
  <c r="E32" i="20"/>
  <c r="GX31" i="20"/>
  <c r="FY31" i="20"/>
  <c r="EZ31" i="20"/>
  <c r="DZ31" i="20"/>
  <c r="EA31" i="20" s="1"/>
  <c r="DY31" i="20"/>
  <c r="DW31" i="20"/>
  <c r="DU31" i="20"/>
  <c r="DS31" i="20"/>
  <c r="DQ31" i="20"/>
  <c r="DO31" i="20"/>
  <c r="DM31" i="20"/>
  <c r="DK31" i="20"/>
  <c r="DI31" i="20"/>
  <c r="DG31" i="20"/>
  <c r="DE31" i="20"/>
  <c r="DC31" i="20"/>
  <c r="DA31" i="20"/>
  <c r="CY31" i="20"/>
  <c r="CW31" i="20"/>
  <c r="CU31" i="20"/>
  <c r="CS31" i="20"/>
  <c r="CQ31" i="20"/>
  <c r="CO31" i="20"/>
  <c r="CM31" i="20"/>
  <c r="CK31" i="20"/>
  <c r="CI31" i="20"/>
  <c r="CG31" i="20"/>
  <c r="CE31" i="20"/>
  <c r="BD31" i="20"/>
  <c r="E31" i="20"/>
  <c r="GX30" i="20"/>
  <c r="FY30" i="20"/>
  <c r="EZ30" i="20"/>
  <c r="DZ30" i="20"/>
  <c r="EA30" i="20" s="1"/>
  <c r="DY30" i="20"/>
  <c r="DW30" i="20"/>
  <c r="DU30" i="20"/>
  <c r="DS30" i="20"/>
  <c r="DQ30" i="20"/>
  <c r="DO30" i="20"/>
  <c r="DM30" i="20"/>
  <c r="DK30" i="20"/>
  <c r="DI30" i="20"/>
  <c r="DG30" i="20"/>
  <c r="DE30" i="20"/>
  <c r="DC30" i="20"/>
  <c r="DA30" i="20"/>
  <c r="CY30" i="20"/>
  <c r="CW30" i="20"/>
  <c r="CU30" i="20"/>
  <c r="CS30" i="20"/>
  <c r="CQ30" i="20"/>
  <c r="CO30" i="20"/>
  <c r="CM30" i="20"/>
  <c r="CK30" i="20"/>
  <c r="CI30" i="20"/>
  <c r="CG30" i="20"/>
  <c r="CE30" i="20"/>
  <c r="BD30" i="20"/>
  <c r="E30" i="20"/>
  <c r="GX29" i="20"/>
  <c r="FY29" i="20"/>
  <c r="EZ29" i="20"/>
  <c r="DZ29" i="20"/>
  <c r="EA29" i="20" s="1"/>
  <c r="DY29" i="20"/>
  <c r="DW29" i="20"/>
  <c r="DU29" i="20"/>
  <c r="DS29" i="20"/>
  <c r="DQ29" i="20"/>
  <c r="DO29" i="20"/>
  <c r="DM29" i="20"/>
  <c r="DK29" i="20"/>
  <c r="DI29" i="20"/>
  <c r="DG29" i="20"/>
  <c r="DE29" i="20"/>
  <c r="DC29" i="20"/>
  <c r="DA29" i="20"/>
  <c r="CY29" i="20"/>
  <c r="CW29" i="20"/>
  <c r="CU29" i="20"/>
  <c r="CS29" i="20"/>
  <c r="CQ29" i="20"/>
  <c r="CO29" i="20"/>
  <c r="CM29" i="20"/>
  <c r="CK29" i="20"/>
  <c r="CI29" i="20"/>
  <c r="CG29" i="20"/>
  <c r="CE29" i="20"/>
  <c r="BD29" i="20"/>
  <c r="E29" i="20"/>
  <c r="GX28" i="20"/>
  <c r="FY28" i="20"/>
  <c r="EZ28" i="20"/>
  <c r="DZ28" i="20"/>
  <c r="EA28" i="20" s="1"/>
  <c r="DY28" i="20"/>
  <c r="DW28" i="20"/>
  <c r="DU28" i="20"/>
  <c r="DS28" i="20"/>
  <c r="DQ28" i="20"/>
  <c r="DO28" i="20"/>
  <c r="DM28" i="20"/>
  <c r="DK28" i="20"/>
  <c r="DI28" i="20"/>
  <c r="DG28" i="20"/>
  <c r="DE28" i="20"/>
  <c r="DC28" i="20"/>
  <c r="DA28" i="20"/>
  <c r="CY28" i="20"/>
  <c r="CW28" i="20"/>
  <c r="CU28" i="20"/>
  <c r="CS28" i="20"/>
  <c r="CQ28" i="20"/>
  <c r="CO28" i="20"/>
  <c r="CM28" i="20"/>
  <c r="CK28" i="20"/>
  <c r="CI28" i="20"/>
  <c r="CG28" i="20"/>
  <c r="CE28" i="20"/>
  <c r="BD28" i="20"/>
  <c r="E28" i="20"/>
  <c r="GX27" i="20"/>
  <c r="FY27" i="20"/>
  <c r="EZ27" i="20"/>
  <c r="DZ27" i="20"/>
  <c r="EA27" i="20" s="1"/>
  <c r="DY27" i="20"/>
  <c r="DW27" i="20"/>
  <c r="DU27" i="20"/>
  <c r="DS27" i="20"/>
  <c r="DQ27" i="20"/>
  <c r="DO27" i="20"/>
  <c r="DM27" i="20"/>
  <c r="DK27" i="20"/>
  <c r="DI27" i="20"/>
  <c r="DG27" i="20"/>
  <c r="DE27" i="20"/>
  <c r="DC27" i="20"/>
  <c r="DA27" i="20"/>
  <c r="CY27" i="20"/>
  <c r="CW27" i="20"/>
  <c r="CU27" i="20"/>
  <c r="CS27" i="20"/>
  <c r="CQ27" i="20"/>
  <c r="CO27" i="20"/>
  <c r="CM27" i="20"/>
  <c r="CK27" i="20"/>
  <c r="CI27" i="20"/>
  <c r="CG27" i="20"/>
  <c r="CE27" i="20"/>
  <c r="BD27" i="20"/>
  <c r="E27" i="20"/>
  <c r="GX26" i="20"/>
  <c r="FY26" i="20"/>
  <c r="EZ26" i="20"/>
  <c r="DZ26" i="20"/>
  <c r="EA26" i="20" s="1"/>
  <c r="DY26" i="20"/>
  <c r="DW26" i="20"/>
  <c r="DU26" i="20"/>
  <c r="DS26" i="20"/>
  <c r="DQ26" i="20"/>
  <c r="DO26" i="20"/>
  <c r="DM26" i="20"/>
  <c r="DK26" i="20"/>
  <c r="DI26" i="20"/>
  <c r="DG26" i="20"/>
  <c r="DE26" i="20"/>
  <c r="DC26" i="20"/>
  <c r="DA26" i="20"/>
  <c r="CY26" i="20"/>
  <c r="CW26" i="20"/>
  <c r="CU26" i="20"/>
  <c r="CS26" i="20"/>
  <c r="CQ26" i="20"/>
  <c r="CO26" i="20"/>
  <c r="CM26" i="20"/>
  <c r="CK26" i="20"/>
  <c r="CI26" i="20"/>
  <c r="CG26" i="20"/>
  <c r="CE26" i="20"/>
  <c r="BD26" i="20"/>
  <c r="E26" i="20"/>
  <c r="AE26" i="20" s="1"/>
  <c r="GX25" i="20"/>
  <c r="FY25" i="20"/>
  <c r="EZ25" i="20"/>
  <c r="DZ25" i="20"/>
  <c r="EA25" i="20" s="1"/>
  <c r="DY25" i="20"/>
  <c r="DW25" i="20"/>
  <c r="DU25" i="20"/>
  <c r="DS25" i="20"/>
  <c r="DQ25" i="20"/>
  <c r="DO25" i="20"/>
  <c r="DM25" i="20"/>
  <c r="DK25" i="20"/>
  <c r="DI25" i="20"/>
  <c r="DG25" i="20"/>
  <c r="DE25" i="20"/>
  <c r="DC25" i="20"/>
  <c r="DA25" i="20"/>
  <c r="CY25" i="20"/>
  <c r="CW25" i="20"/>
  <c r="CU25" i="20"/>
  <c r="CS25" i="20"/>
  <c r="CQ25" i="20"/>
  <c r="CO25" i="20"/>
  <c r="CM25" i="20"/>
  <c r="CK25" i="20"/>
  <c r="CI25" i="20"/>
  <c r="CG25" i="20"/>
  <c r="CE25" i="20"/>
  <c r="BD25" i="20"/>
  <c r="E25" i="20"/>
  <c r="AE25" i="20" s="1"/>
  <c r="GX24" i="20"/>
  <c r="FY24" i="20"/>
  <c r="EZ24" i="20"/>
  <c r="DZ24" i="20"/>
  <c r="EA24" i="20" s="1"/>
  <c r="DY24" i="20"/>
  <c r="DW24" i="20"/>
  <c r="DU24" i="20"/>
  <c r="DS24" i="20"/>
  <c r="DQ24" i="20"/>
  <c r="DO24" i="20"/>
  <c r="DM24" i="20"/>
  <c r="DK24" i="20"/>
  <c r="DI24" i="20"/>
  <c r="DG24" i="20"/>
  <c r="DE24" i="20"/>
  <c r="DC24" i="20"/>
  <c r="DA24" i="20"/>
  <c r="CY24" i="20"/>
  <c r="CW24" i="20"/>
  <c r="CU24" i="20"/>
  <c r="CS24" i="20"/>
  <c r="CQ24" i="20"/>
  <c r="CO24" i="20"/>
  <c r="CM24" i="20"/>
  <c r="CK24" i="20"/>
  <c r="CI24" i="20"/>
  <c r="CG24" i="20"/>
  <c r="CE24" i="20"/>
  <c r="BD24" i="20"/>
  <c r="E24" i="20"/>
  <c r="GX23" i="20"/>
  <c r="FY23" i="20"/>
  <c r="EZ23" i="20"/>
  <c r="DZ23" i="20"/>
  <c r="EA23" i="20" s="1"/>
  <c r="DY23" i="20"/>
  <c r="DW23" i="20"/>
  <c r="DU23" i="20"/>
  <c r="DS23" i="20"/>
  <c r="DQ23" i="20"/>
  <c r="DO23" i="20"/>
  <c r="DM23" i="20"/>
  <c r="DK23" i="20"/>
  <c r="DI23" i="20"/>
  <c r="DG23" i="20"/>
  <c r="DE23" i="20"/>
  <c r="DC23" i="20"/>
  <c r="DA23" i="20"/>
  <c r="CY23" i="20"/>
  <c r="CW23" i="20"/>
  <c r="CU23" i="20"/>
  <c r="CS23" i="20"/>
  <c r="CQ23" i="20"/>
  <c r="CO23" i="20"/>
  <c r="CM23" i="20"/>
  <c r="CK23" i="20"/>
  <c r="CI23" i="20"/>
  <c r="CG23" i="20"/>
  <c r="CE23" i="20"/>
  <c r="BD23" i="20"/>
  <c r="E23" i="20"/>
  <c r="GX22" i="20"/>
  <c r="FY22" i="20"/>
  <c r="EZ22" i="20"/>
  <c r="DZ22" i="20"/>
  <c r="EA22" i="20" s="1"/>
  <c r="DY22" i="20"/>
  <c r="DW22" i="20"/>
  <c r="DU22" i="20"/>
  <c r="DS22" i="20"/>
  <c r="DQ22" i="20"/>
  <c r="DO22" i="20"/>
  <c r="DM22" i="20"/>
  <c r="DK22" i="20"/>
  <c r="DI22" i="20"/>
  <c r="DG22" i="20"/>
  <c r="DE22" i="20"/>
  <c r="DC22" i="20"/>
  <c r="DA22" i="20"/>
  <c r="CY22" i="20"/>
  <c r="CW22" i="20"/>
  <c r="CU22" i="20"/>
  <c r="CS22" i="20"/>
  <c r="CQ22" i="20"/>
  <c r="CO22" i="20"/>
  <c r="CM22" i="20"/>
  <c r="CK22" i="20"/>
  <c r="CI22" i="20"/>
  <c r="CG22" i="20"/>
  <c r="CE22" i="20"/>
  <c r="BD22" i="20"/>
  <c r="E22" i="20"/>
  <c r="GX21" i="20"/>
  <c r="FY21" i="20"/>
  <c r="EZ21" i="20"/>
  <c r="DZ21" i="20"/>
  <c r="EA21" i="20" s="1"/>
  <c r="DY21" i="20"/>
  <c r="DW21" i="20"/>
  <c r="DU21" i="20"/>
  <c r="DS21" i="20"/>
  <c r="DQ21" i="20"/>
  <c r="DO21" i="20"/>
  <c r="DM21" i="20"/>
  <c r="DK21" i="20"/>
  <c r="DI21" i="20"/>
  <c r="DG21" i="20"/>
  <c r="DE21" i="20"/>
  <c r="DC21" i="20"/>
  <c r="DA21" i="20"/>
  <c r="CY21" i="20"/>
  <c r="CW21" i="20"/>
  <c r="CU21" i="20"/>
  <c r="CS21" i="20"/>
  <c r="CQ21" i="20"/>
  <c r="CO21" i="20"/>
  <c r="CM21" i="20"/>
  <c r="CK21" i="20"/>
  <c r="CI21" i="20"/>
  <c r="CG21" i="20"/>
  <c r="CE21" i="20"/>
  <c r="BD21" i="20"/>
  <c r="E21" i="20"/>
  <c r="GX20" i="20"/>
  <c r="FY20" i="20"/>
  <c r="EZ20" i="20"/>
  <c r="DZ20" i="20"/>
  <c r="EA20" i="20" s="1"/>
  <c r="DY20" i="20"/>
  <c r="DW20" i="20"/>
  <c r="DU20" i="20"/>
  <c r="DS20" i="20"/>
  <c r="DQ20" i="20"/>
  <c r="DO20" i="20"/>
  <c r="DM20" i="20"/>
  <c r="DK20" i="20"/>
  <c r="DI20" i="20"/>
  <c r="DG20" i="20"/>
  <c r="DE20" i="20"/>
  <c r="DC20" i="20"/>
  <c r="DA20" i="20"/>
  <c r="CY20" i="20"/>
  <c r="CW20" i="20"/>
  <c r="CU20" i="20"/>
  <c r="CS20" i="20"/>
  <c r="CQ20" i="20"/>
  <c r="CO20" i="20"/>
  <c r="CM20" i="20"/>
  <c r="CK20" i="20"/>
  <c r="CI20" i="20"/>
  <c r="CG20" i="20"/>
  <c r="CE20" i="20"/>
  <c r="BD20" i="20"/>
  <c r="E20" i="20"/>
  <c r="AQ20" i="20" s="1"/>
  <c r="GX19" i="20"/>
  <c r="FY19" i="20"/>
  <c r="EZ19" i="20"/>
  <c r="DZ19" i="20"/>
  <c r="EA19" i="20" s="1"/>
  <c r="DY19" i="20"/>
  <c r="DW19" i="20"/>
  <c r="DU19" i="20"/>
  <c r="DS19" i="20"/>
  <c r="DQ19" i="20"/>
  <c r="DO19" i="20"/>
  <c r="DM19" i="20"/>
  <c r="DK19" i="20"/>
  <c r="DI19" i="20"/>
  <c r="DG19" i="20"/>
  <c r="DE19" i="20"/>
  <c r="DC19" i="20"/>
  <c r="DA19" i="20"/>
  <c r="CY19" i="20"/>
  <c r="CW19" i="20"/>
  <c r="CU19" i="20"/>
  <c r="CS19" i="20"/>
  <c r="CQ19" i="20"/>
  <c r="CO19" i="20"/>
  <c r="CM19" i="20"/>
  <c r="CK19" i="20"/>
  <c r="CI19" i="20"/>
  <c r="CG19" i="20"/>
  <c r="CE19" i="20"/>
  <c r="BD19" i="20"/>
  <c r="E19" i="20"/>
  <c r="GX18" i="20"/>
  <c r="FY18" i="20"/>
  <c r="EZ18" i="20"/>
  <c r="DZ18" i="20"/>
  <c r="EA18" i="20" s="1"/>
  <c r="DY18" i="20"/>
  <c r="DW18" i="20"/>
  <c r="DU18" i="20"/>
  <c r="DS18" i="20"/>
  <c r="DQ18" i="20"/>
  <c r="DO18" i="20"/>
  <c r="DM18" i="20"/>
  <c r="DK18" i="20"/>
  <c r="DI18" i="20"/>
  <c r="DG18" i="20"/>
  <c r="DE18" i="20"/>
  <c r="DC18" i="20"/>
  <c r="DA18" i="20"/>
  <c r="CY18" i="20"/>
  <c r="CW18" i="20"/>
  <c r="CU18" i="20"/>
  <c r="CS18" i="20"/>
  <c r="CQ18" i="20"/>
  <c r="CO18" i="20"/>
  <c r="CM18" i="20"/>
  <c r="CK18" i="20"/>
  <c r="CI18" i="20"/>
  <c r="CG18" i="20"/>
  <c r="CE18" i="20"/>
  <c r="BD18" i="20"/>
  <c r="E18" i="20"/>
  <c r="AI18" i="20" s="1"/>
  <c r="GX17" i="20"/>
  <c r="FY17" i="20"/>
  <c r="EZ17" i="20"/>
  <c r="DZ17" i="20"/>
  <c r="EA17" i="20" s="1"/>
  <c r="DY17" i="20"/>
  <c r="DW17" i="20"/>
  <c r="DU17" i="20"/>
  <c r="DS17" i="20"/>
  <c r="DQ17" i="20"/>
  <c r="DO17" i="20"/>
  <c r="DM17" i="20"/>
  <c r="DK17" i="20"/>
  <c r="DI17" i="20"/>
  <c r="DG17" i="20"/>
  <c r="DE17" i="20"/>
  <c r="DC17" i="20"/>
  <c r="DA17" i="20"/>
  <c r="CY17" i="20"/>
  <c r="CW17" i="20"/>
  <c r="CU17" i="20"/>
  <c r="CS17" i="20"/>
  <c r="CQ17" i="20"/>
  <c r="CO17" i="20"/>
  <c r="CM17" i="20"/>
  <c r="CK17" i="20"/>
  <c r="CI17" i="20"/>
  <c r="CG17" i="20"/>
  <c r="CE17" i="20"/>
  <c r="BD17" i="20"/>
  <c r="E17" i="20"/>
  <c r="GX16" i="20"/>
  <c r="FY16" i="20"/>
  <c r="EZ16" i="20"/>
  <c r="DZ16" i="20"/>
  <c r="EA16" i="20" s="1"/>
  <c r="DY16" i="20"/>
  <c r="DW16" i="20"/>
  <c r="DU16" i="20"/>
  <c r="DS16" i="20"/>
  <c r="DQ16" i="20"/>
  <c r="DO16" i="20"/>
  <c r="DM16" i="20"/>
  <c r="DK16" i="20"/>
  <c r="DI16" i="20"/>
  <c r="DG16" i="20"/>
  <c r="DE16" i="20"/>
  <c r="DC16" i="20"/>
  <c r="DA16" i="20"/>
  <c r="CY16" i="20"/>
  <c r="CW16" i="20"/>
  <c r="CU16" i="20"/>
  <c r="CS16" i="20"/>
  <c r="CQ16" i="20"/>
  <c r="CO16" i="20"/>
  <c r="CM16" i="20"/>
  <c r="CK16" i="20"/>
  <c r="CI16" i="20"/>
  <c r="CG16" i="20"/>
  <c r="CE16" i="20"/>
  <c r="BD16" i="20"/>
  <c r="E16" i="20"/>
  <c r="GX15" i="20"/>
  <c r="FY15" i="20"/>
  <c r="EZ15" i="20"/>
  <c r="DZ15" i="20"/>
  <c r="EA15" i="20" s="1"/>
  <c r="DY15" i="20"/>
  <c r="DW15" i="20"/>
  <c r="DU15" i="20"/>
  <c r="DS15" i="20"/>
  <c r="DQ15" i="20"/>
  <c r="DO15" i="20"/>
  <c r="DM15" i="20"/>
  <c r="DK15" i="20"/>
  <c r="DI15" i="20"/>
  <c r="DG15" i="20"/>
  <c r="DE15" i="20"/>
  <c r="DC15" i="20"/>
  <c r="DA15" i="20"/>
  <c r="CY15" i="20"/>
  <c r="CW15" i="20"/>
  <c r="CU15" i="20"/>
  <c r="CS15" i="20"/>
  <c r="CQ15" i="20"/>
  <c r="CO15" i="20"/>
  <c r="CM15" i="20"/>
  <c r="CK15" i="20"/>
  <c r="CI15" i="20"/>
  <c r="CG15" i="20"/>
  <c r="CE15" i="20"/>
  <c r="BD15" i="20"/>
  <c r="E15" i="20"/>
  <c r="GX14" i="20"/>
  <c r="FY14" i="20"/>
  <c r="EZ14" i="20"/>
  <c r="DZ14" i="20"/>
  <c r="EA14" i="20" s="1"/>
  <c r="DY14" i="20"/>
  <c r="DW14" i="20"/>
  <c r="DU14" i="20"/>
  <c r="DS14" i="20"/>
  <c r="DQ14" i="20"/>
  <c r="DO14" i="20"/>
  <c r="DM14" i="20"/>
  <c r="DK14" i="20"/>
  <c r="DI14" i="20"/>
  <c r="DG14" i="20"/>
  <c r="DE14" i="20"/>
  <c r="DC14" i="20"/>
  <c r="DA14" i="20"/>
  <c r="CY14" i="20"/>
  <c r="CW14" i="20"/>
  <c r="CU14" i="20"/>
  <c r="CS14" i="20"/>
  <c r="CQ14" i="20"/>
  <c r="CO14" i="20"/>
  <c r="CM14" i="20"/>
  <c r="CK14" i="20"/>
  <c r="CI14" i="20"/>
  <c r="CG14" i="20"/>
  <c r="CE14" i="20"/>
  <c r="BD14" i="20"/>
  <c r="E14" i="20"/>
  <c r="GX13" i="20"/>
  <c r="FY13" i="20"/>
  <c r="EZ13" i="20"/>
  <c r="DZ13" i="20"/>
  <c r="EA13" i="20" s="1"/>
  <c r="DY13" i="20"/>
  <c r="DW13" i="20"/>
  <c r="DU13" i="20"/>
  <c r="DS13" i="20"/>
  <c r="DQ13" i="20"/>
  <c r="DO13" i="20"/>
  <c r="DM13" i="20"/>
  <c r="DK13" i="20"/>
  <c r="DI13" i="20"/>
  <c r="DG13" i="20"/>
  <c r="DE13" i="20"/>
  <c r="DC13" i="20"/>
  <c r="DA13" i="20"/>
  <c r="CY13" i="20"/>
  <c r="CW13" i="20"/>
  <c r="CU13" i="20"/>
  <c r="CS13" i="20"/>
  <c r="CQ13" i="20"/>
  <c r="CO13" i="20"/>
  <c r="CM13" i="20"/>
  <c r="CK13" i="20"/>
  <c r="CI13" i="20"/>
  <c r="CG13" i="20"/>
  <c r="CE13" i="20"/>
  <c r="BD13" i="20"/>
  <c r="E13" i="20"/>
  <c r="GX12" i="20"/>
  <c r="FY12" i="20"/>
  <c r="EZ12" i="20"/>
  <c r="DZ12" i="20"/>
  <c r="EA12" i="20" s="1"/>
  <c r="DY12" i="20"/>
  <c r="DW12" i="20"/>
  <c r="DU12" i="20"/>
  <c r="DS12" i="20"/>
  <c r="DQ12" i="20"/>
  <c r="DO12" i="20"/>
  <c r="DM12" i="20"/>
  <c r="DK12" i="20"/>
  <c r="DI12" i="20"/>
  <c r="DG12" i="20"/>
  <c r="DE12" i="20"/>
  <c r="DC12" i="20"/>
  <c r="DA12" i="20"/>
  <c r="CY12" i="20"/>
  <c r="CW12" i="20"/>
  <c r="CU12" i="20"/>
  <c r="CS12" i="20"/>
  <c r="CQ12" i="20"/>
  <c r="CO12" i="20"/>
  <c r="CM12" i="20"/>
  <c r="CK12" i="20"/>
  <c r="CI12" i="20"/>
  <c r="CG12" i="20"/>
  <c r="CE12" i="20"/>
  <c r="BD12" i="20"/>
  <c r="E12" i="20"/>
  <c r="BC12" i="20" s="1"/>
  <c r="GX11" i="20"/>
  <c r="FY11" i="20"/>
  <c r="EZ11" i="20"/>
  <c r="DZ11" i="20"/>
  <c r="EA11" i="20" s="1"/>
  <c r="DY11" i="20"/>
  <c r="DW11" i="20"/>
  <c r="DU11" i="20"/>
  <c r="DS11" i="20"/>
  <c r="DQ11" i="20"/>
  <c r="DO11" i="20"/>
  <c r="DM11" i="20"/>
  <c r="DK11" i="20"/>
  <c r="DI11" i="20"/>
  <c r="DG11" i="20"/>
  <c r="DE11" i="20"/>
  <c r="DC11" i="20"/>
  <c r="DA11" i="20"/>
  <c r="CY11" i="20"/>
  <c r="CW11" i="20"/>
  <c r="CU11" i="20"/>
  <c r="CS11" i="20"/>
  <c r="CQ11" i="20"/>
  <c r="CO11" i="20"/>
  <c r="CM11" i="20"/>
  <c r="CK11" i="20"/>
  <c r="CI11" i="20"/>
  <c r="CG11" i="20"/>
  <c r="CE11" i="20"/>
  <c r="BD11" i="20"/>
  <c r="E11" i="20"/>
  <c r="AS11" i="20" s="1"/>
  <c r="GX10" i="20"/>
  <c r="FY10" i="20"/>
  <c r="EZ10" i="20"/>
  <c r="DZ10" i="20"/>
  <c r="EA10" i="20" s="1"/>
  <c r="DY10" i="20"/>
  <c r="DW10" i="20"/>
  <c r="DU10" i="20"/>
  <c r="DS10" i="20"/>
  <c r="DQ10" i="20"/>
  <c r="DO10" i="20"/>
  <c r="DM10" i="20"/>
  <c r="DK10" i="20"/>
  <c r="DI10" i="20"/>
  <c r="DG10" i="20"/>
  <c r="DE10" i="20"/>
  <c r="DC10" i="20"/>
  <c r="DA10" i="20"/>
  <c r="CY10" i="20"/>
  <c r="CW10" i="20"/>
  <c r="CU10" i="20"/>
  <c r="CS10" i="20"/>
  <c r="CQ10" i="20"/>
  <c r="CO10" i="20"/>
  <c r="CM10" i="20"/>
  <c r="CK10" i="20"/>
  <c r="CI10" i="20"/>
  <c r="CG10" i="20"/>
  <c r="CE10" i="20"/>
  <c r="BD10" i="20"/>
  <c r="E10" i="20"/>
  <c r="GX9" i="20"/>
  <c r="FY9" i="20"/>
  <c r="EZ9" i="20"/>
  <c r="DZ9" i="20"/>
  <c r="EA9" i="20" s="1"/>
  <c r="DY9" i="20"/>
  <c r="DW9" i="20"/>
  <c r="DU9" i="20"/>
  <c r="DS9" i="20"/>
  <c r="DQ9" i="20"/>
  <c r="DO9" i="20"/>
  <c r="DM9" i="20"/>
  <c r="DK9" i="20"/>
  <c r="DI9" i="20"/>
  <c r="DG9" i="20"/>
  <c r="DE9" i="20"/>
  <c r="DC9" i="20"/>
  <c r="DA9" i="20"/>
  <c r="CY9" i="20"/>
  <c r="CW9" i="20"/>
  <c r="CU9" i="20"/>
  <c r="CS9" i="20"/>
  <c r="CQ9" i="20"/>
  <c r="CO9" i="20"/>
  <c r="CM9" i="20"/>
  <c r="CK9" i="20"/>
  <c r="CI9" i="20"/>
  <c r="CG9" i="20"/>
  <c r="CE9" i="20"/>
  <c r="BD9" i="20"/>
  <c r="E9" i="20"/>
  <c r="GX8" i="20"/>
  <c r="FY8" i="20"/>
  <c r="EZ8" i="20"/>
  <c r="DZ8" i="20"/>
  <c r="EA8" i="20" s="1"/>
  <c r="DY8" i="20"/>
  <c r="DW8" i="20"/>
  <c r="DU8" i="20"/>
  <c r="DS8" i="20"/>
  <c r="DQ8" i="20"/>
  <c r="DO8" i="20"/>
  <c r="DM8" i="20"/>
  <c r="DK8" i="20"/>
  <c r="DI8" i="20"/>
  <c r="DG8" i="20"/>
  <c r="DE8" i="20"/>
  <c r="DC8" i="20"/>
  <c r="DA8" i="20"/>
  <c r="CY8" i="20"/>
  <c r="CW8" i="20"/>
  <c r="CU8" i="20"/>
  <c r="CS8" i="20"/>
  <c r="CQ8" i="20"/>
  <c r="CO8" i="20"/>
  <c r="CM8" i="20"/>
  <c r="CK8" i="20"/>
  <c r="CI8" i="20"/>
  <c r="CG8" i="20"/>
  <c r="CE8" i="20"/>
  <c r="BD8" i="20"/>
  <c r="E8" i="20"/>
  <c r="GX7" i="20"/>
  <c r="FY7" i="20"/>
  <c r="EZ7" i="20"/>
  <c r="DZ7" i="20"/>
  <c r="EA7" i="20" s="1"/>
  <c r="DY7" i="20"/>
  <c r="DW7" i="20"/>
  <c r="DU7" i="20"/>
  <c r="DS7" i="20"/>
  <c r="DQ7" i="20"/>
  <c r="DO7" i="20"/>
  <c r="DM7" i="20"/>
  <c r="DK7" i="20"/>
  <c r="DI7" i="20"/>
  <c r="DG7" i="20"/>
  <c r="DE7" i="20"/>
  <c r="DC7" i="20"/>
  <c r="DA7" i="20"/>
  <c r="CY7" i="20"/>
  <c r="CW7" i="20"/>
  <c r="CU7" i="20"/>
  <c r="CS7" i="20"/>
  <c r="CQ7" i="20"/>
  <c r="CO7" i="20"/>
  <c r="CM7" i="20"/>
  <c r="CK7" i="20"/>
  <c r="CI7" i="20"/>
  <c r="CG7" i="20"/>
  <c r="CE7" i="20"/>
  <c r="BD7" i="20"/>
  <c r="E7" i="20"/>
  <c r="EY5" i="20"/>
  <c r="EX5" i="20"/>
  <c r="EW5" i="20"/>
  <c r="EV5" i="20"/>
  <c r="EU5" i="20"/>
  <c r="ET5" i="20"/>
  <c r="ES5" i="20"/>
  <c r="ER5" i="20"/>
  <c r="EQ5" i="20"/>
  <c r="EP5" i="20"/>
  <c r="EO5" i="20"/>
  <c r="EN5" i="20"/>
  <c r="EM5" i="20"/>
  <c r="EL5" i="20"/>
  <c r="EK5" i="20"/>
  <c r="EJ5" i="20"/>
  <c r="EI5" i="20"/>
  <c r="EH5" i="20"/>
  <c r="EG5" i="20"/>
  <c r="EF5" i="20"/>
  <c r="EE5" i="20"/>
  <c r="ED5" i="20"/>
  <c r="EC5" i="20"/>
  <c r="EB5" i="20"/>
  <c r="EA5" i="20"/>
  <c r="DZ5" i="20"/>
  <c r="DY5" i="20"/>
  <c r="DX5" i="20"/>
  <c r="DW5" i="20"/>
  <c r="DV5" i="20"/>
  <c r="DU5" i="20"/>
  <c r="DT5" i="20"/>
  <c r="DS5" i="20"/>
  <c r="DR5" i="20"/>
  <c r="DQ5" i="20"/>
  <c r="DP5" i="20"/>
  <c r="DO5" i="20"/>
  <c r="DN5" i="20"/>
  <c r="DM5" i="20"/>
  <c r="DL5" i="20"/>
  <c r="DK5" i="20"/>
  <c r="DJ5" i="20"/>
  <c r="DI5" i="20"/>
  <c r="DH5" i="20"/>
  <c r="DG5" i="20"/>
  <c r="DF5" i="20"/>
  <c r="DE5" i="20"/>
  <c r="DD5" i="20"/>
  <c r="DC5" i="20"/>
  <c r="DB5" i="20"/>
  <c r="DA5" i="20"/>
  <c r="CZ5" i="20"/>
  <c r="CY5" i="20"/>
  <c r="CX5" i="20"/>
  <c r="CW5" i="20"/>
  <c r="CV5" i="20"/>
  <c r="CU5" i="20"/>
  <c r="CT5" i="20"/>
  <c r="CS5" i="20"/>
  <c r="CR5" i="20"/>
  <c r="CQ5" i="20"/>
  <c r="CP5" i="20"/>
  <c r="CO5" i="20"/>
  <c r="CN5" i="20"/>
  <c r="CM5" i="20"/>
  <c r="CL5" i="20"/>
  <c r="CK5" i="20"/>
  <c r="CJ5" i="20"/>
  <c r="CI5" i="20"/>
  <c r="CH5" i="20"/>
  <c r="CG5" i="20"/>
  <c r="CF5" i="20"/>
  <c r="CE5" i="20"/>
  <c r="CD5" i="20"/>
  <c r="CC5" i="20"/>
  <c r="CB5" i="20"/>
  <c r="CA5" i="20"/>
  <c r="BZ5" i="20"/>
  <c r="BY5" i="20"/>
  <c r="BX5" i="20"/>
  <c r="BW5" i="20"/>
  <c r="BV5" i="20"/>
  <c r="BU5" i="20"/>
  <c r="BT5" i="20"/>
  <c r="BS5" i="20"/>
  <c r="BR5" i="20"/>
  <c r="BQ5" i="20"/>
  <c r="BP5" i="20"/>
  <c r="BO5" i="20"/>
  <c r="BN5" i="20"/>
  <c r="BM5" i="20"/>
  <c r="BL5" i="20"/>
  <c r="BK5" i="20"/>
  <c r="BJ5" i="20"/>
  <c r="BI5" i="20"/>
  <c r="BH5" i="20"/>
  <c r="BG5" i="20"/>
  <c r="BF5" i="20"/>
  <c r="BE5" i="20"/>
  <c r="BD5" i="20"/>
  <c r="BC5" i="20"/>
  <c r="BB5" i="20"/>
  <c r="BA5" i="20"/>
  <c r="AZ5" i="20"/>
  <c r="AY5" i="20"/>
  <c r="AX5" i="20"/>
  <c r="AW5" i="20"/>
  <c r="AV5" i="20"/>
  <c r="AU5" i="20"/>
  <c r="AT5" i="20"/>
  <c r="AS5" i="20"/>
  <c r="AR5" i="20"/>
  <c r="AQ5" i="20"/>
  <c r="AP5" i="20"/>
  <c r="AO5" i="20"/>
  <c r="AN5" i="20"/>
  <c r="AM5" i="20"/>
  <c r="AL5" i="20"/>
  <c r="AK5" i="20"/>
  <c r="AJ5" i="20"/>
  <c r="AI5" i="20"/>
  <c r="AH5" i="20"/>
  <c r="AG5" i="20"/>
  <c r="AF5" i="20"/>
  <c r="AE5" i="20"/>
  <c r="AD5" i="20"/>
  <c r="AC5" i="20"/>
  <c r="AB5" i="20"/>
  <c r="AA5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X1" i="20"/>
  <c r="GW1" i="20"/>
  <c r="GV1" i="20"/>
  <c r="GU1" i="20"/>
  <c r="GT1" i="20"/>
  <c r="GS1" i="20"/>
  <c r="GR1" i="20"/>
  <c r="GQ1" i="20"/>
  <c r="GP1" i="20"/>
  <c r="GO1" i="20"/>
  <c r="GN1" i="20"/>
  <c r="GM1" i="20"/>
  <c r="GL1" i="20"/>
  <c r="GK1" i="20"/>
  <c r="GJ1" i="20"/>
  <c r="GI1" i="20"/>
  <c r="GH1" i="20"/>
  <c r="GG1" i="20"/>
  <c r="GF1" i="20"/>
  <c r="GE1" i="20"/>
  <c r="GD1" i="20"/>
  <c r="GC1" i="20"/>
  <c r="GB1" i="20"/>
  <c r="GA1" i="20"/>
  <c r="FZ1" i="20"/>
  <c r="FY1" i="20"/>
  <c r="FX1" i="20"/>
  <c r="FW1" i="20"/>
  <c r="FV1" i="20"/>
  <c r="FU1" i="20"/>
  <c r="FT1" i="20"/>
  <c r="FS1" i="20"/>
  <c r="FR1" i="20"/>
  <c r="FQ1" i="20"/>
  <c r="FP1" i="20"/>
  <c r="FO1" i="20"/>
  <c r="FN1" i="20"/>
  <c r="FM1" i="20"/>
  <c r="FL1" i="20"/>
  <c r="FK1" i="20"/>
  <c r="FJ1" i="20"/>
  <c r="FI1" i="20"/>
  <c r="FH1" i="20"/>
  <c r="FG1" i="20"/>
  <c r="FF1" i="20"/>
  <c r="FE1" i="20"/>
  <c r="FD1" i="20"/>
  <c r="FC1" i="20"/>
  <c r="FB1" i="20"/>
  <c r="FA1" i="20"/>
  <c r="EZ1" i="20"/>
  <c r="EY1" i="20"/>
  <c r="EX1" i="20"/>
  <c r="EW1" i="20"/>
  <c r="EV1" i="20"/>
  <c r="EU1" i="20"/>
  <c r="ET1" i="20"/>
  <c r="ES1" i="20"/>
  <c r="ER1" i="20"/>
  <c r="EQ1" i="20"/>
  <c r="EP1" i="20"/>
  <c r="EO1" i="20"/>
  <c r="EN1" i="20"/>
  <c r="EM1" i="20"/>
  <c r="EL1" i="20"/>
  <c r="EK1" i="20"/>
  <c r="EJ1" i="20"/>
  <c r="EI1" i="20"/>
  <c r="EH1" i="20"/>
  <c r="EG1" i="20"/>
  <c r="EF1" i="20"/>
  <c r="EE1" i="20"/>
  <c r="ED1" i="20"/>
  <c r="EC1" i="20"/>
  <c r="EB1" i="20"/>
  <c r="EA1" i="20"/>
  <c r="DZ1" i="20"/>
  <c r="DY1" i="20"/>
  <c r="DX1" i="20"/>
  <c r="DW1" i="20"/>
  <c r="DV1" i="20"/>
  <c r="DU1" i="20"/>
  <c r="DT1" i="20"/>
  <c r="DS1" i="20"/>
  <c r="DR1" i="20"/>
  <c r="DQ1" i="20"/>
  <c r="DP1" i="20"/>
  <c r="DO1" i="20"/>
  <c r="DN1" i="20"/>
  <c r="DM1" i="20"/>
  <c r="DL1" i="20"/>
  <c r="DK1" i="20"/>
  <c r="DJ1" i="20"/>
  <c r="DI1" i="20"/>
  <c r="DH1" i="20"/>
  <c r="DG1" i="20"/>
  <c r="DF1" i="20"/>
  <c r="DE1" i="20"/>
  <c r="DD1" i="20"/>
  <c r="DC1" i="20"/>
  <c r="DB1" i="20"/>
  <c r="DA1" i="20"/>
  <c r="CZ1" i="20"/>
  <c r="CY1" i="20"/>
  <c r="CX1" i="20"/>
  <c r="CW1" i="20"/>
  <c r="CV1" i="20"/>
  <c r="CU1" i="20"/>
  <c r="CT1" i="20"/>
  <c r="CS1" i="20"/>
  <c r="CR1" i="20"/>
  <c r="CQ1" i="20"/>
  <c r="CP1" i="20"/>
  <c r="CO1" i="20"/>
  <c r="CN1" i="20"/>
  <c r="CM1" i="20"/>
  <c r="CL1" i="20"/>
  <c r="CK1" i="20"/>
  <c r="CJ1" i="20"/>
  <c r="CI1" i="20"/>
  <c r="CH1" i="20"/>
  <c r="CG1" i="20"/>
  <c r="CF1" i="20"/>
  <c r="CE1" i="20"/>
  <c r="CD1" i="20"/>
  <c r="CC1" i="20"/>
  <c r="CB1" i="20"/>
  <c r="CA1" i="20"/>
  <c r="BZ1" i="20"/>
  <c r="BY1" i="20"/>
  <c r="BX1" i="20"/>
  <c r="BW1" i="20"/>
  <c r="BV1" i="20"/>
  <c r="BU1" i="20"/>
  <c r="BT1" i="20"/>
  <c r="BS1" i="20"/>
  <c r="BR1" i="20"/>
  <c r="BQ1" i="20"/>
  <c r="BP1" i="20"/>
  <c r="BO1" i="20"/>
  <c r="BN1" i="20"/>
  <c r="BM1" i="20"/>
  <c r="BL1" i="20"/>
  <c r="BK1" i="20"/>
  <c r="BJ1" i="20"/>
  <c r="BI1" i="20"/>
  <c r="BH1" i="20"/>
  <c r="BG1" i="20"/>
  <c r="BF1" i="20"/>
  <c r="BE1" i="20"/>
  <c r="BD1" i="20"/>
  <c r="BC1" i="20"/>
  <c r="BB1" i="20"/>
  <c r="BA1" i="20"/>
  <c r="AZ1" i="20"/>
  <c r="AY1" i="20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L89" i="1" l="1"/>
  <c r="N31" i="1"/>
  <c r="J31" i="1" s="1"/>
  <c r="I77" i="1"/>
  <c r="K63" i="1"/>
  <c r="BE12" i="24"/>
  <c r="BE14" i="24"/>
  <c r="BE20" i="24"/>
  <c r="BE19" i="24"/>
  <c r="BE30" i="24"/>
  <c r="BE35" i="24"/>
  <c r="BE24" i="24"/>
  <c r="BE11" i="24"/>
  <c r="BE10" i="24"/>
  <c r="BE27" i="24"/>
  <c r="BE9" i="24"/>
  <c r="BE17" i="24"/>
  <c r="BE33" i="24"/>
  <c r="BE18" i="24"/>
  <c r="I38" i="24"/>
  <c r="BE7" i="24"/>
  <c r="M38" i="24"/>
  <c r="O38" i="24"/>
  <c r="BE26" i="24"/>
  <c r="BE32" i="24"/>
  <c r="S38" i="24"/>
  <c r="Q38" i="24"/>
  <c r="BE31" i="24"/>
  <c r="BE16" i="24"/>
  <c r="BE22" i="24"/>
  <c r="BE23" i="24"/>
  <c r="BE29" i="24"/>
  <c r="BE15" i="24"/>
  <c r="BE28" i="24"/>
  <c r="BE36" i="24"/>
  <c r="BE13" i="24"/>
  <c r="BE34" i="24"/>
  <c r="BE25" i="24"/>
  <c r="BE21" i="24"/>
  <c r="K38" i="24"/>
  <c r="BE8" i="24"/>
  <c r="AA26" i="20"/>
  <c r="AK25" i="20"/>
  <c r="AI26" i="20"/>
  <c r="AS26" i="20"/>
  <c r="AC15" i="21"/>
  <c r="AA29" i="21"/>
  <c r="U16" i="21"/>
  <c r="AE29" i="21"/>
  <c r="AW36" i="21"/>
  <c r="AU26" i="20"/>
  <c r="K26" i="20"/>
  <c r="M26" i="20"/>
  <c r="O26" i="20"/>
  <c r="S26" i="20"/>
  <c r="BE17" i="23"/>
  <c r="BE11" i="23"/>
  <c r="BE34" i="22"/>
  <c r="BE25" i="23"/>
  <c r="BE19" i="23"/>
  <c r="BE31" i="23"/>
  <c r="BE32" i="23"/>
  <c r="BE18" i="23"/>
  <c r="I38" i="23"/>
  <c r="BE24" i="23"/>
  <c r="BE10" i="23"/>
  <c r="BE21" i="22"/>
  <c r="BE13" i="22"/>
  <c r="I38" i="22"/>
  <c r="BE7" i="22"/>
  <c r="BE27" i="22"/>
  <c r="BE14" i="22"/>
  <c r="BE20" i="22"/>
  <c r="BE28" i="22"/>
  <c r="BE35" i="22"/>
  <c r="L34" i="1"/>
  <c r="H63" i="1"/>
  <c r="G77" i="1"/>
  <c r="E63" i="1"/>
  <c r="J77" i="1"/>
  <c r="D77" i="1"/>
  <c r="AI10" i="21"/>
  <c r="AW10" i="21"/>
  <c r="BC10" i="21"/>
  <c r="AE10" i="21"/>
  <c r="S10" i="21"/>
  <c r="AY10" i="21"/>
  <c r="W10" i="21"/>
  <c r="Q10" i="21"/>
  <c r="BA30" i="21"/>
  <c r="Y15" i="21"/>
  <c r="Q16" i="21"/>
  <c r="BC30" i="21"/>
  <c r="Y16" i="21"/>
  <c r="AK16" i="21"/>
  <c r="AS30" i="21"/>
  <c r="AM16" i="21"/>
  <c r="Y29" i="21"/>
  <c r="AG9" i="21"/>
  <c r="K29" i="21"/>
  <c r="AS29" i="21"/>
  <c r="Q36" i="21"/>
  <c r="AM29" i="21"/>
  <c r="I29" i="21"/>
  <c r="AQ29" i="21"/>
  <c r="U15" i="21"/>
  <c r="O29" i="21"/>
  <c r="AU29" i="21"/>
  <c r="Y36" i="21"/>
  <c r="W15" i="21"/>
  <c r="W29" i="21"/>
  <c r="AA36" i="21"/>
  <c r="AM32" i="20"/>
  <c r="AW32" i="20"/>
  <c r="K19" i="20"/>
  <c r="AM19" i="20"/>
  <c r="AG19" i="20"/>
  <c r="I19" i="20"/>
  <c r="AQ19" i="20"/>
  <c r="AC19" i="20"/>
  <c r="M25" i="20"/>
  <c r="AO26" i="20"/>
  <c r="AU20" i="20"/>
  <c r="AG25" i="20"/>
  <c r="I26" i="20"/>
  <c r="AQ26" i="20"/>
  <c r="I20" i="20"/>
  <c r="Y11" i="20"/>
  <c r="K20" i="20"/>
  <c r="AK20" i="20"/>
  <c r="O25" i="20"/>
  <c r="Y26" i="20"/>
  <c r="AY26" i="20"/>
  <c r="W20" i="20"/>
  <c r="AM20" i="20"/>
  <c r="Q25" i="20"/>
  <c r="AY22" i="21"/>
  <c r="AI22" i="21"/>
  <c r="S22" i="21"/>
  <c r="AW22" i="21"/>
  <c r="AG22" i="21"/>
  <c r="Q22" i="21"/>
  <c r="AO22" i="21"/>
  <c r="U22" i="21"/>
  <c r="AE22" i="21"/>
  <c r="K22" i="21"/>
  <c r="AM22" i="21"/>
  <c r="O22" i="21"/>
  <c r="AK22" i="21"/>
  <c r="M22" i="21"/>
  <c r="BC22" i="21"/>
  <c r="BA22" i="21"/>
  <c r="AC22" i="21"/>
  <c r="I22" i="21"/>
  <c r="AQ22" i="21"/>
  <c r="AU22" i="21"/>
  <c r="AA22" i="21"/>
  <c r="Y22" i="21"/>
  <c r="AS22" i="21"/>
  <c r="W22" i="21"/>
  <c r="AW8" i="21"/>
  <c r="AG8" i="21"/>
  <c r="Q8" i="21"/>
  <c r="AU8" i="21"/>
  <c r="AE8" i="21"/>
  <c r="O8" i="21"/>
  <c r="AS8" i="21"/>
  <c r="AC8" i="21"/>
  <c r="M8" i="21"/>
  <c r="AO8" i="21"/>
  <c r="Y8" i="21"/>
  <c r="I8" i="21"/>
  <c r="AM8" i="21"/>
  <c r="AK8" i="21"/>
  <c r="BA8" i="21"/>
  <c r="U8" i="21"/>
  <c r="AY8" i="21"/>
  <c r="AI8" i="21"/>
  <c r="S8" i="21"/>
  <c r="AQ8" i="21"/>
  <c r="AA8" i="21"/>
  <c r="BC8" i="21"/>
  <c r="W8" i="21"/>
  <c r="K8" i="21"/>
  <c r="AU9" i="21"/>
  <c r="AE9" i="21"/>
  <c r="O9" i="21"/>
  <c r="AS9" i="21"/>
  <c r="AC9" i="21"/>
  <c r="M9" i="21"/>
  <c r="AQ9" i="21"/>
  <c r="AA9" i="21"/>
  <c r="K9" i="21"/>
  <c r="BC9" i="21"/>
  <c r="AM9" i="21"/>
  <c r="W9" i="21"/>
  <c r="AK9" i="21"/>
  <c r="AO9" i="21"/>
  <c r="U23" i="21"/>
  <c r="Q9" i="21"/>
  <c r="AW9" i="21"/>
  <c r="AG10" i="21"/>
  <c r="AO15" i="21"/>
  <c r="AW23" i="21"/>
  <c r="AG23" i="21"/>
  <c r="Q23" i="21"/>
  <c r="AU23" i="21"/>
  <c r="AE23" i="21"/>
  <c r="O23" i="21"/>
  <c r="BC23" i="21"/>
  <c r="AI23" i="21"/>
  <c r="K23" i="21"/>
  <c r="Y23" i="21"/>
  <c r="BA23" i="21"/>
  <c r="AC23" i="21"/>
  <c r="I23" i="21"/>
  <c r="AY23" i="21"/>
  <c r="AA23" i="21"/>
  <c r="AS23" i="21"/>
  <c r="AQ23" i="21"/>
  <c r="W23" i="21"/>
  <c r="M23" i="21"/>
  <c r="EA7" i="21"/>
  <c r="S23" i="21"/>
  <c r="I9" i="21"/>
  <c r="S9" i="21"/>
  <c r="AY9" i="21"/>
  <c r="AU16" i="21"/>
  <c r="AE16" i="21"/>
  <c r="O16" i="21"/>
  <c r="AS16" i="21"/>
  <c r="AC16" i="21"/>
  <c r="M16" i="21"/>
  <c r="BC16" i="21"/>
  <c r="AI16" i="21"/>
  <c r="K16" i="21"/>
  <c r="BA16" i="21"/>
  <c r="AG16" i="21"/>
  <c r="I16" i="21"/>
  <c r="AY16" i="21"/>
  <c r="AA16" i="21"/>
  <c r="AQ16" i="21"/>
  <c r="W16" i="21"/>
  <c r="AW16" i="21"/>
  <c r="AM23" i="21"/>
  <c r="AY30" i="21"/>
  <c r="AI30" i="21"/>
  <c r="S30" i="21"/>
  <c r="AW30" i="21"/>
  <c r="AG30" i="21"/>
  <c r="Q30" i="21"/>
  <c r="AU30" i="21"/>
  <c r="AE30" i="21"/>
  <c r="O30" i="21"/>
  <c r="AQ30" i="21"/>
  <c r="U30" i="21"/>
  <c r="AO30" i="21"/>
  <c r="M30" i="21"/>
  <c r="AM30" i="21"/>
  <c r="K30" i="21"/>
  <c r="AK30" i="21"/>
  <c r="I30" i="21"/>
  <c r="AC30" i="21"/>
  <c r="AO23" i="21"/>
  <c r="W30" i="21"/>
  <c r="U9" i="21"/>
  <c r="BA9" i="21"/>
  <c r="AS10" i="21"/>
  <c r="AC10" i="21"/>
  <c r="M10" i="21"/>
  <c r="AQ10" i="21"/>
  <c r="AA10" i="21"/>
  <c r="K10" i="21"/>
  <c r="AO10" i="21"/>
  <c r="Y10" i="21"/>
  <c r="I10" i="21"/>
  <c r="BA10" i="21"/>
  <c r="AK10" i="21"/>
  <c r="U10" i="21"/>
  <c r="AM10" i="21"/>
  <c r="AW15" i="21"/>
  <c r="AG15" i="21"/>
  <c r="Q15" i="21"/>
  <c r="AU15" i="21"/>
  <c r="AE15" i="21"/>
  <c r="O15" i="21"/>
  <c r="AM15" i="21"/>
  <c r="S15" i="21"/>
  <c r="AK15" i="21"/>
  <c r="M15" i="21"/>
  <c r="BC15" i="21"/>
  <c r="AI15" i="21"/>
  <c r="K15" i="21"/>
  <c r="AY15" i="21"/>
  <c r="AA15" i="21"/>
  <c r="AS15" i="21"/>
  <c r="Y9" i="21"/>
  <c r="O10" i="21"/>
  <c r="AU10" i="21"/>
  <c r="I15" i="21"/>
  <c r="BA15" i="21"/>
  <c r="S16" i="21"/>
  <c r="Y30" i="21"/>
  <c r="BA29" i="21"/>
  <c r="AK29" i="21"/>
  <c r="U29" i="21"/>
  <c r="AY29" i="21"/>
  <c r="AI29" i="21"/>
  <c r="S29" i="21"/>
  <c r="AW29" i="21"/>
  <c r="AG29" i="21"/>
  <c r="Q29" i="21"/>
  <c r="AC29" i="21"/>
  <c r="BC36" i="21"/>
  <c r="AM36" i="21"/>
  <c r="W36" i="21"/>
  <c r="BA36" i="21"/>
  <c r="AK36" i="21"/>
  <c r="U36" i="21"/>
  <c r="AY36" i="21"/>
  <c r="AI36" i="21"/>
  <c r="S36" i="21"/>
  <c r="AU36" i="21"/>
  <c r="AE36" i="21"/>
  <c r="O36" i="21"/>
  <c r="AG36" i="21"/>
  <c r="I36" i="21"/>
  <c r="AO36" i="21"/>
  <c r="M29" i="21"/>
  <c r="AO29" i="21"/>
  <c r="K36" i="21"/>
  <c r="AQ36" i="21"/>
  <c r="M36" i="21"/>
  <c r="AS36" i="21"/>
  <c r="AY11" i="20"/>
  <c r="AI11" i="20"/>
  <c r="S11" i="20"/>
  <c r="AG11" i="20"/>
  <c r="Q11" i="20"/>
  <c r="AW11" i="20"/>
  <c r="AU11" i="20"/>
  <c r="AE11" i="20"/>
  <c r="O11" i="20"/>
  <c r="AQ11" i="20"/>
  <c r="U11" i="20"/>
  <c r="AM11" i="20"/>
  <c r="K11" i="20"/>
  <c r="AK11" i="20"/>
  <c r="I11" i="20"/>
  <c r="BC11" i="20"/>
  <c r="AO11" i="20"/>
  <c r="M11" i="20"/>
  <c r="AA11" i="20"/>
  <c r="AC11" i="20"/>
  <c r="W11" i="20"/>
  <c r="AW12" i="20"/>
  <c r="AG12" i="20"/>
  <c r="Q12" i="20"/>
  <c r="AE12" i="20"/>
  <c r="AU12" i="20"/>
  <c r="O12" i="20"/>
  <c r="AS12" i="20"/>
  <c r="AC12" i="20"/>
  <c r="M12" i="20"/>
  <c r="AY12" i="20"/>
  <c r="W12" i="20"/>
  <c r="AM12" i="20"/>
  <c r="AQ12" i="20"/>
  <c r="U12" i="20"/>
  <c r="AO12" i="20"/>
  <c r="S12" i="20"/>
  <c r="K12" i="20"/>
  <c r="AK12" i="20"/>
  <c r="I12" i="20"/>
  <c r="AI12" i="20"/>
  <c r="AS33" i="20"/>
  <c r="AC33" i="20"/>
  <c r="M33" i="20"/>
  <c r="AO33" i="20"/>
  <c r="Y33" i="20"/>
  <c r="I33" i="20"/>
  <c r="BC33" i="20"/>
  <c r="AM33" i="20"/>
  <c r="W33" i="20"/>
  <c r="BA33" i="20"/>
  <c r="AK33" i="20"/>
  <c r="U33" i="20"/>
  <c r="AY33" i="20"/>
  <c r="AI33" i="20"/>
  <c r="S33" i="20"/>
  <c r="AE33" i="20"/>
  <c r="AA33" i="20"/>
  <c r="Q33" i="20"/>
  <c r="K33" i="20"/>
  <c r="AW33" i="20"/>
  <c r="AU33" i="20"/>
  <c r="AQ33" i="20"/>
  <c r="AG33" i="20"/>
  <c r="O33" i="20"/>
  <c r="Y12" i="20"/>
  <c r="BA11" i="20"/>
  <c r="AA12" i="20"/>
  <c r="BA12" i="20"/>
  <c r="BC18" i="20"/>
  <c r="AM18" i="20"/>
  <c r="W18" i="20"/>
  <c r="BA18" i="20"/>
  <c r="AK18" i="20"/>
  <c r="U18" i="20"/>
  <c r="AW18" i="20"/>
  <c r="AG18" i="20"/>
  <c r="Q18" i="20"/>
  <c r="AY18" i="20"/>
  <c r="AA18" i="20"/>
  <c r="AU18" i="20"/>
  <c r="Y18" i="20"/>
  <c r="AS18" i="20"/>
  <c r="S18" i="20"/>
  <c r="AQ18" i="20"/>
  <c r="M32" i="20"/>
  <c r="BC32" i="20"/>
  <c r="K18" i="20"/>
  <c r="BA19" i="20"/>
  <c r="AK19" i="20"/>
  <c r="U19" i="20"/>
  <c r="AY19" i="20"/>
  <c r="AI19" i="20"/>
  <c r="S19" i="20"/>
  <c r="AU19" i="20"/>
  <c r="AE19" i="20"/>
  <c r="O19" i="20"/>
  <c r="BC19" i="20"/>
  <c r="AA19" i="20"/>
  <c r="AW19" i="20"/>
  <c r="Y19" i="20"/>
  <c r="AS19" i="20"/>
  <c r="W19" i="20"/>
  <c r="AO19" i="20"/>
  <c r="AY20" i="20"/>
  <c r="AI20" i="20"/>
  <c r="S20" i="20"/>
  <c r="AW20" i="20"/>
  <c r="AG20" i="20"/>
  <c r="Q20" i="20"/>
  <c r="AS20" i="20"/>
  <c r="AC20" i="20"/>
  <c r="M20" i="20"/>
  <c r="AE20" i="20"/>
  <c r="BC20" i="20"/>
  <c r="AA20" i="20"/>
  <c r="BA20" i="20"/>
  <c r="Y20" i="20"/>
  <c r="AO20" i="20"/>
  <c r="Q32" i="20"/>
  <c r="AO18" i="20"/>
  <c r="AY32" i="20"/>
  <c r="S32" i="20"/>
  <c r="O18" i="20"/>
  <c r="W32" i="20"/>
  <c r="AC18" i="20"/>
  <c r="M19" i="20"/>
  <c r="O20" i="20"/>
  <c r="AO25" i="20"/>
  <c r="Y25" i="20"/>
  <c r="I25" i="20"/>
  <c r="BC25" i="20"/>
  <c r="AM25" i="20"/>
  <c r="W25" i="20"/>
  <c r="AY25" i="20"/>
  <c r="AI25" i="20"/>
  <c r="S25" i="20"/>
  <c r="BA25" i="20"/>
  <c r="AC25" i="20"/>
  <c r="AW25" i="20"/>
  <c r="AA25" i="20"/>
  <c r="AU25" i="20"/>
  <c r="U25" i="20"/>
  <c r="AQ25" i="20"/>
  <c r="U36" i="20"/>
  <c r="AU32" i="20"/>
  <c r="AE32" i="20"/>
  <c r="O32" i="20"/>
  <c r="AQ32" i="20"/>
  <c r="AA32" i="20"/>
  <c r="K32" i="20"/>
  <c r="AO32" i="20"/>
  <c r="Y32" i="20"/>
  <c r="I32" i="20"/>
  <c r="BA32" i="20"/>
  <c r="AK32" i="20"/>
  <c r="U32" i="20"/>
  <c r="AI32" i="20"/>
  <c r="AG32" i="20"/>
  <c r="AC32" i="20"/>
  <c r="I18" i="20"/>
  <c r="M18" i="20"/>
  <c r="AE18" i="20"/>
  <c r="Q19" i="20"/>
  <c r="U20" i="20"/>
  <c r="K25" i="20"/>
  <c r="AS25" i="20"/>
  <c r="AS32" i="20"/>
  <c r="BC26" i="20"/>
  <c r="AM26" i="20"/>
  <c r="W26" i="20"/>
  <c r="BA26" i="20"/>
  <c r="AK26" i="20"/>
  <c r="U26" i="20"/>
  <c r="AW26" i="20"/>
  <c r="AG26" i="20"/>
  <c r="Q26" i="20"/>
  <c r="AC26" i="20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O22" i="7"/>
  <c r="M24" i="7"/>
  <c r="K29" i="7"/>
  <c r="I36" i="7"/>
  <c r="I29" i="7"/>
  <c r="I8" i="7"/>
  <c r="K37" i="1"/>
  <c r="K66" i="1" s="1"/>
  <c r="K38" i="1"/>
  <c r="K67" i="1" s="1"/>
  <c r="K39" i="1"/>
  <c r="K68" i="1" s="1"/>
  <c r="K40" i="1"/>
  <c r="K69" i="1" s="1"/>
  <c r="K41" i="1"/>
  <c r="K70" i="1" s="1"/>
  <c r="K42" i="1"/>
  <c r="K71" i="1" s="1"/>
  <c r="K43" i="1"/>
  <c r="K72" i="1" s="1"/>
  <c r="K44" i="1"/>
  <c r="K73" i="1" s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K65" i="1" s="1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E21" i="8"/>
  <c r="C21" i="8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S34" i="20"/>
  <c r="O30" i="7"/>
  <c r="H38" i="7"/>
  <c r="E38" i="7"/>
  <c r="C38" i="7"/>
  <c r="GX36" i="7"/>
  <c r="FY36" i="7"/>
  <c r="EZ36" i="7"/>
  <c r="DZ36" i="7"/>
  <c r="EA36" i="7" s="1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M36" i="7" s="1"/>
  <c r="GX35" i="7"/>
  <c r="FY35" i="7"/>
  <c r="EZ35" i="7"/>
  <c r="DZ35" i="7"/>
  <c r="EA35" i="7" s="1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E34" i="7"/>
  <c r="GX33" i="7"/>
  <c r="FY33" i="7"/>
  <c r="EZ33" i="7"/>
  <c r="DZ33" i="7"/>
  <c r="EA33" i="7" s="1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GX31" i="7"/>
  <c r="FY31" i="7"/>
  <c r="EZ31" i="7"/>
  <c r="DZ31" i="7"/>
  <c r="EA31" i="7" s="1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E30" i="7"/>
  <c r="M30" i="7" s="1"/>
  <c r="GX29" i="7"/>
  <c r="FY29" i="7"/>
  <c r="EZ29" i="7"/>
  <c r="DZ29" i="7"/>
  <c r="EA29" i="7" s="1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O29" i="7" s="1"/>
  <c r="GX28" i="7"/>
  <c r="FY28" i="7"/>
  <c r="EZ28" i="7"/>
  <c r="DZ28" i="7"/>
  <c r="EA28" i="7" s="1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GX27" i="7"/>
  <c r="FY27" i="7"/>
  <c r="EZ27" i="7"/>
  <c r="DZ27" i="7"/>
  <c r="EA27" i="7" s="1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E26" i="7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U23" i="7" s="1"/>
  <c r="W23" i="7" s="1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E22" i="7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E18" i="7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I15" i="7" s="1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E14" i="7"/>
  <c r="I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Q13" i="7" s="1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E10" i="7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S9" i="7" s="1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O8" i="7" s="1"/>
  <c r="GX7" i="7"/>
  <c r="FY7" i="7"/>
  <c r="EZ7" i="7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AO33" i="23" l="1"/>
  <c r="AO37" i="23"/>
  <c r="AO37" i="22"/>
  <c r="AO33" i="22"/>
  <c r="AO14" i="23"/>
  <c r="AO9" i="23"/>
  <c r="AO27" i="23"/>
  <c r="AO18" i="22"/>
  <c r="AO34" i="23"/>
  <c r="AO20" i="23"/>
  <c r="AO21" i="23"/>
  <c r="AO24" i="22"/>
  <c r="AO36" i="22"/>
  <c r="AO30" i="22"/>
  <c r="AO25" i="22"/>
  <c r="AO12" i="22"/>
  <c r="AO19" i="22"/>
  <c r="AO22" i="22"/>
  <c r="AO16" i="23"/>
  <c r="AO26" i="23"/>
  <c r="AO23" i="23"/>
  <c r="AO12" i="23"/>
  <c r="AO15" i="23"/>
  <c r="AO22" i="23"/>
  <c r="AO35" i="23"/>
  <c r="AO26" i="22"/>
  <c r="AO15" i="22"/>
  <c r="AO23" i="22"/>
  <c r="AO17" i="22"/>
  <c r="AO8" i="23"/>
  <c r="AO36" i="23"/>
  <c r="AO29" i="23"/>
  <c r="AO29" i="22"/>
  <c r="AO10" i="22"/>
  <c r="AO32" i="22"/>
  <c r="AO8" i="22"/>
  <c r="AO16" i="22"/>
  <c r="AO28" i="23"/>
  <c r="AO7" i="23"/>
  <c r="AO11" i="22"/>
  <c r="AO30" i="23"/>
  <c r="AO13" i="23"/>
  <c r="AO9" i="22"/>
  <c r="AO31" i="22"/>
  <c r="AA11" i="21"/>
  <c r="AA37" i="23"/>
  <c r="AA37" i="22"/>
  <c r="AA34" i="23"/>
  <c r="AA22" i="23"/>
  <c r="AA32" i="22"/>
  <c r="AA36" i="22"/>
  <c r="AA30" i="22"/>
  <c r="AA24" i="22"/>
  <c r="AA33" i="22"/>
  <c r="AA8" i="22"/>
  <c r="AA11" i="22"/>
  <c r="AA22" i="22"/>
  <c r="AA15" i="22"/>
  <c r="AA21" i="23"/>
  <c r="AA26" i="23"/>
  <c r="AA19" i="22"/>
  <c r="AA23" i="22"/>
  <c r="AA26" i="22"/>
  <c r="AA17" i="22"/>
  <c r="AA8" i="23"/>
  <c r="AA13" i="23"/>
  <c r="AA15" i="23"/>
  <c r="AA36" i="23"/>
  <c r="AA30" i="23"/>
  <c r="AA27" i="23"/>
  <c r="AA9" i="22"/>
  <c r="AA10" i="22"/>
  <c r="AA28" i="23"/>
  <c r="AA14" i="23"/>
  <c r="AA9" i="23"/>
  <c r="AA23" i="23"/>
  <c r="AA16" i="22"/>
  <c r="AA31" i="22"/>
  <c r="AA29" i="23"/>
  <c r="AA20" i="23"/>
  <c r="AA16" i="23"/>
  <c r="AA12" i="23"/>
  <c r="AA7" i="23"/>
  <c r="AA18" i="22"/>
  <c r="AA35" i="23"/>
  <c r="AA25" i="22"/>
  <c r="AA12" i="22"/>
  <c r="AA29" i="22"/>
  <c r="AA33" i="23"/>
  <c r="AQ37" i="22"/>
  <c r="AQ37" i="23"/>
  <c r="AQ8" i="22"/>
  <c r="AQ7" i="23"/>
  <c r="AQ12" i="23"/>
  <c r="AQ22" i="22"/>
  <c r="AQ29" i="23"/>
  <c r="AQ26" i="23"/>
  <c r="AQ16" i="23"/>
  <c r="AQ32" i="22"/>
  <c r="AQ19" i="22"/>
  <c r="AQ23" i="22"/>
  <c r="AQ15" i="23"/>
  <c r="AQ8" i="23"/>
  <c r="AQ36" i="23"/>
  <c r="AQ30" i="23"/>
  <c r="AQ27" i="23"/>
  <c r="AQ16" i="22"/>
  <c r="AQ9" i="23"/>
  <c r="AQ11" i="22"/>
  <c r="AQ31" i="22"/>
  <c r="AQ13" i="23"/>
  <c r="AQ24" i="22"/>
  <c r="AQ14" i="23"/>
  <c r="AQ20" i="23"/>
  <c r="AQ28" i="23"/>
  <c r="AQ18" i="22"/>
  <c r="AQ15" i="22"/>
  <c r="AQ10" i="22"/>
  <c r="AQ26" i="22"/>
  <c r="AQ30" i="22"/>
  <c r="AQ29" i="22"/>
  <c r="AQ33" i="23"/>
  <c r="AQ36" i="22"/>
  <c r="AQ25" i="22"/>
  <c r="AQ12" i="22"/>
  <c r="AQ22" i="23"/>
  <c r="AQ34" i="23"/>
  <c r="AQ9" i="22"/>
  <c r="AQ23" i="23"/>
  <c r="AQ35" i="23"/>
  <c r="AQ21" i="23"/>
  <c r="AQ33" i="22"/>
  <c r="AQ17" i="22"/>
  <c r="AI27" i="20"/>
  <c r="AI37" i="23"/>
  <c r="AI37" i="22"/>
  <c r="AI35" i="23"/>
  <c r="AI36" i="23"/>
  <c r="AI29" i="22"/>
  <c r="AI23" i="22"/>
  <c r="AI36" i="22"/>
  <c r="AI17" i="22"/>
  <c r="AI33" i="22"/>
  <c r="AI21" i="23"/>
  <c r="AI9" i="22"/>
  <c r="AI8" i="22"/>
  <c r="AI26" i="22"/>
  <c r="AI34" i="23"/>
  <c r="AI29" i="23"/>
  <c r="AI8" i="23"/>
  <c r="AI13" i="23"/>
  <c r="AI14" i="23"/>
  <c r="AI7" i="23"/>
  <c r="AI12" i="22"/>
  <c r="AI11" i="22"/>
  <c r="AI30" i="22"/>
  <c r="AI25" i="22"/>
  <c r="AI33" i="23"/>
  <c r="AI20" i="23"/>
  <c r="AI31" i="22"/>
  <c r="AI30" i="23"/>
  <c r="AI12" i="23"/>
  <c r="AI28" i="23"/>
  <c r="AI19" i="22"/>
  <c r="AI23" i="23"/>
  <c r="AI15" i="22"/>
  <c r="AI10" i="22"/>
  <c r="AI22" i="23"/>
  <c r="AI24" i="22"/>
  <c r="AI16" i="23"/>
  <c r="AI18" i="22"/>
  <c r="AI15" i="23"/>
  <c r="AI9" i="23"/>
  <c r="AI26" i="23"/>
  <c r="AI27" i="23"/>
  <c r="AI16" i="22"/>
  <c r="AI32" i="22"/>
  <c r="AI22" i="22"/>
  <c r="Y37" i="22"/>
  <c r="Y37" i="23"/>
  <c r="Y21" i="23"/>
  <c r="Y32" i="22"/>
  <c r="Y36" i="23"/>
  <c r="Y30" i="23"/>
  <c r="Y27" i="23"/>
  <c r="Y33" i="23"/>
  <c r="Y8" i="23"/>
  <c r="Y34" i="23"/>
  <c r="Y12" i="23"/>
  <c r="Y25" i="22"/>
  <c r="Y36" i="22"/>
  <c r="Y17" i="22"/>
  <c r="Y30" i="22"/>
  <c r="Y20" i="23"/>
  <c r="Y14" i="23"/>
  <c r="Y29" i="23"/>
  <c r="Y26" i="22"/>
  <c r="Y16" i="22"/>
  <c r="Y15" i="22"/>
  <c r="Y12" i="22"/>
  <c r="Y19" i="22"/>
  <c r="Y22" i="22"/>
  <c r="Y26" i="23"/>
  <c r="Y23" i="23"/>
  <c r="Y35" i="23"/>
  <c r="Y9" i="22"/>
  <c r="Y23" i="22"/>
  <c r="Y9" i="23"/>
  <c r="Y10" i="22"/>
  <c r="Y33" i="22"/>
  <c r="Y16" i="23"/>
  <c r="Y18" i="22"/>
  <c r="Y13" i="23"/>
  <c r="Y7" i="23"/>
  <c r="Y28" i="23"/>
  <c r="Y11" i="22"/>
  <c r="Y31" i="22"/>
  <c r="Y24" i="22"/>
  <c r="Y22" i="23"/>
  <c r="Y29" i="22"/>
  <c r="Y15" i="23"/>
  <c r="Y8" i="22"/>
  <c r="Y23" i="7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C37" i="23"/>
  <c r="AC37" i="22"/>
  <c r="AC8" i="23"/>
  <c r="AC7" i="23"/>
  <c r="AC32" i="22"/>
  <c r="AC19" i="22"/>
  <c r="AC23" i="22"/>
  <c r="AC20" i="23"/>
  <c r="AC34" i="23"/>
  <c r="AC30" i="23"/>
  <c r="AC27" i="23"/>
  <c r="AC29" i="23"/>
  <c r="AC24" i="22"/>
  <c r="AC12" i="22"/>
  <c r="AC9" i="22"/>
  <c r="AC25" i="22"/>
  <c r="AC16" i="23"/>
  <c r="AC28" i="23"/>
  <c r="AC26" i="23"/>
  <c r="AC33" i="23"/>
  <c r="AC16" i="22"/>
  <c r="AC18" i="22"/>
  <c r="AC31" i="22"/>
  <c r="AC10" i="22"/>
  <c r="AC23" i="23"/>
  <c r="AC13" i="23"/>
  <c r="AC35" i="23"/>
  <c r="AC29" i="22"/>
  <c r="AC11" i="22"/>
  <c r="AC26" i="22"/>
  <c r="AC15" i="23"/>
  <c r="AC36" i="23"/>
  <c r="AC30" i="22"/>
  <c r="AC9" i="23"/>
  <c r="AC17" i="22"/>
  <c r="AC33" i="22"/>
  <c r="AC15" i="22"/>
  <c r="AC22" i="22"/>
  <c r="AC8" i="22"/>
  <c r="AC14" i="23"/>
  <c r="AC21" i="23"/>
  <c r="AC36" i="22"/>
  <c r="AC12" i="23"/>
  <c r="AC22" i="23"/>
  <c r="AS37" i="23"/>
  <c r="AS37" i="22"/>
  <c r="AS9" i="23"/>
  <c r="AS23" i="23"/>
  <c r="AS34" i="23"/>
  <c r="AS30" i="23"/>
  <c r="AS27" i="23"/>
  <c r="AS15" i="23"/>
  <c r="AS21" i="23"/>
  <c r="AS32" i="22"/>
  <c r="AS12" i="22"/>
  <c r="AS9" i="22"/>
  <c r="AS16" i="23"/>
  <c r="AS23" i="22"/>
  <c r="AS14" i="23"/>
  <c r="AS26" i="23"/>
  <c r="AS7" i="23"/>
  <c r="AS15" i="22"/>
  <c r="AS18" i="22"/>
  <c r="AS31" i="22"/>
  <c r="AS8" i="22"/>
  <c r="AS13" i="23"/>
  <c r="AS29" i="23"/>
  <c r="AS16" i="22"/>
  <c r="AS24" i="22"/>
  <c r="AS28" i="23"/>
  <c r="AS35" i="23"/>
  <c r="AS11" i="22"/>
  <c r="AS36" i="23"/>
  <c r="AS33" i="22"/>
  <c r="AS20" i="23"/>
  <c r="AS19" i="22"/>
  <c r="AS25" i="22"/>
  <c r="AS8" i="23"/>
  <c r="AS33" i="23"/>
  <c r="AS10" i="22"/>
  <c r="AS30" i="22"/>
  <c r="AS22" i="23"/>
  <c r="AS17" i="22"/>
  <c r="AS36" i="22"/>
  <c r="AS29" i="22"/>
  <c r="AS26" i="22"/>
  <c r="AS12" i="23"/>
  <c r="AS22" i="22"/>
  <c r="AG37" i="23"/>
  <c r="AG37" i="22"/>
  <c r="AG7" i="23"/>
  <c r="AG34" i="23"/>
  <c r="AG22" i="22"/>
  <c r="AG18" i="22"/>
  <c r="AG23" i="22"/>
  <c r="AG31" i="22"/>
  <c r="AG24" i="22"/>
  <c r="AG32" i="22"/>
  <c r="AG33" i="22"/>
  <c r="AG13" i="23"/>
  <c r="AG15" i="23"/>
  <c r="AG28" i="23"/>
  <c r="AG10" i="22"/>
  <c r="AG17" i="22"/>
  <c r="AG23" i="23"/>
  <c r="AG9" i="23"/>
  <c r="AG35" i="23"/>
  <c r="AG25" i="22"/>
  <c r="AG15" i="22"/>
  <c r="AG36" i="22"/>
  <c r="AG8" i="23"/>
  <c r="AG29" i="23"/>
  <c r="AG21" i="23"/>
  <c r="AG16" i="22"/>
  <c r="AG26" i="22"/>
  <c r="AG22" i="23"/>
  <c r="AG16" i="23"/>
  <c r="AG12" i="22"/>
  <c r="AG33" i="23"/>
  <c r="AG9" i="22"/>
  <c r="AG14" i="23"/>
  <c r="AG11" i="22"/>
  <c r="AG12" i="23"/>
  <c r="AG30" i="22"/>
  <c r="AG19" i="22"/>
  <c r="AG36" i="23"/>
  <c r="AG29" i="22"/>
  <c r="AG26" i="23"/>
  <c r="AG20" i="23"/>
  <c r="AG30" i="23"/>
  <c r="AG27" i="23"/>
  <c r="AG8" i="22"/>
  <c r="AE16" i="20"/>
  <c r="AE37" i="23"/>
  <c r="AE37" i="22"/>
  <c r="AE26" i="23"/>
  <c r="AE23" i="23"/>
  <c r="AE11" i="22"/>
  <c r="AE19" i="22"/>
  <c r="AE24" i="22"/>
  <c r="AE15" i="23"/>
  <c r="AE16" i="23"/>
  <c r="AE9" i="23"/>
  <c r="AE13" i="23"/>
  <c r="AE36" i="23"/>
  <c r="AE14" i="23"/>
  <c r="AE8" i="22"/>
  <c r="AE15" i="22"/>
  <c r="AE31" i="22"/>
  <c r="AE27" i="23"/>
  <c r="AE29" i="22"/>
  <c r="AE17" i="22"/>
  <c r="AE10" i="22"/>
  <c r="AE25" i="22"/>
  <c r="AE33" i="22"/>
  <c r="AE20" i="23"/>
  <c r="AE28" i="23"/>
  <c r="AE22" i="23"/>
  <c r="AE29" i="23"/>
  <c r="AE21" i="23"/>
  <c r="AE35" i="23"/>
  <c r="AE36" i="22"/>
  <c r="AE30" i="22"/>
  <c r="AE32" i="22"/>
  <c r="AE23" i="22"/>
  <c r="AE26" i="22"/>
  <c r="AE22" i="22"/>
  <c r="AE12" i="23"/>
  <c r="AE7" i="23"/>
  <c r="AE9" i="22"/>
  <c r="AE18" i="22"/>
  <c r="AE34" i="23"/>
  <c r="AE8" i="23"/>
  <c r="AE33" i="23"/>
  <c r="AE12" i="22"/>
  <c r="AE16" i="22"/>
  <c r="AE30" i="23"/>
  <c r="AU30" i="20"/>
  <c r="AU23" i="23"/>
  <c r="AU37" i="23"/>
  <c r="AU37" i="22"/>
  <c r="AU22" i="22"/>
  <c r="AU32" i="22"/>
  <c r="AU26" i="22"/>
  <c r="AU29" i="23"/>
  <c r="AU36" i="23"/>
  <c r="AU23" i="22"/>
  <c r="AU17" i="22"/>
  <c r="AU16" i="22"/>
  <c r="AU24" i="22"/>
  <c r="AU14" i="23"/>
  <c r="AU9" i="23"/>
  <c r="AU20" i="23"/>
  <c r="AU28" i="23"/>
  <c r="AU35" i="23"/>
  <c r="AU9" i="22"/>
  <c r="AU8" i="22"/>
  <c r="AU12" i="23"/>
  <c r="AU13" i="23"/>
  <c r="AU36" i="22"/>
  <c r="AU30" i="22"/>
  <c r="AU25" i="22"/>
  <c r="AU33" i="22"/>
  <c r="AU15" i="22"/>
  <c r="AU30" i="23"/>
  <c r="AU8" i="23"/>
  <c r="AU15" i="23"/>
  <c r="AU16" i="23"/>
  <c r="AU27" i="23"/>
  <c r="AU10" i="22"/>
  <c r="AU11" i="22"/>
  <c r="AU12" i="22"/>
  <c r="AU22" i="23"/>
  <c r="AU7" i="23"/>
  <c r="AU29" i="22"/>
  <c r="AU26" i="23"/>
  <c r="AU21" i="23"/>
  <c r="AU18" i="22"/>
  <c r="AU31" i="22"/>
  <c r="AU19" i="22"/>
  <c r="AU34" i="23"/>
  <c r="AU33" i="23"/>
  <c r="AK13" i="20"/>
  <c r="AK37" i="22"/>
  <c r="AK37" i="23"/>
  <c r="AK20" i="23"/>
  <c r="AK21" i="23"/>
  <c r="AK8" i="22"/>
  <c r="AK25" i="22"/>
  <c r="AK8" i="23"/>
  <c r="AK12" i="23"/>
  <c r="AK29" i="23"/>
  <c r="AK24" i="22"/>
  <c r="AK15" i="23"/>
  <c r="AK35" i="23"/>
  <c r="AK9" i="23"/>
  <c r="AK18" i="22"/>
  <c r="AK31" i="22"/>
  <c r="AK26" i="22"/>
  <c r="AK36" i="23"/>
  <c r="AK15" i="22"/>
  <c r="AK27" i="23"/>
  <c r="AK22" i="23"/>
  <c r="AK33" i="23"/>
  <c r="AK29" i="22"/>
  <c r="AK34" i="23"/>
  <c r="AK19" i="22"/>
  <c r="AK30" i="22"/>
  <c r="AK33" i="22"/>
  <c r="AK26" i="23"/>
  <c r="AK7" i="23"/>
  <c r="AK22" i="22"/>
  <c r="AK17" i="22"/>
  <c r="AK10" i="22"/>
  <c r="AK16" i="23"/>
  <c r="AK14" i="23"/>
  <c r="AK13" i="23"/>
  <c r="AK12" i="22"/>
  <c r="AK16" i="22"/>
  <c r="AK9" i="22"/>
  <c r="AK36" i="22"/>
  <c r="AK11" i="22"/>
  <c r="AK23" i="23"/>
  <c r="AK30" i="23"/>
  <c r="AK23" i="22"/>
  <c r="AK32" i="22"/>
  <c r="AK28" i="23"/>
  <c r="AW23" i="20"/>
  <c r="AW37" i="23"/>
  <c r="AW37" i="22"/>
  <c r="AW25" i="22"/>
  <c r="AW13" i="23"/>
  <c r="AW15" i="23"/>
  <c r="AW22" i="23"/>
  <c r="AW16" i="23"/>
  <c r="AW28" i="23"/>
  <c r="AW23" i="23"/>
  <c r="AW35" i="23"/>
  <c r="AW15" i="22"/>
  <c r="AW36" i="22"/>
  <c r="AW24" i="22"/>
  <c r="AW32" i="22"/>
  <c r="AW33" i="22"/>
  <c r="AW14" i="23"/>
  <c r="AW10" i="22"/>
  <c r="AW8" i="22"/>
  <c r="AW26" i="23"/>
  <c r="AW8" i="23"/>
  <c r="AW9" i="23"/>
  <c r="AW17" i="22"/>
  <c r="AW12" i="22"/>
  <c r="AW21" i="23"/>
  <c r="AW11" i="22"/>
  <c r="AW16" i="22"/>
  <c r="AW26" i="22"/>
  <c r="AW7" i="23"/>
  <c r="AW18" i="22"/>
  <c r="AW19" i="22"/>
  <c r="AW33" i="23"/>
  <c r="AW22" i="22"/>
  <c r="AW31" i="22"/>
  <c r="AW36" i="23"/>
  <c r="AW23" i="22"/>
  <c r="AW34" i="23"/>
  <c r="AW29" i="23"/>
  <c r="AW12" i="23"/>
  <c r="AW30" i="23"/>
  <c r="AW27" i="23"/>
  <c r="AW9" i="22"/>
  <c r="AW20" i="23"/>
  <c r="AW30" i="22"/>
  <c r="AW29" i="22"/>
  <c r="W24" i="21"/>
  <c r="W37" i="22"/>
  <c r="W37" i="23"/>
  <c r="W17" i="22"/>
  <c r="W15" i="23"/>
  <c r="W13" i="23"/>
  <c r="W16" i="23"/>
  <c r="W34" i="23"/>
  <c r="W25" i="22"/>
  <c r="W26" i="22"/>
  <c r="W23" i="23"/>
  <c r="W8" i="23"/>
  <c r="W20" i="23"/>
  <c r="W12" i="23"/>
  <c r="W21" i="23"/>
  <c r="W12" i="22"/>
  <c r="W31" i="22"/>
  <c r="W7" i="23"/>
  <c r="W22" i="23"/>
  <c r="W32" i="22"/>
  <c r="W30" i="23"/>
  <c r="W29" i="23"/>
  <c r="W9" i="22"/>
  <c r="W8" i="22"/>
  <c r="W19" i="22"/>
  <c r="W33" i="22"/>
  <c r="W9" i="23"/>
  <c r="W36" i="23"/>
  <c r="W27" i="23"/>
  <c r="W33" i="23"/>
  <c r="W18" i="22"/>
  <c r="W10" i="22"/>
  <c r="W15" i="22"/>
  <c r="W30" i="22"/>
  <c r="W16" i="22"/>
  <c r="W22" i="22"/>
  <c r="W14" i="23"/>
  <c r="W36" i="22"/>
  <c r="W24" i="22"/>
  <c r="W11" i="22"/>
  <c r="W23" i="22"/>
  <c r="W29" i="22"/>
  <c r="W28" i="23"/>
  <c r="W26" i="23"/>
  <c r="W35" i="23"/>
  <c r="AM37" i="22"/>
  <c r="AM37" i="23"/>
  <c r="AM8" i="23"/>
  <c r="AM23" i="23"/>
  <c r="AM20" i="23"/>
  <c r="AM12" i="22"/>
  <c r="AM31" i="22"/>
  <c r="AM13" i="23"/>
  <c r="AM22" i="23"/>
  <c r="AM16" i="23"/>
  <c r="AM11" i="22"/>
  <c r="AM25" i="22"/>
  <c r="AM26" i="22"/>
  <c r="AM21" i="23"/>
  <c r="AM9" i="22"/>
  <c r="AM12" i="23"/>
  <c r="AM36" i="23"/>
  <c r="AM27" i="23"/>
  <c r="AM18" i="22"/>
  <c r="AM15" i="22"/>
  <c r="AM17" i="22"/>
  <c r="AM32" i="22"/>
  <c r="AM34" i="23"/>
  <c r="AM26" i="23"/>
  <c r="AM30" i="23"/>
  <c r="AM29" i="23"/>
  <c r="AM8" i="22"/>
  <c r="AM10" i="22"/>
  <c r="AM19" i="22"/>
  <c r="AM33" i="22"/>
  <c r="AM14" i="23"/>
  <c r="AM9" i="23"/>
  <c r="AM28" i="23"/>
  <c r="AM36" i="22"/>
  <c r="AM16" i="22"/>
  <c r="AM15" i="23"/>
  <c r="AM24" i="22"/>
  <c r="AM22" i="22"/>
  <c r="AM30" i="22"/>
  <c r="AM33" i="23"/>
  <c r="AM7" i="23"/>
  <c r="AM35" i="23"/>
  <c r="AM23" i="22"/>
  <c r="AM29" i="22"/>
  <c r="O15" i="7"/>
  <c r="S22" i="7"/>
  <c r="BC7" i="21"/>
  <c r="BC37" i="23"/>
  <c r="BC37" i="22"/>
  <c r="BC23" i="23"/>
  <c r="BC30" i="22"/>
  <c r="BC27" i="23"/>
  <c r="BC18" i="22"/>
  <c r="BC8" i="23"/>
  <c r="BC34" i="23"/>
  <c r="BC28" i="23"/>
  <c r="BC30" i="23"/>
  <c r="BC12" i="22"/>
  <c r="BC24" i="22"/>
  <c r="BC33" i="22"/>
  <c r="BC29" i="22"/>
  <c r="BC15" i="23"/>
  <c r="BC29" i="23"/>
  <c r="BC33" i="23"/>
  <c r="BC11" i="22"/>
  <c r="BC15" i="22"/>
  <c r="BC22" i="22"/>
  <c r="BC32" i="22"/>
  <c r="BC13" i="23"/>
  <c r="BC36" i="23"/>
  <c r="BC35" i="23"/>
  <c r="BC9" i="22"/>
  <c r="BC16" i="22"/>
  <c r="BC7" i="23"/>
  <c r="BC8" i="22"/>
  <c r="BC17" i="22"/>
  <c r="BC31" i="22"/>
  <c r="BC25" i="22"/>
  <c r="BC20" i="23"/>
  <c r="BC10" i="22"/>
  <c r="BC19" i="22"/>
  <c r="BC9" i="23"/>
  <c r="BC16" i="23"/>
  <c r="BC26" i="23"/>
  <c r="BC12" i="23"/>
  <c r="BC23" i="22"/>
  <c r="BC22" i="23"/>
  <c r="BC14" i="23"/>
  <c r="BC36" i="22"/>
  <c r="BC21" i="23"/>
  <c r="BC26" i="22"/>
  <c r="K14" i="7"/>
  <c r="K37" i="22"/>
  <c r="K37" i="23"/>
  <c r="K26" i="23"/>
  <c r="K15" i="23"/>
  <c r="K30" i="23"/>
  <c r="K12" i="22"/>
  <c r="K18" i="22"/>
  <c r="K23" i="22"/>
  <c r="K30" i="22"/>
  <c r="K29" i="22"/>
  <c r="K9" i="22"/>
  <c r="K17" i="22"/>
  <c r="K14" i="23"/>
  <c r="K8" i="23"/>
  <c r="K7" i="23"/>
  <c r="K31" i="22"/>
  <c r="K13" i="23"/>
  <c r="K9" i="23"/>
  <c r="K34" i="23"/>
  <c r="K19" i="22"/>
  <c r="K36" i="22"/>
  <c r="K20" i="23"/>
  <c r="K12" i="23"/>
  <c r="K28" i="23"/>
  <c r="K33" i="22"/>
  <c r="K24" i="22"/>
  <c r="K8" i="22"/>
  <c r="K29" i="23"/>
  <c r="K23" i="23"/>
  <c r="K36" i="23"/>
  <c r="K35" i="23"/>
  <c r="K33" i="23"/>
  <c r="K22" i="22"/>
  <c r="K26" i="22"/>
  <c r="K25" i="22"/>
  <c r="K16" i="23"/>
  <c r="K10" i="22"/>
  <c r="K21" i="23"/>
  <c r="K22" i="23"/>
  <c r="K16" i="22"/>
  <c r="K11" i="22"/>
  <c r="K15" i="22"/>
  <c r="K27" i="23"/>
  <c r="K32" i="22"/>
  <c r="Q16" i="7"/>
  <c r="AY23" i="7"/>
  <c r="BA23" i="7" s="1"/>
  <c r="M31" i="7"/>
  <c r="M37" i="22"/>
  <c r="M37" i="23"/>
  <c r="M8" i="22"/>
  <c r="M9" i="23"/>
  <c r="M7" i="23"/>
  <c r="M23" i="23"/>
  <c r="M14" i="23"/>
  <c r="M35" i="23"/>
  <c r="M16" i="22"/>
  <c r="M11" i="22"/>
  <c r="M15" i="22"/>
  <c r="M22" i="22"/>
  <c r="M12" i="23"/>
  <c r="M10" i="22"/>
  <c r="M34" i="23"/>
  <c r="M36" i="23"/>
  <c r="M18" i="22"/>
  <c r="M26" i="22"/>
  <c r="M25" i="22"/>
  <c r="M33" i="22"/>
  <c r="M24" i="22"/>
  <c r="M16" i="23"/>
  <c r="M29" i="23"/>
  <c r="M33" i="23"/>
  <c r="M12" i="22"/>
  <c r="M17" i="22"/>
  <c r="M21" i="23"/>
  <c r="M36" i="22"/>
  <c r="M13" i="23"/>
  <c r="M27" i="23"/>
  <c r="M23" i="22"/>
  <c r="M30" i="23"/>
  <c r="M30" i="22"/>
  <c r="M15" i="23"/>
  <c r="M26" i="23"/>
  <c r="M28" i="23"/>
  <c r="M29" i="22"/>
  <c r="M9" i="22"/>
  <c r="M31" i="22"/>
  <c r="M19" i="22"/>
  <c r="M22" i="23"/>
  <c r="M8" i="23"/>
  <c r="M32" i="22"/>
  <c r="M20" i="23"/>
  <c r="S36" i="7"/>
  <c r="O21" i="21"/>
  <c r="O37" i="22"/>
  <c r="O37" i="23"/>
  <c r="O9" i="23"/>
  <c r="O8" i="23"/>
  <c r="O36" i="23"/>
  <c r="O22" i="23"/>
  <c r="O9" i="22"/>
  <c r="O15" i="23"/>
  <c r="O29" i="23"/>
  <c r="O30" i="23"/>
  <c r="O26" i="23"/>
  <c r="O12" i="23"/>
  <c r="O15" i="22"/>
  <c r="O22" i="22"/>
  <c r="O14" i="23"/>
  <c r="O17" i="22"/>
  <c r="O20" i="23"/>
  <c r="O23" i="22"/>
  <c r="O18" i="22"/>
  <c r="O11" i="22"/>
  <c r="O8" i="22"/>
  <c r="O31" i="22"/>
  <c r="O30" i="22"/>
  <c r="O33" i="22"/>
  <c r="O25" i="22"/>
  <c r="O7" i="23"/>
  <c r="O35" i="23"/>
  <c r="O33" i="23"/>
  <c r="O29" i="22"/>
  <c r="O10" i="22"/>
  <c r="O16" i="22"/>
  <c r="O34" i="23"/>
  <c r="O27" i="23"/>
  <c r="O16" i="23"/>
  <c r="O19" i="22"/>
  <c r="O26" i="22"/>
  <c r="O21" i="23"/>
  <c r="O23" i="23"/>
  <c r="O28" i="23"/>
  <c r="O36" i="22"/>
  <c r="O13" i="23"/>
  <c r="O12" i="22"/>
  <c r="O24" i="22"/>
  <c r="O32" i="22"/>
  <c r="O36" i="7"/>
  <c r="Q12" i="21"/>
  <c r="Q37" i="22"/>
  <c r="Q37" i="23"/>
  <c r="Q25" i="22"/>
  <c r="Q12" i="23"/>
  <c r="Q27" i="23"/>
  <c r="Q16" i="23"/>
  <c r="Q12" i="22"/>
  <c r="Q9" i="22"/>
  <c r="Q28" i="23"/>
  <c r="Q30" i="22"/>
  <c r="Q15" i="22"/>
  <c r="Q36" i="22"/>
  <c r="Q31" i="22"/>
  <c r="Q21" i="23"/>
  <c r="Q30" i="23"/>
  <c r="Q29" i="22"/>
  <c r="Q22" i="22"/>
  <c r="Q23" i="22"/>
  <c r="Q8" i="22"/>
  <c r="Q13" i="23"/>
  <c r="Q29" i="23"/>
  <c r="Q34" i="23"/>
  <c r="Q23" i="23"/>
  <c r="Q14" i="23"/>
  <c r="Q24" i="22"/>
  <c r="Q33" i="22"/>
  <c r="Q26" i="23"/>
  <c r="Q36" i="23"/>
  <c r="Q16" i="22"/>
  <c r="Q26" i="22"/>
  <c r="Q8" i="23"/>
  <c r="Q17" i="22"/>
  <c r="Q7" i="23"/>
  <c r="Q20" i="23"/>
  <c r="Q33" i="23"/>
  <c r="Q19" i="22"/>
  <c r="Q10" i="22"/>
  <c r="Q15" i="23"/>
  <c r="Q35" i="23"/>
  <c r="Q18" i="22"/>
  <c r="Q11" i="22"/>
  <c r="Q22" i="23"/>
  <c r="Q9" i="23"/>
  <c r="Q32" i="22"/>
  <c r="BC36" i="7"/>
  <c r="K22" i="7"/>
  <c r="S10" i="7"/>
  <c r="S37" i="23"/>
  <c r="S37" i="22"/>
  <c r="S21" i="23"/>
  <c r="S16" i="22"/>
  <c r="S11" i="22"/>
  <c r="S10" i="22"/>
  <c r="S32" i="22"/>
  <c r="S33" i="22"/>
  <c r="S24" i="22"/>
  <c r="S29" i="23"/>
  <c r="S22" i="23"/>
  <c r="S23" i="22"/>
  <c r="S8" i="22"/>
  <c r="S36" i="22"/>
  <c r="S30" i="23"/>
  <c r="S15" i="22"/>
  <c r="S30" i="22"/>
  <c r="S16" i="23"/>
  <c r="S35" i="23"/>
  <c r="S12" i="22"/>
  <c r="S25" i="22"/>
  <c r="S19" i="22"/>
  <c r="S9" i="23"/>
  <c r="S34" i="23"/>
  <c r="S7" i="23"/>
  <c r="S15" i="23"/>
  <c r="S28" i="23"/>
  <c r="S9" i="22"/>
  <c r="S18" i="22"/>
  <c r="S17" i="22"/>
  <c r="S31" i="22"/>
  <c r="S33" i="23"/>
  <c r="S12" i="23"/>
  <c r="S26" i="22"/>
  <c r="S26" i="23"/>
  <c r="S20" i="23"/>
  <c r="S8" i="23"/>
  <c r="S13" i="23"/>
  <c r="S23" i="23"/>
  <c r="S29" i="22"/>
  <c r="S14" i="23"/>
  <c r="S27" i="23"/>
  <c r="S22" i="22"/>
  <c r="S36" i="23"/>
  <c r="AY31" i="20"/>
  <c r="AY37" i="23"/>
  <c r="AY37" i="22"/>
  <c r="AY29" i="23"/>
  <c r="AY16" i="23"/>
  <c r="AY35" i="23"/>
  <c r="AY33" i="22"/>
  <c r="AY11" i="22"/>
  <c r="AY12" i="23"/>
  <c r="AY23" i="22"/>
  <c r="AY9" i="23"/>
  <c r="AY34" i="23"/>
  <c r="AY16" i="22"/>
  <c r="AY9" i="22"/>
  <c r="AY18" i="22"/>
  <c r="AY17" i="22"/>
  <c r="AY31" i="22"/>
  <c r="AY21" i="23"/>
  <c r="AY36" i="23"/>
  <c r="AY8" i="22"/>
  <c r="AY33" i="23"/>
  <c r="AY8" i="23"/>
  <c r="AY23" i="23"/>
  <c r="AY10" i="22"/>
  <c r="AY32" i="22"/>
  <c r="AY30" i="23"/>
  <c r="AY15" i="22"/>
  <c r="AY30" i="22"/>
  <c r="AY12" i="22"/>
  <c r="AY20" i="23"/>
  <c r="AY13" i="23"/>
  <c r="AY15" i="23"/>
  <c r="AY14" i="23"/>
  <c r="AY27" i="23"/>
  <c r="AY22" i="22"/>
  <c r="AY19" i="22"/>
  <c r="AY28" i="23"/>
  <c r="AY24" i="22"/>
  <c r="AY26" i="23"/>
  <c r="AY29" i="22"/>
  <c r="AY36" i="22"/>
  <c r="AY25" i="22"/>
  <c r="AY7" i="23"/>
  <c r="AY22" i="23"/>
  <c r="AY26" i="22"/>
  <c r="Q22" i="7"/>
  <c r="Q21" i="20"/>
  <c r="M32" i="7"/>
  <c r="U31" i="21"/>
  <c r="U37" i="22"/>
  <c r="U37" i="23"/>
  <c r="U13" i="23"/>
  <c r="U15" i="23"/>
  <c r="U27" i="23"/>
  <c r="U12" i="23"/>
  <c r="U34" i="23"/>
  <c r="U7" i="23"/>
  <c r="U29" i="23"/>
  <c r="U23" i="22"/>
  <c r="U17" i="22"/>
  <c r="U31" i="22"/>
  <c r="U30" i="23"/>
  <c r="U23" i="23"/>
  <c r="U8" i="22"/>
  <c r="U22" i="22"/>
  <c r="U16" i="22"/>
  <c r="U28" i="23"/>
  <c r="U30" i="22"/>
  <c r="U15" i="22"/>
  <c r="U8" i="23"/>
  <c r="U36" i="23"/>
  <c r="U22" i="23"/>
  <c r="U10" i="22"/>
  <c r="U25" i="22"/>
  <c r="U33" i="23"/>
  <c r="U11" i="22"/>
  <c r="U29" i="22"/>
  <c r="U20" i="23"/>
  <c r="U21" i="23"/>
  <c r="U26" i="23"/>
  <c r="U16" i="23"/>
  <c r="U35" i="23"/>
  <c r="U36" i="22"/>
  <c r="U19" i="22"/>
  <c r="U32" i="22"/>
  <c r="U33" i="22"/>
  <c r="U9" i="23"/>
  <c r="U14" i="23"/>
  <c r="U12" i="22"/>
  <c r="U9" i="22"/>
  <c r="U26" i="22"/>
  <c r="U18" i="22"/>
  <c r="U24" i="22"/>
  <c r="BA37" i="23"/>
  <c r="BA37" i="22"/>
  <c r="BA36" i="23"/>
  <c r="BA22" i="23"/>
  <c r="BA17" i="22"/>
  <c r="BA20" i="23"/>
  <c r="BA29" i="23"/>
  <c r="BA9" i="23"/>
  <c r="BA8" i="23"/>
  <c r="BA12" i="22"/>
  <c r="BA36" i="22"/>
  <c r="BA24" i="22"/>
  <c r="BA33" i="22"/>
  <c r="BA18" i="22"/>
  <c r="BA33" i="23"/>
  <c r="BA21" i="23"/>
  <c r="BA12" i="23"/>
  <c r="BA7" i="23"/>
  <c r="BA9" i="22"/>
  <c r="BA26" i="23"/>
  <c r="BA15" i="22"/>
  <c r="BA32" i="22"/>
  <c r="BA13" i="23"/>
  <c r="BA15" i="23"/>
  <c r="BA34" i="23"/>
  <c r="BA23" i="23"/>
  <c r="BA29" i="22"/>
  <c r="BA11" i="22"/>
  <c r="BA8" i="22"/>
  <c r="BA16" i="22"/>
  <c r="BA19" i="22"/>
  <c r="BA27" i="23"/>
  <c r="BA16" i="23"/>
  <c r="BA31" i="22"/>
  <c r="BA22" i="22"/>
  <c r="BA28" i="23"/>
  <c r="BA30" i="23"/>
  <c r="BA10" i="22"/>
  <c r="BA23" i="22"/>
  <c r="BA30" i="22"/>
  <c r="BA25" i="22"/>
  <c r="BA35" i="23"/>
  <c r="BA14" i="23"/>
  <c r="BA26" i="22"/>
  <c r="M22" i="7"/>
  <c r="Q24" i="7"/>
  <c r="L37" i="1"/>
  <c r="K23" i="7"/>
  <c r="I30" i="7"/>
  <c r="M23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I9" i="7"/>
  <c r="K30" i="7"/>
  <c r="BC15" i="7"/>
  <c r="S16" i="7"/>
  <c r="K8" i="7"/>
  <c r="K36" i="7"/>
  <c r="M29" i="7"/>
  <c r="O16" i="7"/>
  <c r="Q8" i="7"/>
  <c r="Q29" i="7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O9" i="7"/>
  <c r="Q23" i="7"/>
  <c r="I16" i="7"/>
  <c r="K15" i="7"/>
  <c r="M9" i="7"/>
  <c r="O23" i="7"/>
  <c r="Q36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Q9" i="7"/>
  <c r="Q30" i="7"/>
  <c r="I22" i="7"/>
  <c r="K16" i="7"/>
  <c r="M15" i="7"/>
  <c r="BC23" i="7"/>
  <c r="Q15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S23" i="7"/>
  <c r="K9" i="7"/>
  <c r="M8" i="7"/>
  <c r="I23" i="7"/>
  <c r="M16" i="7"/>
  <c r="M77" i="1"/>
  <c r="I17" i="21"/>
  <c r="I37" i="21"/>
  <c r="I37" i="20"/>
  <c r="I25" i="21"/>
  <c r="I15" i="20"/>
  <c r="I7" i="20"/>
  <c r="I33" i="21"/>
  <c r="I11" i="21"/>
  <c r="I19" i="21"/>
  <c r="I14" i="20"/>
  <c r="I17" i="20"/>
  <c r="I12" i="21"/>
  <c r="I20" i="21"/>
  <c r="I34" i="21"/>
  <c r="I24" i="21"/>
  <c r="I21" i="21"/>
  <c r="I28" i="21"/>
  <c r="I13" i="21"/>
  <c r="I9" i="20"/>
  <c r="I18" i="21"/>
  <c r="I27" i="21"/>
  <c r="I32" i="21"/>
  <c r="I31" i="21"/>
  <c r="I21" i="20"/>
  <c r="I35" i="21"/>
  <c r="I10" i="20"/>
  <c r="I16" i="20"/>
  <c r="I30" i="20"/>
  <c r="I31" i="20"/>
  <c r="I22" i="20"/>
  <c r="I24" i="20"/>
  <c r="I14" i="21"/>
  <c r="I23" i="20"/>
  <c r="I28" i="20"/>
  <c r="I27" i="20"/>
  <c r="I7" i="21"/>
  <c r="I36" i="20"/>
  <c r="I13" i="20"/>
  <c r="I35" i="20"/>
  <c r="I34" i="20"/>
  <c r="Y31" i="20"/>
  <c r="Y37" i="21"/>
  <c r="Y37" i="20"/>
  <c r="Y28" i="21"/>
  <c r="Y27" i="20"/>
  <c r="Y29" i="20"/>
  <c r="Y31" i="21"/>
  <c r="Y33" i="21"/>
  <c r="Y11" i="21"/>
  <c r="Y19" i="21"/>
  <c r="Y17" i="20"/>
  <c r="Y12" i="21"/>
  <c r="Y17" i="21"/>
  <c r="Y34" i="21"/>
  <c r="Y16" i="20"/>
  <c r="Y7" i="21"/>
  <c r="Y25" i="21"/>
  <c r="Y20" i="21"/>
  <c r="Y14" i="20"/>
  <c r="Y28" i="20"/>
  <c r="Y26" i="21"/>
  <c r="Y24" i="21"/>
  <c r="Y13" i="21"/>
  <c r="Y13" i="20"/>
  <c r="Y23" i="20"/>
  <c r="Y21" i="20"/>
  <c r="Y32" i="21"/>
  <c r="Y18" i="21"/>
  <c r="Y35" i="21"/>
  <c r="Y30" i="20"/>
  <c r="Y22" i="20"/>
  <c r="Y34" i="20"/>
  <c r="Y9" i="20"/>
  <c r="Y24" i="20"/>
  <c r="Y7" i="20"/>
  <c r="Y36" i="20"/>
  <c r="Y14" i="21"/>
  <c r="Y27" i="21"/>
  <c r="Y21" i="21"/>
  <c r="Y15" i="20"/>
  <c r="Y8" i="20"/>
  <c r="Y10" i="20"/>
  <c r="AO37" i="21"/>
  <c r="AO20" i="21"/>
  <c r="AO37" i="20"/>
  <c r="AO13" i="21"/>
  <c r="AO34" i="20"/>
  <c r="AO9" i="20"/>
  <c r="AO12" i="21"/>
  <c r="AO34" i="21"/>
  <c r="AO16" i="20"/>
  <c r="AO35" i="21"/>
  <c r="AO21" i="21"/>
  <c r="AO25" i="21"/>
  <c r="AO14" i="20"/>
  <c r="AO36" i="20"/>
  <c r="AO7" i="20"/>
  <c r="AO14" i="21"/>
  <c r="AO28" i="21"/>
  <c r="AO30" i="20"/>
  <c r="AO24" i="21"/>
  <c r="AO28" i="20"/>
  <c r="AO17" i="21"/>
  <c r="AO32" i="21"/>
  <c r="AO31" i="21"/>
  <c r="AO18" i="21"/>
  <c r="AO22" i="20"/>
  <c r="AO24" i="20"/>
  <c r="AO31" i="20"/>
  <c r="AO21" i="20"/>
  <c r="AO13" i="20"/>
  <c r="AO7" i="21"/>
  <c r="AO27" i="21"/>
  <c r="AO8" i="20"/>
  <c r="AO10" i="20"/>
  <c r="AO27" i="20"/>
  <c r="AO26" i="21"/>
  <c r="AO15" i="20"/>
  <c r="AO35" i="20"/>
  <c r="AO23" i="20"/>
  <c r="AO33" i="21"/>
  <c r="AO11" i="21"/>
  <c r="AO17" i="20"/>
  <c r="AO29" i="20"/>
  <c r="D87" i="1"/>
  <c r="E73" i="1"/>
  <c r="G88" i="1"/>
  <c r="H74" i="1"/>
  <c r="G80" i="1"/>
  <c r="H66" i="1"/>
  <c r="I13" i="7"/>
  <c r="I21" i="7"/>
  <c r="I37" i="7"/>
  <c r="M7" i="7"/>
  <c r="BC28" i="7"/>
  <c r="O35" i="7"/>
  <c r="Q12" i="7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BC8" i="20"/>
  <c r="AE36" i="20"/>
  <c r="AI7" i="20"/>
  <c r="BC21" i="20"/>
  <c r="BC35" i="20"/>
  <c r="W35" i="21"/>
  <c r="I26" i="21"/>
  <c r="U32" i="21"/>
  <c r="K37" i="21"/>
  <c r="K37" i="20"/>
  <c r="K28" i="21"/>
  <c r="K28" i="20"/>
  <c r="K19" i="21"/>
  <c r="K32" i="21"/>
  <c r="K31" i="21"/>
  <c r="K27" i="21"/>
  <c r="K24" i="21"/>
  <c r="K9" i="20"/>
  <c r="K14" i="21"/>
  <c r="K20" i="21"/>
  <c r="K21" i="21"/>
  <c r="K13" i="21"/>
  <c r="K12" i="21"/>
  <c r="K35" i="21"/>
  <c r="K25" i="21"/>
  <c r="K33" i="21"/>
  <c r="K11" i="21"/>
  <c r="K18" i="21"/>
  <c r="K24" i="20"/>
  <c r="K7" i="21"/>
  <c r="K30" i="20"/>
  <c r="K16" i="20"/>
  <c r="K17" i="20"/>
  <c r="K34" i="21"/>
  <c r="K31" i="20"/>
  <c r="K15" i="20"/>
  <c r="K29" i="20"/>
  <c r="K27" i="20"/>
  <c r="K26" i="21"/>
  <c r="K13" i="20"/>
  <c r="K21" i="20"/>
  <c r="K36" i="20"/>
  <c r="K34" i="20"/>
  <c r="K17" i="21"/>
  <c r="K35" i="20"/>
  <c r="K22" i="20"/>
  <c r="K23" i="20"/>
  <c r="K8" i="20"/>
  <c r="K10" i="20"/>
  <c r="AA37" i="21"/>
  <c r="AA35" i="21"/>
  <c r="AA12" i="21"/>
  <c r="AA37" i="20"/>
  <c r="AA19" i="21"/>
  <c r="AA32" i="21"/>
  <c r="AA21" i="21"/>
  <c r="AA24" i="21"/>
  <c r="AA35" i="20"/>
  <c r="AA17" i="20"/>
  <c r="AA18" i="21"/>
  <c r="AA13" i="21"/>
  <c r="AA22" i="20"/>
  <c r="AA27" i="21"/>
  <c r="AA20" i="21"/>
  <c r="AA34" i="21"/>
  <c r="AA7" i="21"/>
  <c r="AA16" i="20"/>
  <c r="AA31" i="20"/>
  <c r="AA36" i="20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AA14" i="20"/>
  <c r="AA15" i="20"/>
  <c r="AA29" i="20"/>
  <c r="AA31" i="21"/>
  <c r="AA14" i="21"/>
  <c r="AA26" i="21"/>
  <c r="AA13" i="20"/>
  <c r="AA21" i="20"/>
  <c r="AA34" i="20"/>
  <c r="AA27" i="20"/>
  <c r="AA30" i="20"/>
  <c r="AA7" i="20"/>
  <c r="AA9" i="20"/>
  <c r="AA28" i="20"/>
  <c r="AA28" i="21"/>
  <c r="AA10" i="20"/>
  <c r="AA24" i="20"/>
  <c r="AQ37" i="21"/>
  <c r="AQ20" i="21"/>
  <c r="AQ37" i="20"/>
  <c r="AQ22" i="20"/>
  <c r="AQ27" i="20"/>
  <c r="AQ8" i="20"/>
  <c r="AQ24" i="21"/>
  <c r="AQ17" i="20"/>
  <c r="AQ18" i="21"/>
  <c r="AQ7" i="21"/>
  <c r="AQ26" i="21"/>
  <c r="AQ14" i="20"/>
  <c r="AQ36" i="20"/>
  <c r="AQ35" i="21"/>
  <c r="AQ12" i="21"/>
  <c r="AQ14" i="21"/>
  <c r="AQ21" i="21"/>
  <c r="AQ31" i="20"/>
  <c r="AQ10" i="20"/>
  <c r="AQ35" i="20"/>
  <c r="AQ19" i="21"/>
  <c r="AQ34" i="21"/>
  <c r="AQ27" i="21"/>
  <c r="AQ15" i="20"/>
  <c r="AQ29" i="20"/>
  <c r="AQ13" i="20"/>
  <c r="AQ21" i="20"/>
  <c r="AQ28" i="21"/>
  <c r="AQ32" i="21"/>
  <c r="AQ30" i="20"/>
  <c r="AQ34" i="20"/>
  <c r="AQ13" i="21"/>
  <c r="AQ7" i="20"/>
  <c r="AQ9" i="20"/>
  <c r="AQ31" i="21"/>
  <c r="AQ25" i="21"/>
  <c r="AQ33" i="21"/>
  <c r="AQ11" i="21"/>
  <c r="AQ17" i="21"/>
  <c r="AQ23" i="20"/>
  <c r="AQ28" i="20"/>
  <c r="AQ16" i="20"/>
  <c r="D86" i="1"/>
  <c r="E72" i="1"/>
  <c r="H73" i="1"/>
  <c r="G87" i="1"/>
  <c r="M87" i="1" s="1"/>
  <c r="K7" i="7"/>
  <c r="K31" i="7"/>
  <c r="AW35" i="20"/>
  <c r="BC30" i="20"/>
  <c r="AA33" i="21"/>
  <c r="M37" i="20"/>
  <c r="M37" i="21"/>
  <c r="M9" i="20"/>
  <c r="M7" i="21"/>
  <c r="M18" i="21"/>
  <c r="M19" i="21"/>
  <c r="M11" i="21"/>
  <c r="M20" i="21"/>
  <c r="M31" i="21"/>
  <c r="M26" i="21"/>
  <c r="M28" i="21"/>
  <c r="M30" i="20"/>
  <c r="M12" i="21"/>
  <c r="M21" i="21"/>
  <c r="M13" i="21"/>
  <c r="M17" i="21"/>
  <c r="M14" i="21"/>
  <c r="M7" i="20"/>
  <c r="M29" i="20"/>
  <c r="M27" i="20"/>
  <c r="M32" i="21"/>
  <c r="M24" i="21"/>
  <c r="M15" i="20"/>
  <c r="M22" i="20"/>
  <c r="M16" i="20"/>
  <c r="M24" i="20"/>
  <c r="M34" i="21"/>
  <c r="M36" i="20"/>
  <c r="M35" i="21"/>
  <c r="M25" i="21"/>
  <c r="M33" i="21"/>
  <c r="M14" i="20"/>
  <c r="M23" i="20"/>
  <c r="M34" i="20"/>
  <c r="M8" i="20"/>
  <c r="M21" i="20"/>
  <c r="M35" i="20"/>
  <c r="M10" i="20"/>
  <c r="M13" i="20"/>
  <c r="M31" i="20"/>
  <c r="AC37" i="21"/>
  <c r="AC12" i="21"/>
  <c r="AC37" i="20"/>
  <c r="AC34" i="21"/>
  <c r="AC19" i="21"/>
  <c r="AC9" i="20"/>
  <c r="AC35" i="20"/>
  <c r="AC31" i="21"/>
  <c r="AC14" i="20"/>
  <c r="AC30" i="20"/>
  <c r="AC21" i="21"/>
  <c r="AC29" i="20"/>
  <c r="AC7" i="21"/>
  <c r="AC14" i="21"/>
  <c r="AC28" i="21"/>
  <c r="AC17" i="21"/>
  <c r="AC17" i="20"/>
  <c r="AC25" i="21"/>
  <c r="AC33" i="21"/>
  <c r="AC11" i="21"/>
  <c r="AC35" i="21"/>
  <c r="AC24" i="20"/>
  <c r="AC13" i="21"/>
  <c r="AC26" i="21"/>
  <c r="AC24" i="21"/>
  <c r="AC27" i="21"/>
  <c r="AC13" i="20"/>
  <c r="AC36" i="20"/>
  <c r="AC32" i="21"/>
  <c r="AC7" i="20"/>
  <c r="AC18" i="21"/>
  <c r="AC20" i="21"/>
  <c r="AC23" i="20"/>
  <c r="AC8" i="20"/>
  <c r="AC27" i="20"/>
  <c r="AC10" i="20"/>
  <c r="AC28" i="20"/>
  <c r="AC15" i="20"/>
  <c r="AC16" i="20"/>
  <c r="AC21" i="20"/>
  <c r="AC22" i="20"/>
  <c r="AC34" i="20"/>
  <c r="AS37" i="21"/>
  <c r="AS37" i="20"/>
  <c r="AS35" i="20"/>
  <c r="AS13" i="21"/>
  <c r="AS10" i="20"/>
  <c r="AS8" i="20"/>
  <c r="AS28" i="21"/>
  <c r="AS12" i="21"/>
  <c r="AS29" i="20"/>
  <c r="AS17" i="21"/>
  <c r="AS34" i="21"/>
  <c r="AS27" i="21"/>
  <c r="AS25" i="21"/>
  <c r="AS18" i="21"/>
  <c r="AS33" i="21"/>
  <c r="AS9" i="20"/>
  <c r="AS19" i="21"/>
  <c r="AS7" i="20"/>
  <c r="AS34" i="20"/>
  <c r="AS20" i="21"/>
  <c r="AS27" i="20"/>
  <c r="AS21" i="21"/>
  <c r="AS35" i="21"/>
  <c r="AS26" i="21"/>
  <c r="AS17" i="20"/>
  <c r="AS16" i="20"/>
  <c r="AS13" i="20"/>
  <c r="AS36" i="20"/>
  <c r="AS32" i="21"/>
  <c r="AS30" i="20"/>
  <c r="AS21" i="20"/>
  <c r="AS14" i="21"/>
  <c r="AS14" i="20"/>
  <c r="AS23" i="20"/>
  <c r="AS7" i="21"/>
  <c r="AS31" i="21"/>
  <c r="AS24" i="20"/>
  <c r="AS28" i="20"/>
  <c r="AS31" i="20"/>
  <c r="AS11" i="21"/>
  <c r="AS24" i="21"/>
  <c r="E71" i="1"/>
  <c r="D85" i="1"/>
  <c r="H72" i="1"/>
  <c r="G86" i="1"/>
  <c r="M86" i="1" s="1"/>
  <c r="I7" i="7"/>
  <c r="I31" i="7"/>
  <c r="K24" i="7"/>
  <c r="K32" i="7"/>
  <c r="M17" i="7"/>
  <c r="M25" i="7"/>
  <c r="M33" i="7"/>
  <c r="O10" i="7"/>
  <c r="O17" i="7"/>
  <c r="O24" i="7"/>
  <c r="Q27" i="7"/>
  <c r="AU29" i="20"/>
  <c r="AE31" i="20"/>
  <c r="BC34" i="20"/>
  <c r="Y35" i="20"/>
  <c r="K7" i="20"/>
  <c r="M27" i="21"/>
  <c r="BC18" i="21"/>
  <c r="AI8" i="20"/>
  <c r="O37" i="20"/>
  <c r="O14" i="21"/>
  <c r="O37" i="21"/>
  <c r="O35" i="21"/>
  <c r="O17" i="21"/>
  <c r="O20" i="21"/>
  <c r="O7" i="21"/>
  <c r="O25" i="21"/>
  <c r="O12" i="21"/>
  <c r="O27" i="21"/>
  <c r="O34" i="21"/>
  <c r="O24" i="20"/>
  <c r="O8" i="20"/>
  <c r="O31" i="21"/>
  <c r="O11" i="21"/>
  <c r="O26" i="21"/>
  <c r="O32" i="21"/>
  <c r="O30" i="20"/>
  <c r="O23" i="20"/>
  <c r="O29" i="20"/>
  <c r="O28" i="21"/>
  <c r="O14" i="20"/>
  <c r="O31" i="20"/>
  <c r="O21" i="20"/>
  <c r="O16" i="20"/>
  <c r="O27" i="20"/>
  <c r="O35" i="20"/>
  <c r="O34" i="20"/>
  <c r="O10" i="20"/>
  <c r="O9" i="20"/>
  <c r="O13" i="21"/>
  <c r="O19" i="21"/>
  <c r="O17" i="20"/>
  <c r="O22" i="20"/>
  <c r="O7" i="20"/>
  <c r="O18" i="21"/>
  <c r="O33" i="21"/>
  <c r="O15" i="20"/>
  <c r="O36" i="20"/>
  <c r="AE37" i="21"/>
  <c r="AE37" i="20"/>
  <c r="AE12" i="21"/>
  <c r="AE14" i="21"/>
  <c r="AE28" i="21"/>
  <c r="AE7" i="20"/>
  <c r="AE21" i="21"/>
  <c r="AE7" i="21"/>
  <c r="AE17" i="20"/>
  <c r="AE35" i="21"/>
  <c r="AE23" i="20"/>
  <c r="AE11" i="21"/>
  <c r="AE13" i="21"/>
  <c r="AE24" i="20"/>
  <c r="AE34" i="20"/>
  <c r="AE32" i="21"/>
  <c r="AE9" i="20"/>
  <c r="AE18" i="21"/>
  <c r="AE17" i="21"/>
  <c r="AE10" i="20"/>
  <c r="AE14" i="20"/>
  <c r="AE21" i="20"/>
  <c r="AE8" i="20"/>
  <c r="AE27" i="21"/>
  <c r="AE27" i="20"/>
  <c r="AE31" i="21"/>
  <c r="AE33" i="21"/>
  <c r="AE15" i="20"/>
  <c r="AE35" i="20"/>
  <c r="AE26" i="21"/>
  <c r="AE20" i="21"/>
  <c r="AE22" i="20"/>
  <c r="AE24" i="21"/>
  <c r="AE13" i="20"/>
  <c r="AE34" i="21"/>
  <c r="AE30" i="20"/>
  <c r="AE28" i="20"/>
  <c r="AE29" i="20"/>
  <c r="AU37" i="21"/>
  <c r="AU37" i="20"/>
  <c r="AU34" i="21"/>
  <c r="AU19" i="21"/>
  <c r="AU10" i="20"/>
  <c r="AU14" i="21"/>
  <c r="AU35" i="21"/>
  <c r="AU28" i="20"/>
  <c r="AU8" i="20"/>
  <c r="AU32" i="21"/>
  <c r="AU17" i="21"/>
  <c r="AU20" i="21"/>
  <c r="AU21" i="21"/>
  <c r="AU28" i="21"/>
  <c r="AU33" i="21"/>
  <c r="AU24" i="21"/>
  <c r="AU26" i="21"/>
  <c r="AU13" i="21"/>
  <c r="AU34" i="20"/>
  <c r="AU27" i="21"/>
  <c r="AU31" i="20"/>
  <c r="AU27" i="20"/>
  <c r="AU7" i="20"/>
  <c r="AU31" i="21"/>
  <c r="AU35" i="20"/>
  <c r="AU24" i="20"/>
  <c r="AU11" i="21"/>
  <c r="AU18" i="21"/>
  <c r="AU15" i="20"/>
  <c r="AU22" i="20"/>
  <c r="AU23" i="20"/>
  <c r="AU12" i="21"/>
  <c r="AU13" i="20"/>
  <c r="AU36" i="20"/>
  <c r="AU7" i="21"/>
  <c r="AU25" i="21"/>
  <c r="AU14" i="20"/>
  <c r="AU21" i="20"/>
  <c r="E70" i="1"/>
  <c r="D84" i="1"/>
  <c r="G85" i="1"/>
  <c r="M85" i="1" s="1"/>
  <c r="H71" i="1"/>
  <c r="I24" i="7"/>
  <c r="I32" i="7"/>
  <c r="K17" i="7"/>
  <c r="K25" i="7"/>
  <c r="K33" i="7"/>
  <c r="M10" i="7"/>
  <c r="M18" i="7"/>
  <c r="M26" i="7"/>
  <c r="M34" i="7"/>
  <c r="O11" i="7"/>
  <c r="O18" i="7"/>
  <c r="BC18" i="7" s="1"/>
  <c r="O25" i="7"/>
  <c r="O31" i="7"/>
  <c r="O37" i="7"/>
  <c r="I29" i="20"/>
  <c r="M28" i="20"/>
  <c r="U22" i="20"/>
  <c r="U24" i="20"/>
  <c r="I8" i="20"/>
  <c r="AU16" i="20"/>
  <c r="K14" i="20"/>
  <c r="O24" i="21"/>
  <c r="AE25" i="21"/>
  <c r="O28" i="20"/>
  <c r="Q37" i="21"/>
  <c r="Q34" i="21"/>
  <c r="Q37" i="20"/>
  <c r="Q17" i="21"/>
  <c r="Q21" i="21"/>
  <c r="Q35" i="21"/>
  <c r="Q24" i="21"/>
  <c r="Q9" i="20"/>
  <c r="Q32" i="21"/>
  <c r="Q30" i="20"/>
  <c r="Q14" i="20"/>
  <c r="Q16" i="20"/>
  <c r="Q28" i="21"/>
  <c r="Q8" i="20"/>
  <c r="Q19" i="21"/>
  <c r="Q27" i="21"/>
  <c r="Q20" i="21"/>
  <c r="Q7" i="21"/>
  <c r="Q25" i="21"/>
  <c r="Q11" i="21"/>
  <c r="Q33" i="21"/>
  <c r="Q31" i="21"/>
  <c r="Q18" i="21"/>
  <c r="Q35" i="20"/>
  <c r="Q33" i="7"/>
  <c r="Q25" i="7"/>
  <c r="Q17" i="7"/>
  <c r="Q17" i="20"/>
  <c r="Q10" i="20"/>
  <c r="Q34" i="20"/>
  <c r="Q27" i="20"/>
  <c r="Q31" i="7"/>
  <c r="Q28" i="20"/>
  <c r="Q14" i="7"/>
  <c r="Q13" i="21"/>
  <c r="Q13" i="20"/>
  <c r="Q31" i="20"/>
  <c r="Q24" i="20"/>
  <c r="Q36" i="20"/>
  <c r="Q37" i="7"/>
  <c r="Q14" i="21"/>
  <c r="Q22" i="20"/>
  <c r="Q29" i="20"/>
  <c r="Q28" i="7"/>
  <c r="Q26" i="21"/>
  <c r="Q34" i="7"/>
  <c r="Q26" i="7"/>
  <c r="Q18" i="7"/>
  <c r="Q10" i="7"/>
  <c r="AG37" i="21"/>
  <c r="AG37" i="20"/>
  <c r="AG17" i="21"/>
  <c r="AG21" i="21"/>
  <c r="AG22" i="20"/>
  <c r="AG11" i="21"/>
  <c r="AG26" i="21"/>
  <c r="AG14" i="20"/>
  <c r="AG24" i="20"/>
  <c r="AG13" i="20"/>
  <c r="AG27" i="20"/>
  <c r="AG20" i="21"/>
  <c r="AG23" i="20"/>
  <c r="AG31" i="21"/>
  <c r="AG12" i="21"/>
  <c r="AG27" i="21"/>
  <c r="AG24" i="21"/>
  <c r="AG28" i="21"/>
  <c r="AG7" i="20"/>
  <c r="AG9" i="20"/>
  <c r="AG13" i="21"/>
  <c r="AG34" i="21"/>
  <c r="AG33" i="21"/>
  <c r="AG10" i="20"/>
  <c r="AG34" i="20"/>
  <c r="AG18" i="21"/>
  <c r="AG28" i="20"/>
  <c r="AG32" i="21"/>
  <c r="AG19" i="21"/>
  <c r="AG17" i="20"/>
  <c r="AG31" i="20"/>
  <c r="AG36" i="20"/>
  <c r="AG30" i="20"/>
  <c r="AG15" i="20"/>
  <c r="AG29" i="20"/>
  <c r="AG16" i="20"/>
  <c r="AG21" i="20"/>
  <c r="AG8" i="20"/>
  <c r="AG35" i="21"/>
  <c r="AG25" i="21"/>
  <c r="AG35" i="20"/>
  <c r="AW37" i="21"/>
  <c r="AW27" i="21"/>
  <c r="AW9" i="20"/>
  <c r="AW37" i="20"/>
  <c r="AW28" i="21"/>
  <c r="AW21" i="21"/>
  <c r="AW22" i="20"/>
  <c r="AW33" i="21"/>
  <c r="AW17" i="20"/>
  <c r="AW35" i="21"/>
  <c r="AW31" i="21"/>
  <c r="AW18" i="21"/>
  <c r="AW12" i="21"/>
  <c r="AW15" i="20"/>
  <c r="AW13" i="21"/>
  <c r="AW19" i="21"/>
  <c r="AW24" i="21"/>
  <c r="AW27" i="20"/>
  <c r="AW25" i="21"/>
  <c r="AW14" i="20"/>
  <c r="AW16" i="20"/>
  <c r="AW17" i="21"/>
  <c r="AW11" i="21"/>
  <c r="AW34" i="21"/>
  <c r="AW13" i="20"/>
  <c r="AW28" i="20"/>
  <c r="AW26" i="21"/>
  <c r="AW31" i="20"/>
  <c r="AW36" i="20"/>
  <c r="AW7" i="20"/>
  <c r="AW29" i="20"/>
  <c r="AW20" i="21"/>
  <c r="AW21" i="20"/>
  <c r="AW8" i="20"/>
  <c r="AW14" i="21"/>
  <c r="AW32" i="21"/>
  <c r="AW7" i="21"/>
  <c r="AW30" i="20"/>
  <c r="AW10" i="20"/>
  <c r="AW34" i="20"/>
  <c r="AW24" i="20"/>
  <c r="D83" i="1"/>
  <c r="E69" i="1"/>
  <c r="H70" i="1"/>
  <c r="G84" i="1"/>
  <c r="M84" i="1" s="1"/>
  <c r="I17" i="7"/>
  <c r="I25" i="7"/>
  <c r="I33" i="7"/>
  <c r="K10" i="7"/>
  <c r="K18" i="7"/>
  <c r="K26" i="7"/>
  <c r="K34" i="7"/>
  <c r="M11" i="7"/>
  <c r="M19" i="7"/>
  <c r="M27" i="7"/>
  <c r="M35" i="7"/>
  <c r="O12" i="7"/>
  <c r="O19" i="7"/>
  <c r="BC25" i="7"/>
  <c r="BC31" i="7"/>
  <c r="Q7" i="7"/>
  <c r="Q19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AY28" i="20"/>
  <c r="AQ24" i="20"/>
  <c r="Q23" i="20"/>
  <c r="M17" i="20"/>
  <c r="AA17" i="21"/>
  <c r="AE19" i="21"/>
  <c r="AA25" i="21"/>
  <c r="AG14" i="21"/>
  <c r="S34" i="21"/>
  <c r="S35" i="21"/>
  <c r="S37" i="21"/>
  <c r="S37" i="20"/>
  <c r="S29" i="20"/>
  <c r="S17" i="21"/>
  <c r="S28" i="21"/>
  <c r="S26" i="21"/>
  <c r="S12" i="21"/>
  <c r="S27" i="21"/>
  <c r="S15" i="20"/>
  <c r="S19" i="21"/>
  <c r="S13" i="21"/>
  <c r="S7" i="20"/>
  <c r="S24" i="21"/>
  <c r="S28" i="20"/>
  <c r="S37" i="7"/>
  <c r="U37" i="7" s="1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S27" i="7"/>
  <c r="S19" i="7"/>
  <c r="S14" i="7"/>
  <c r="S25" i="21"/>
  <c r="S14" i="21"/>
  <c r="S36" i="20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22" i="20"/>
  <c r="S24" i="20"/>
  <c r="S31" i="7"/>
  <c r="S18" i="7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S21" i="20"/>
  <c r="S11" i="21"/>
  <c r="S14" i="20"/>
  <c r="S26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S7" i="7"/>
  <c r="S7" i="21"/>
  <c r="S33" i="21"/>
  <c r="S21" i="21"/>
  <c r="S23" i="20"/>
  <c r="S9" i="20"/>
  <c r="S35" i="7"/>
  <c r="S11" i="7"/>
  <c r="S18" i="21"/>
  <c r="S30" i="20"/>
  <c r="S17" i="20"/>
  <c r="S35" i="20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S25" i="7"/>
  <c r="S21" i="7"/>
  <c r="S20" i="21"/>
  <c r="S32" i="21"/>
  <c r="S31" i="21"/>
  <c r="S16" i="20"/>
  <c r="S13" i="20"/>
  <c r="S31" i="20"/>
  <c r="S27" i="20"/>
  <c r="S33" i="7"/>
  <c r="S24" i="7"/>
  <c r="AI37" i="21"/>
  <c r="AI37" i="20"/>
  <c r="AI20" i="21"/>
  <c r="AI17" i="21"/>
  <c r="AI24" i="21"/>
  <c r="AI24" i="20"/>
  <c r="AI25" i="21"/>
  <c r="AI27" i="21"/>
  <c r="AI13" i="21"/>
  <c r="AI35" i="21"/>
  <c r="AI7" i="21"/>
  <c r="AI30" i="20"/>
  <c r="AI23" i="20"/>
  <c r="AI31" i="21"/>
  <c r="AI18" i="21"/>
  <c r="AI11" i="21"/>
  <c r="AI14" i="21"/>
  <c r="AI21" i="21"/>
  <c r="AI22" i="20"/>
  <c r="AI36" i="20"/>
  <c r="AI10" i="20"/>
  <c r="AI29" i="20"/>
  <c r="AI32" i="21"/>
  <c r="AI26" i="21"/>
  <c r="AI33" i="21"/>
  <c r="AI15" i="20"/>
  <c r="AI34" i="21"/>
  <c r="AI16" i="20"/>
  <c r="AI9" i="20"/>
  <c r="AI19" i="21"/>
  <c r="AI17" i="20"/>
  <c r="AI35" i="20"/>
  <c r="AI28" i="21"/>
  <c r="AI14" i="20"/>
  <c r="AI13" i="20"/>
  <c r="AI21" i="20"/>
  <c r="AI34" i="20"/>
  <c r="AI31" i="20"/>
  <c r="AI12" i="21"/>
  <c r="AI28" i="20"/>
  <c r="AY37" i="20"/>
  <c r="AY35" i="21"/>
  <c r="AY37" i="21"/>
  <c r="AY29" i="20"/>
  <c r="AY34" i="21"/>
  <c r="AY18" i="21"/>
  <c r="AY15" i="20"/>
  <c r="AY7" i="21"/>
  <c r="AY24" i="21"/>
  <c r="AY30" i="20"/>
  <c r="AY16" i="20"/>
  <c r="AY32" i="21"/>
  <c r="AY31" i="21"/>
  <c r="AY26" i="21"/>
  <c r="AY27" i="21"/>
  <c r="AY14" i="20"/>
  <c r="AY7" i="20"/>
  <c r="AY33" i="21"/>
  <c r="AY19" i="21"/>
  <c r="AY28" i="21"/>
  <c r="AY14" i="21"/>
  <c r="AY17" i="21"/>
  <c r="AY22" i="20"/>
  <c r="AY23" i="20"/>
  <c r="AY8" i="20"/>
  <c r="AY11" i="21"/>
  <c r="AY9" i="20"/>
  <c r="AY12" i="21"/>
  <c r="AY21" i="21"/>
  <c r="AY17" i="20"/>
  <c r="AY35" i="20"/>
  <c r="AY20" i="21"/>
  <c r="AY34" i="20"/>
  <c r="AY25" i="21"/>
  <c r="AY13" i="21"/>
  <c r="AY13" i="20"/>
  <c r="AY10" i="20"/>
  <c r="AY24" i="20"/>
  <c r="AY21" i="20"/>
  <c r="AY27" i="20"/>
  <c r="AY36" i="20"/>
  <c r="D82" i="1"/>
  <c r="E68" i="1"/>
  <c r="H69" i="1"/>
  <c r="G83" i="1"/>
  <c r="M83" i="1" s="1"/>
  <c r="I10" i="7"/>
  <c r="I18" i="7"/>
  <c r="I26" i="7"/>
  <c r="I34" i="7"/>
  <c r="K11" i="7"/>
  <c r="K19" i="7"/>
  <c r="K27" i="7"/>
  <c r="K35" i="7"/>
  <c r="M12" i="7"/>
  <c r="M20" i="7"/>
  <c r="M28" i="7"/>
  <c r="O13" i="7"/>
  <c r="O20" i="7"/>
  <c r="O26" i="7"/>
  <c r="O32" i="7"/>
  <c r="Q20" i="7"/>
  <c r="Q32" i="7"/>
  <c r="S28" i="7"/>
  <c r="Q7" i="20"/>
  <c r="AA23" i="20"/>
  <c r="S10" i="20"/>
  <c r="AC31" i="20"/>
  <c r="AU17" i="20"/>
  <c r="U15" i="20"/>
  <c r="AO19" i="21"/>
  <c r="U37" i="20"/>
  <c r="U37" i="21"/>
  <c r="U21" i="20"/>
  <c r="U28" i="20"/>
  <c r="U12" i="21"/>
  <c r="U35" i="21"/>
  <c r="U33" i="21"/>
  <c r="U14" i="21"/>
  <c r="U19" i="21"/>
  <c r="U31" i="20"/>
  <c r="U25" i="21"/>
  <c r="U18" i="21"/>
  <c r="U26" i="21"/>
  <c r="U7" i="21"/>
  <c r="U11" i="21"/>
  <c r="U34" i="21"/>
  <c r="U27" i="21"/>
  <c r="U23" i="20"/>
  <c r="U7" i="20"/>
  <c r="U8" i="20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U21" i="21"/>
  <c r="U13" i="20"/>
  <c r="U35" i="20"/>
  <c r="U29" i="20"/>
  <c r="U26" i="7"/>
  <c r="W26" i="7" s="1"/>
  <c r="Y26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U20" i="21"/>
  <c r="U13" i="21"/>
  <c r="U34" i="20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U24" i="21"/>
  <c r="U9" i="20"/>
  <c r="U28" i="21"/>
  <c r="U14" i="20"/>
  <c r="U10" i="20"/>
  <c r="U27" i="20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U17" i="21"/>
  <c r="U16" i="20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U30" i="20"/>
  <c r="U17" i="20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AK17" i="21"/>
  <c r="AK37" i="20"/>
  <c r="AK31" i="20"/>
  <c r="AK14" i="21"/>
  <c r="AK37" i="21"/>
  <c r="AK34" i="21"/>
  <c r="AK24" i="21"/>
  <c r="AK7" i="21"/>
  <c r="AK11" i="21"/>
  <c r="AK19" i="21"/>
  <c r="AK35" i="21"/>
  <c r="AK21" i="20"/>
  <c r="AK32" i="21"/>
  <c r="AK31" i="21"/>
  <c r="AK18" i="21"/>
  <c r="AK26" i="21"/>
  <c r="AK20" i="21"/>
  <c r="AK9" i="20"/>
  <c r="AK30" i="20"/>
  <c r="AK15" i="20"/>
  <c r="AK8" i="20"/>
  <c r="AK21" i="21"/>
  <c r="AK35" i="20"/>
  <c r="AK29" i="20"/>
  <c r="AK25" i="21"/>
  <c r="AK13" i="21"/>
  <c r="AK17" i="20"/>
  <c r="AK34" i="20"/>
  <c r="AK33" i="21"/>
  <c r="AK28" i="21"/>
  <c r="AK14" i="20"/>
  <c r="AK10" i="20"/>
  <c r="AK27" i="20"/>
  <c r="AK16" i="20"/>
  <c r="AK12" i="21"/>
  <c r="AK24" i="20"/>
  <c r="AK36" i="20"/>
  <c r="AK28" i="20"/>
  <c r="AK27" i="21"/>
  <c r="AK23" i="20"/>
  <c r="AK7" i="20"/>
  <c r="BA37" i="20"/>
  <c r="BA31" i="20"/>
  <c r="BA37" i="21"/>
  <c r="BA9" i="20"/>
  <c r="BA14" i="21"/>
  <c r="BA32" i="21"/>
  <c r="BA14" i="20"/>
  <c r="BA15" i="20"/>
  <c r="BA13" i="20"/>
  <c r="BA20" i="21"/>
  <c r="BA27" i="21"/>
  <c r="BA21" i="21"/>
  <c r="BA35" i="21"/>
  <c r="BA34" i="21"/>
  <c r="BA17" i="21"/>
  <c r="BA28" i="20"/>
  <c r="BA12" i="21"/>
  <c r="BA24" i="21"/>
  <c r="BA11" i="21"/>
  <c r="BA35" i="20"/>
  <c r="BA21" i="20"/>
  <c r="BA29" i="20"/>
  <c r="BA18" i="21"/>
  <c r="BA33" i="21"/>
  <c r="BA13" i="21"/>
  <c r="BA34" i="20"/>
  <c r="BA7" i="20"/>
  <c r="BA7" i="21"/>
  <c r="BA31" i="21"/>
  <c r="BA26" i="21"/>
  <c r="BA19" i="21"/>
  <c r="BA28" i="21"/>
  <c r="BA30" i="20"/>
  <c r="BA10" i="20"/>
  <c r="BA27" i="20"/>
  <c r="BA16" i="20"/>
  <c r="BA22" i="20"/>
  <c r="BA25" i="21"/>
  <c r="BA17" i="20"/>
  <c r="BA24" i="20"/>
  <c r="BA36" i="20"/>
  <c r="BA23" i="20"/>
  <c r="BA8" i="20"/>
  <c r="D81" i="1"/>
  <c r="E67" i="1"/>
  <c r="H68" i="1"/>
  <c r="G82" i="1"/>
  <c r="M82" i="1" s="1"/>
  <c r="I11" i="7"/>
  <c r="I19" i="7"/>
  <c r="I27" i="7"/>
  <c r="I35" i="7"/>
  <c r="K12" i="7"/>
  <c r="K20" i="7"/>
  <c r="K28" i="7"/>
  <c r="M13" i="7"/>
  <c r="M21" i="7"/>
  <c r="M37" i="7"/>
  <c r="O14" i="7"/>
  <c r="O21" i="7"/>
  <c r="O27" i="7"/>
  <c r="O33" i="7"/>
  <c r="Q21" i="7"/>
  <c r="Q35" i="7"/>
  <c r="AK22" i="20"/>
  <c r="W13" i="20"/>
  <c r="Q15" i="20"/>
  <c r="AA8" i="20"/>
  <c r="W14" i="21"/>
  <c r="W37" i="21"/>
  <c r="W37" i="20"/>
  <c r="W22" i="20"/>
  <c r="W28" i="20"/>
  <c r="W29" i="20"/>
  <c r="W25" i="21"/>
  <c r="W18" i="21"/>
  <c r="W20" i="21"/>
  <c r="W17" i="21"/>
  <c r="W13" i="21"/>
  <c r="W30" i="20"/>
  <c r="W27" i="21"/>
  <c r="W21" i="20"/>
  <c r="W26" i="21"/>
  <c r="W28" i="21"/>
  <c r="W7" i="21"/>
  <c r="W19" i="21"/>
  <c r="W14" i="20"/>
  <c r="W16" i="20"/>
  <c r="W8" i="20"/>
  <c r="W34" i="20"/>
  <c r="W24" i="20"/>
  <c r="W11" i="21"/>
  <c r="W7" i="20"/>
  <c r="W9" i="20"/>
  <c r="W27" i="20"/>
  <c r="W17" i="20"/>
  <c r="W23" i="20"/>
  <c r="W33" i="21"/>
  <c r="W36" i="20"/>
  <c r="W32" i="21"/>
  <c r="W31" i="21"/>
  <c r="W12" i="21"/>
  <c r="W15" i="20"/>
  <c r="W35" i="20"/>
  <c r="W21" i="21"/>
  <c r="W34" i="21"/>
  <c r="W31" i="20"/>
  <c r="W10" i="20"/>
  <c r="AM37" i="21"/>
  <c r="AM37" i="20"/>
  <c r="AM24" i="20"/>
  <c r="AM32" i="21"/>
  <c r="AM31" i="21"/>
  <c r="AM14" i="21"/>
  <c r="AM26" i="21"/>
  <c r="AM27" i="21"/>
  <c r="AM17" i="21"/>
  <c r="AM28" i="21"/>
  <c r="AM15" i="20"/>
  <c r="AM33" i="21"/>
  <c r="AM27" i="20"/>
  <c r="AM24" i="21"/>
  <c r="AM25" i="21"/>
  <c r="AM11" i="21"/>
  <c r="AM13" i="20"/>
  <c r="AM7" i="20"/>
  <c r="AM35" i="20"/>
  <c r="AM9" i="20"/>
  <c r="AM14" i="20"/>
  <c r="AM17" i="20"/>
  <c r="AM16" i="20"/>
  <c r="AM23" i="20"/>
  <c r="AM8" i="20"/>
  <c r="AM20" i="21"/>
  <c r="AM13" i="21"/>
  <c r="AM10" i="20"/>
  <c r="AM36" i="20"/>
  <c r="AM12" i="21"/>
  <c r="AM18" i="21"/>
  <c r="AM34" i="21"/>
  <c r="AM30" i="20"/>
  <c r="AM31" i="20"/>
  <c r="AM22" i="20"/>
  <c r="AM29" i="20"/>
  <c r="AM21" i="20"/>
  <c r="AM28" i="20"/>
  <c r="AM7" i="21"/>
  <c r="AM19" i="21"/>
  <c r="AM21" i="21"/>
  <c r="AM35" i="21"/>
  <c r="AM34" i="20"/>
  <c r="BC37" i="20"/>
  <c r="BC37" i="21"/>
  <c r="BC29" i="20"/>
  <c r="BC28" i="21"/>
  <c r="BC15" i="20"/>
  <c r="BC13" i="21"/>
  <c r="BC17" i="21"/>
  <c r="BC28" i="20"/>
  <c r="BC27" i="20"/>
  <c r="BC33" i="21"/>
  <c r="BC11" i="21"/>
  <c r="BC19" i="21"/>
  <c r="BC24" i="21"/>
  <c r="BC21" i="21"/>
  <c r="BC32" i="21"/>
  <c r="BC20" i="21"/>
  <c r="BC26" i="21"/>
  <c r="BC35" i="21"/>
  <c r="BC17" i="20"/>
  <c r="BC23" i="20"/>
  <c r="BC31" i="21"/>
  <c r="BC36" i="20"/>
  <c r="BC12" i="21"/>
  <c r="BC10" i="20"/>
  <c r="BC24" i="20"/>
  <c r="BC25" i="21"/>
  <c r="BC34" i="21"/>
  <c r="BC31" i="20"/>
  <c r="BC37" i="7"/>
  <c r="BC16" i="20"/>
  <c r="BC13" i="20"/>
  <c r="BC14" i="20"/>
  <c r="BC7" i="20"/>
  <c r="BC9" i="20"/>
  <c r="BC22" i="20"/>
  <c r="E74" i="1"/>
  <c r="D88" i="1"/>
  <c r="E66" i="1"/>
  <c r="D80" i="1"/>
  <c r="G81" i="1"/>
  <c r="M81" i="1" s="1"/>
  <c r="H67" i="1"/>
  <c r="I12" i="7"/>
  <c r="I20" i="7"/>
  <c r="I28" i="7"/>
  <c r="K13" i="7"/>
  <c r="K21" i="7"/>
  <c r="K37" i="7"/>
  <c r="M14" i="7"/>
  <c r="O7" i="7"/>
  <c r="O28" i="7"/>
  <c r="O34" i="7"/>
  <c r="BC34" i="7" s="1"/>
  <c r="Q1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AU9" i="20"/>
  <c r="AS22" i="20"/>
  <c r="O13" i="20"/>
  <c r="AS15" i="20"/>
  <c r="BC27" i="21"/>
  <c r="BC14" i="21"/>
  <c r="AG7" i="21"/>
  <c r="S8" i="20"/>
  <c r="L63" i="1"/>
  <c r="BE29" i="21"/>
  <c r="BE19" i="20"/>
  <c r="BE26" i="20"/>
  <c r="BE20" i="20"/>
  <c r="BE16" i="21"/>
  <c r="BE30" i="21"/>
  <c r="BE8" i="21"/>
  <c r="BE15" i="21"/>
  <c r="BE23" i="21"/>
  <c r="BE36" i="21"/>
  <c r="BE9" i="21"/>
  <c r="BE22" i="21"/>
  <c r="BE10" i="21"/>
  <c r="BE18" i="20"/>
  <c r="BE32" i="20"/>
  <c r="BE25" i="20"/>
  <c r="BE11" i="20"/>
  <c r="BE33" i="20"/>
  <c r="BE12" i="20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BC14" i="7"/>
  <c r="BC20" i="7"/>
  <c r="BC29" i="7"/>
  <c r="BC9" i="7"/>
  <c r="BD9" i="7"/>
  <c r="BC35" i="7"/>
  <c r="BC33" i="7"/>
  <c r="BD33" i="7"/>
  <c r="BC8" i="7"/>
  <c r="BC10" i="7"/>
  <c r="BD10" i="7"/>
  <c r="BC21" i="7"/>
  <c r="BC26" i="7"/>
  <c r="BD26" i="7"/>
  <c r="BC30" i="7"/>
  <c r="BC24" i="7"/>
  <c r="BD24" i="7"/>
  <c r="BC11" i="7"/>
  <c r="BC16" i="7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DC38" i="8"/>
  <c r="CG38" i="8"/>
  <c r="DA38" i="8"/>
  <c r="DE38" i="8"/>
  <c r="DM38" i="8"/>
  <c r="DW38" i="8"/>
  <c r="CE38" i="8"/>
  <c r="CM38" i="8"/>
  <c r="DS38" i="8"/>
  <c r="CO38" i="8"/>
  <c r="CW38" i="8"/>
  <c r="DU38" i="8"/>
  <c r="DK38" i="8"/>
  <c r="CI38" i="8"/>
  <c r="DY38" i="8"/>
  <c r="EA7" i="7"/>
  <c r="CQ38" i="8"/>
  <c r="CY38" i="8"/>
  <c r="DO38" i="8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9" i="7" l="1"/>
  <c r="BE15" i="7"/>
  <c r="W38" i="23"/>
  <c r="BE31" i="7"/>
  <c r="BE16" i="22"/>
  <c r="BE33" i="23"/>
  <c r="BE28" i="23"/>
  <c r="BE31" i="22"/>
  <c r="BE23" i="22"/>
  <c r="U38" i="23"/>
  <c r="S38" i="22"/>
  <c r="O38" i="23"/>
  <c r="BE22" i="23"/>
  <c r="BE35" i="23"/>
  <c r="BE12" i="23"/>
  <c r="BE7" i="23"/>
  <c r="K38" i="23"/>
  <c r="BE18" i="22"/>
  <c r="Q38" i="22"/>
  <c r="BE21" i="23"/>
  <c r="BE36" i="23"/>
  <c r="BE20" i="23"/>
  <c r="BE8" i="23"/>
  <c r="BE12" i="22"/>
  <c r="BE10" i="22"/>
  <c r="BE23" i="23"/>
  <c r="BE36" i="22"/>
  <c r="BE14" i="23"/>
  <c r="BE30" i="23"/>
  <c r="Q38" i="23"/>
  <c r="M38" i="23"/>
  <c r="BE32" i="22"/>
  <c r="BE16" i="23"/>
  <c r="BE29" i="23"/>
  <c r="BE19" i="22"/>
  <c r="BE17" i="22"/>
  <c r="BE15" i="23"/>
  <c r="S38" i="23"/>
  <c r="BE27" i="23"/>
  <c r="BE25" i="22"/>
  <c r="BE8" i="22"/>
  <c r="K38" i="22"/>
  <c r="BE34" i="23"/>
  <c r="BE9" i="22"/>
  <c r="BE26" i="23"/>
  <c r="O38" i="22"/>
  <c r="M38" i="22"/>
  <c r="BE15" i="22"/>
  <c r="BE26" i="22"/>
  <c r="BE24" i="22"/>
  <c r="BE9" i="23"/>
  <c r="BE29" i="22"/>
  <c r="BE25" i="7"/>
  <c r="BE23" i="7"/>
  <c r="BE11" i="22"/>
  <c r="BE22" i="22"/>
  <c r="BE33" i="22"/>
  <c r="BE13" i="23"/>
  <c r="BE30" i="22"/>
  <c r="BE16" i="7"/>
  <c r="BE24" i="7"/>
  <c r="BE8" i="7"/>
  <c r="BE18" i="7"/>
  <c r="BE35" i="20"/>
  <c r="BE8" i="20"/>
  <c r="BE17" i="20"/>
  <c r="BE7" i="21"/>
  <c r="BE23" i="20"/>
  <c r="BE36" i="20"/>
  <c r="BE31" i="20"/>
  <c r="BE28" i="20"/>
  <c r="BE16" i="20"/>
  <c r="BE7" i="20"/>
  <c r="BE12" i="21"/>
  <c r="BE11" i="21"/>
  <c r="BE14" i="21"/>
  <c r="BE10" i="20"/>
  <c r="BE34" i="20"/>
  <c r="BE22" i="20"/>
  <c r="BE24" i="20"/>
  <c r="BE15" i="20"/>
  <c r="BE27" i="20"/>
  <c r="BE14" i="20"/>
  <c r="BE13" i="21"/>
  <c r="BE29" i="20"/>
  <c r="BE21" i="20"/>
  <c r="BE9" i="20"/>
  <c r="BE30" i="20"/>
  <c r="BE35" i="21"/>
  <c r="BE34" i="21"/>
  <c r="BE33" i="21"/>
  <c r="BE32" i="21"/>
  <c r="BE31" i="21"/>
  <c r="BE28" i="21"/>
  <c r="BE27" i="21"/>
  <c r="BE26" i="21"/>
  <c r="BE25" i="21"/>
  <c r="BE24" i="21"/>
  <c r="BE21" i="21"/>
  <c r="BE20" i="21"/>
  <c r="BE19" i="21"/>
  <c r="BE18" i="21"/>
  <c r="BE17" i="21"/>
  <c r="M88" i="1"/>
  <c r="BE20" i="7"/>
  <c r="L71" i="1"/>
  <c r="J85" i="1"/>
  <c r="BE13" i="20"/>
  <c r="J86" i="1"/>
  <c r="L72" i="1"/>
  <c r="L69" i="1"/>
  <c r="J83" i="1"/>
  <c r="J80" i="1"/>
  <c r="L66" i="1"/>
  <c r="J87" i="1"/>
  <c r="L73" i="1"/>
  <c r="J84" i="1"/>
  <c r="L70" i="1"/>
  <c r="J88" i="1"/>
  <c r="L74" i="1"/>
  <c r="L67" i="1"/>
  <c r="J81" i="1"/>
  <c r="BE33" i="7"/>
  <c r="J82" i="1"/>
  <c r="L68" i="1"/>
  <c r="M80" i="1"/>
  <c r="BD37" i="7"/>
  <c r="BD12" i="7"/>
  <c r="BD30" i="7"/>
  <c r="BD8" i="7"/>
  <c r="BD29" i="7"/>
  <c r="BD13" i="7"/>
  <c r="BD27" i="7"/>
  <c r="BD11" i="7"/>
  <c r="BE17" i="7"/>
  <c r="BE10" i="7"/>
  <c r="BD32" i="7"/>
  <c r="BD19" i="7"/>
  <c r="BD20" i="7"/>
  <c r="BD21" i="7"/>
  <c r="BD35" i="7"/>
  <c r="BD14" i="7"/>
  <c r="BE35" i="7"/>
  <c r="BE32" i="7"/>
  <c r="BD17" i="7"/>
  <c r="H36" i="1"/>
  <c r="K35" i="1"/>
  <c r="K64" i="1" s="1"/>
  <c r="H35" i="1"/>
  <c r="BE13" i="7"/>
  <c r="BE27" i="7"/>
  <c r="BE36" i="7"/>
  <c r="BE19" i="7"/>
  <c r="BE28" i="7"/>
  <c r="BE34" i="7"/>
  <c r="AI38" i="8"/>
  <c r="AE38" i="8"/>
  <c r="AK38" i="8"/>
  <c r="BE12" i="7"/>
  <c r="BE21" i="7"/>
  <c r="BE26" i="7"/>
  <c r="BE11" i="7"/>
  <c r="BE29" i="7"/>
  <c r="AO38" i="8"/>
  <c r="I38" i="8"/>
  <c r="Q38" i="8"/>
  <c r="AW38" i="8"/>
  <c r="O38" i="8"/>
  <c r="AU38" i="8"/>
  <c r="U38" i="8"/>
  <c r="E35" i="1"/>
  <c r="W38" i="8"/>
  <c r="AS38" i="8"/>
  <c r="M38" i="8"/>
  <c r="BE14" i="7"/>
  <c r="BE22" i="7"/>
  <c r="BC38" i="8"/>
  <c r="AM38" i="8"/>
  <c r="BA38" i="8"/>
  <c r="AC38" i="8"/>
  <c r="BE30" i="7"/>
  <c r="L35" i="1" l="1"/>
  <c r="G79" i="1"/>
  <c r="H65" i="1"/>
  <c r="H64" i="1"/>
  <c r="G78" i="1"/>
  <c r="E64" i="1"/>
  <c r="D78" i="1"/>
  <c r="BE38" i="8"/>
  <c r="J78" i="1" l="1"/>
  <c r="L64" i="1"/>
  <c r="M78" i="1"/>
  <c r="E36" i="1"/>
  <c r="L36" i="1" s="1"/>
  <c r="K31" i="1" s="1"/>
  <c r="J79" i="1" l="1"/>
  <c r="E65" i="1"/>
  <c r="D79" i="1"/>
  <c r="M79" i="1" s="1"/>
  <c r="L65" i="1"/>
  <c r="L31" i="1" l="1"/>
  <c r="BC7" i="7" l="1"/>
  <c r="BD7" i="7"/>
  <c r="BE7" i="7" l="1"/>
</calcChain>
</file>

<file path=xl/sharedStrings.xml><?xml version="1.0" encoding="utf-8"?>
<sst xmlns="http://schemas.openxmlformats.org/spreadsheetml/2006/main" count="4805" uniqueCount="396">
  <si>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</si>
  <si>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</si>
  <si>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</si>
  <si>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</si>
  <si>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</si>
  <si>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</si>
  <si>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</si>
  <si>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</si>
  <si>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</si>
  <si>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</si>
  <si>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</si>
  <si>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</si>
  <si>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</si>
  <si>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</si>
  <si>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</si>
  <si>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</si>
  <si>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</si>
  <si>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</si>
  <si>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</si>
  <si>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</si>
  <si>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</si>
  <si>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</si>
  <si>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</si>
  <si>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</si>
  <si>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</si>
  <si>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</si>
  <si>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</si>
  <si>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</si>
  <si>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</si>
  <si>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</si>
  <si>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</si>
  <si>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</si>
  <si>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</si>
  <si>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</si>
  <si>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</si>
  <si>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</si>
  <si>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</si>
  <si>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</si>
  <si>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</si>
  <si>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</si>
  <si>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</si>
  <si>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</si>
  <si>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</si>
  <si>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</si>
  <si>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</si>
  <si>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</si>
  <si>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</si>
  <si>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</si>
  <si>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</si>
  <si>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</si>
  <si>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</si>
  <si>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</si>
  <si>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</si>
  <si>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</si>
  <si>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</si>
  <si>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</si>
  <si>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</si>
  <si>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</si>
  <si>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</si>
  <si>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</si>
  <si>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</si>
  <si>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</si>
  <si>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</si>
  <si>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</si>
  <si>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</si>
  <si>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</si>
  <si>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</si>
  <si>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</si>
  <si>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</si>
  <si>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</si>
  <si>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</si>
  <si>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</si>
  <si>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</si>
  <si>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</si>
  <si>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</si>
  <si>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</si>
  <si>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</si>
  <si>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</si>
  <si>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</si>
  <si>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</si>
  <si>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</si>
  <si>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</si>
  <si>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</si>
  <si>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</si>
  <si>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</si>
  <si>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</si>
  <si>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</si>
  <si>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</si>
  <si>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</si>
  <si>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</si>
  <si>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</si>
  <si>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</si>
  <si>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</si>
  <si>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</si>
  <si>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</si>
  <si>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</si>
  <si>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</si>
  <si>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</si>
  <si>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</si>
  <si>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</si>
  <si>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</si>
  <si>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</si>
  <si>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</si>
  <si>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</si>
  <si>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</si>
  <si>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</si>
  <si>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</si>
  <si>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</si>
  <si>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</si>
  <si>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</si>
  <si>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</si>
  <si>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</si>
  <si>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</si>
  <si>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</si>
  <si>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</si>
  <si>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</si>
  <si>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</si>
  <si>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</si>
  <si>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</si>
  <si>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消費</t>
    <rPh sb="0" eb="2">
      <t>ショウヒ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</si>
  <si>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</si>
  <si>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</si>
  <si>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</si>
  <si>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</si>
  <si>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</si>
  <si>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</si>
  <si>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</si>
  <si>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</si>
  <si>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</si>
  <si>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</si>
  <si>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</si>
  <si>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</si>
  <si>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</si>
  <si>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</si>
  <si>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</si>
  <si>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</si>
  <si>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</si>
  <si>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</si>
  <si>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</si>
  <si>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</si>
  <si>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</si>
  <si>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</si>
  <si>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</si>
  <si>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</si>
  <si>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</si>
  <si>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</si>
  <si>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</si>
  <si>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</si>
  <si>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</si>
  <si>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</si>
  <si>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</si>
  <si>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</si>
  <si>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</si>
  <si>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</si>
  <si>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</si>
  <si>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</si>
  <si>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</si>
  <si>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</si>
  <si>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</si>
  <si>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</si>
  <si>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</si>
  <si>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</si>
  <si>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</si>
  <si>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</si>
  <si>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</si>
  <si>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</si>
  <si>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</si>
  <si>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</si>
  <si>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</si>
  <si>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</si>
  <si>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</si>
  <si>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</si>
  <si>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</si>
  <si>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</si>
  <si>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</si>
  <si>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</si>
  <si>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</si>
  <si>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</si>
  <si>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</si>
  <si>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</si>
  <si>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</si>
  <si>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</si>
  <si>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</si>
  <si>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</si>
  <si>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</si>
  <si>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</si>
  <si>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</si>
  <si>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</si>
  <si>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</si>
  <si>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</si>
  <si>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</si>
  <si>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</si>
  <si>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</si>
  <si>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</si>
  <si>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</si>
  <si>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</si>
  <si>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</si>
  <si>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12月</t>
    <rPh sb="2" eb="3">
      <t>ガツ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</si>
  <si>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</si>
  <si>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</si>
  <si>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</si>
  <si>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</si>
  <si>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</si>
  <si>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</si>
  <si>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</si>
  <si>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</si>
  <si>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</si>
  <si>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</si>
  <si>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</si>
  <si>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</si>
  <si>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</si>
  <si>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</si>
  <si>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</si>
  <si>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</si>
  <si>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</si>
  <si>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</si>
  <si>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</si>
  <si>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</si>
  <si>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</si>
  <si>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</si>
  <si>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</si>
  <si>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</si>
  <si>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</si>
  <si>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</si>
  <si>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</si>
  <si>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</si>
  <si>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</si>
  <si>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</si>
  <si>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</si>
  <si>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</si>
  <si>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</si>
  <si>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</si>
  <si>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</si>
  <si>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</si>
  <si>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</si>
  <si>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</si>
  <si>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</si>
  <si>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</si>
  <si>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</si>
  <si>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</si>
  <si>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</si>
  <si>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</si>
  <si>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</si>
  <si>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</si>
  <si>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</si>
  <si>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</si>
  <si>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</si>
  <si>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</si>
  <si>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</si>
  <si>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</si>
  <si>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</si>
  <si>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</si>
  <si>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</si>
  <si>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</si>
  <si>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</si>
  <si>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</si>
  <si>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</si>
  <si>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</si>
  <si>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</si>
  <si>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</si>
  <si>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</si>
  <si>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</si>
  <si>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Kw</t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</si>
  <si>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</si>
  <si>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</si>
  <si>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エコ</t>
  </si>
  <si>
    <t>2023年11月1日</t>
    <rPh sb="4" eb="5">
      <t>ネン</t>
    </rPh>
    <rPh sb="7" eb="8">
      <t>ガツ</t>
    </rPh>
    <rPh sb="9" eb="10">
      <t>ニチ</t>
    </rPh>
    <phoneticPr fontId="1"/>
  </si>
  <si>
    <t>2023年11月2日</t>
    <rPh sb="4" eb="5">
      <t>ネン</t>
    </rPh>
    <rPh sb="7" eb="8">
      <t>ガツ</t>
    </rPh>
    <rPh sb="9" eb="10">
      <t>ニチ</t>
    </rPh>
    <phoneticPr fontId="1"/>
  </si>
  <si>
    <t>2023年11月3日</t>
    <rPh sb="4" eb="5">
      <t>ネン</t>
    </rPh>
    <rPh sb="7" eb="8">
      <t>ガツ</t>
    </rPh>
    <rPh sb="9" eb="10">
      <t>ニチ</t>
    </rPh>
    <phoneticPr fontId="1"/>
  </si>
  <si>
    <t>2023年11月4日</t>
    <rPh sb="4" eb="5">
      <t>ネン</t>
    </rPh>
    <rPh sb="7" eb="8">
      <t>ガツ</t>
    </rPh>
    <rPh sb="9" eb="10">
      <t>ニチ</t>
    </rPh>
    <phoneticPr fontId="1"/>
  </si>
  <si>
    <t>2023年11月5日</t>
    <rPh sb="4" eb="5">
      <t>ネン</t>
    </rPh>
    <rPh sb="7" eb="8">
      <t>ガツ</t>
    </rPh>
    <rPh sb="9" eb="10">
      <t>ニチ</t>
    </rPh>
    <phoneticPr fontId="1"/>
  </si>
  <si>
    <t>2023年11月6日</t>
    <rPh sb="4" eb="5">
      <t>ネン</t>
    </rPh>
    <rPh sb="7" eb="8">
      <t>ガツ</t>
    </rPh>
    <rPh sb="9" eb="10">
      <t>ニチ</t>
    </rPh>
    <phoneticPr fontId="1"/>
  </si>
  <si>
    <t>2023年11月7日</t>
    <rPh sb="4" eb="5">
      <t>ネン</t>
    </rPh>
    <rPh sb="7" eb="8">
      <t>ガツ</t>
    </rPh>
    <rPh sb="9" eb="10">
      <t>ニチ</t>
    </rPh>
    <phoneticPr fontId="1"/>
  </si>
  <si>
    <t>2023年11月8日</t>
    <rPh sb="4" eb="5">
      <t>ネン</t>
    </rPh>
    <rPh sb="7" eb="8">
      <t>ガツ</t>
    </rPh>
    <rPh sb="9" eb="10">
      <t>ニチ</t>
    </rPh>
    <phoneticPr fontId="1"/>
  </si>
  <si>
    <t>2023年11月9日</t>
    <rPh sb="4" eb="5">
      <t>ネン</t>
    </rPh>
    <rPh sb="7" eb="8">
      <t>ガツ</t>
    </rPh>
    <rPh sb="9" eb="10">
      <t>ニチ</t>
    </rPh>
    <phoneticPr fontId="1"/>
  </si>
  <si>
    <t>2023年11月10日</t>
    <rPh sb="4" eb="5">
      <t>ネン</t>
    </rPh>
    <rPh sb="7" eb="8">
      <t>ガツ</t>
    </rPh>
    <rPh sb="10" eb="11">
      <t>ニチ</t>
    </rPh>
    <phoneticPr fontId="1"/>
  </si>
  <si>
    <t>2023年11月11日</t>
    <rPh sb="4" eb="5">
      <t>ネン</t>
    </rPh>
    <rPh sb="7" eb="8">
      <t>ガツ</t>
    </rPh>
    <rPh sb="10" eb="11">
      <t>ニチ</t>
    </rPh>
    <phoneticPr fontId="1"/>
  </si>
  <si>
    <t>2023年11月12日</t>
    <rPh sb="4" eb="5">
      <t>ネン</t>
    </rPh>
    <rPh sb="7" eb="8">
      <t>ガツ</t>
    </rPh>
    <rPh sb="10" eb="11">
      <t>ニチ</t>
    </rPh>
    <phoneticPr fontId="1"/>
  </si>
  <si>
    <t>2023年11月13日</t>
    <rPh sb="4" eb="5">
      <t>ネン</t>
    </rPh>
    <rPh sb="7" eb="8">
      <t>ガツ</t>
    </rPh>
    <rPh sb="10" eb="11">
      <t>ニチ</t>
    </rPh>
    <phoneticPr fontId="1"/>
  </si>
  <si>
    <t>2023年11月14日</t>
    <rPh sb="4" eb="5">
      <t>ネン</t>
    </rPh>
    <rPh sb="7" eb="8">
      <t>ガツ</t>
    </rPh>
    <rPh sb="10" eb="11">
      <t>ニチ</t>
    </rPh>
    <phoneticPr fontId="1"/>
  </si>
  <si>
    <t>2023年11月15日</t>
    <rPh sb="4" eb="5">
      <t>ネン</t>
    </rPh>
    <rPh sb="7" eb="8">
      <t>ガツ</t>
    </rPh>
    <rPh sb="10" eb="11">
      <t>ニチ</t>
    </rPh>
    <phoneticPr fontId="1"/>
  </si>
  <si>
    <t>2023年11月16日</t>
    <rPh sb="4" eb="5">
      <t>ネン</t>
    </rPh>
    <rPh sb="7" eb="8">
      <t>ガツ</t>
    </rPh>
    <rPh sb="10" eb="11">
      <t>ニチ</t>
    </rPh>
    <phoneticPr fontId="1"/>
  </si>
  <si>
    <t>2023年11月17日</t>
    <rPh sb="4" eb="5">
      <t>ネン</t>
    </rPh>
    <rPh sb="7" eb="8">
      <t>ガツ</t>
    </rPh>
    <rPh sb="10" eb="11">
      <t>ニチ</t>
    </rPh>
    <phoneticPr fontId="1"/>
  </si>
  <si>
    <t>2023年11月18日</t>
    <rPh sb="4" eb="5">
      <t>ネン</t>
    </rPh>
    <rPh sb="7" eb="8">
      <t>ガツ</t>
    </rPh>
    <rPh sb="10" eb="11">
      <t>ニチ</t>
    </rPh>
    <phoneticPr fontId="1"/>
  </si>
  <si>
    <t>2023年11月19日</t>
    <rPh sb="4" eb="5">
      <t>ネン</t>
    </rPh>
    <rPh sb="7" eb="8">
      <t>ガツ</t>
    </rPh>
    <rPh sb="10" eb="11">
      <t>ニチ</t>
    </rPh>
    <phoneticPr fontId="1"/>
  </si>
  <si>
    <t>2023年11月20日</t>
    <rPh sb="4" eb="5">
      <t>ネン</t>
    </rPh>
    <rPh sb="7" eb="8">
      <t>ガツ</t>
    </rPh>
    <rPh sb="10" eb="11">
      <t>ニチ</t>
    </rPh>
    <phoneticPr fontId="1"/>
  </si>
  <si>
    <t>2023年11月21日</t>
    <rPh sb="4" eb="5">
      <t>ネン</t>
    </rPh>
    <rPh sb="7" eb="8">
      <t>ガツ</t>
    </rPh>
    <rPh sb="10" eb="11">
      <t>ニチ</t>
    </rPh>
    <phoneticPr fontId="1"/>
  </si>
  <si>
    <t>2023年11月22日</t>
    <rPh sb="4" eb="5">
      <t>ネン</t>
    </rPh>
    <rPh sb="7" eb="8">
      <t>ガツ</t>
    </rPh>
    <rPh sb="10" eb="11">
      <t>ニチ</t>
    </rPh>
    <phoneticPr fontId="1"/>
  </si>
  <si>
    <t>2023年11月23日</t>
    <rPh sb="4" eb="5">
      <t>ネン</t>
    </rPh>
    <rPh sb="7" eb="8">
      <t>ガツ</t>
    </rPh>
    <rPh sb="10" eb="11">
      <t>ニチ</t>
    </rPh>
    <phoneticPr fontId="1"/>
  </si>
  <si>
    <t>2023年11月24日</t>
    <rPh sb="4" eb="5">
      <t>ネン</t>
    </rPh>
    <rPh sb="7" eb="8">
      <t>ガツ</t>
    </rPh>
    <rPh sb="10" eb="11">
      <t>ニチ</t>
    </rPh>
    <phoneticPr fontId="1"/>
  </si>
  <si>
    <t>2023年11月25日</t>
    <rPh sb="4" eb="5">
      <t>ネン</t>
    </rPh>
    <rPh sb="7" eb="8">
      <t>ガツ</t>
    </rPh>
    <rPh sb="10" eb="11">
      <t>ニチ</t>
    </rPh>
    <phoneticPr fontId="1"/>
  </si>
  <si>
    <t>2023年11月26日</t>
    <rPh sb="4" eb="5">
      <t>ネン</t>
    </rPh>
    <rPh sb="7" eb="8">
      <t>ガツ</t>
    </rPh>
    <rPh sb="10" eb="11">
      <t>ニチ</t>
    </rPh>
    <phoneticPr fontId="1"/>
  </si>
  <si>
    <t>2023年11月27日</t>
    <rPh sb="4" eb="5">
      <t>ネン</t>
    </rPh>
    <rPh sb="7" eb="8">
      <t>ガツ</t>
    </rPh>
    <rPh sb="10" eb="11">
      <t>ニチ</t>
    </rPh>
    <phoneticPr fontId="1"/>
  </si>
  <si>
    <t>2023年11月28日</t>
    <rPh sb="4" eb="5">
      <t>ネン</t>
    </rPh>
    <rPh sb="7" eb="8">
      <t>ガツ</t>
    </rPh>
    <rPh sb="10" eb="11">
      <t>ニチ</t>
    </rPh>
    <phoneticPr fontId="1"/>
  </si>
  <si>
    <t>2023年11月29日</t>
    <rPh sb="4" eb="5">
      <t>ネン</t>
    </rPh>
    <rPh sb="7" eb="8">
      <t>ガツ</t>
    </rPh>
    <rPh sb="10" eb="11">
      <t>ニチ</t>
    </rPh>
    <phoneticPr fontId="1"/>
  </si>
  <si>
    <t>2023年11月30日</t>
    <rPh sb="4" eb="5">
      <t>ネン</t>
    </rPh>
    <rPh sb="7" eb="8">
      <t>ガツ</t>
    </rPh>
    <rPh sb="10" eb="11">
      <t>ニチ</t>
    </rPh>
    <phoneticPr fontId="1"/>
  </si>
  <si>
    <t>曇</t>
  </si>
  <si>
    <t>雨</t>
  </si>
  <si>
    <t>晴</t>
  </si>
  <si>
    <t>曇</t>
    <phoneticPr fontId="1"/>
  </si>
  <si>
    <t>雨</t>
    <phoneticPr fontId="1"/>
  </si>
  <si>
    <t>晴</t>
    <phoneticPr fontId="1"/>
  </si>
  <si>
    <t>前年</t>
    <rPh sb="0" eb="2">
      <t>ゼンネン</t>
    </rPh>
    <phoneticPr fontId="1"/>
  </si>
  <si>
    <t>前年比</t>
    <rPh sb="0" eb="3">
      <t>ゼンネンヒ</t>
    </rPh>
    <phoneticPr fontId="1"/>
  </si>
  <si>
    <t>比較用</t>
    <rPh sb="0" eb="3">
      <t>ヒカクヨウ</t>
    </rPh>
    <phoneticPr fontId="1"/>
  </si>
  <si>
    <t>買電</t>
    <rPh sb="0" eb="2">
      <t>カイデン</t>
    </rPh>
    <phoneticPr fontId="1"/>
  </si>
  <si>
    <t>前年</t>
    <rPh sb="0" eb="2">
      <t>ゼンネン</t>
    </rPh>
    <phoneticPr fontId="1"/>
  </si>
  <si>
    <t>当年</t>
    <rPh sb="0" eb="2">
      <t>トウネン</t>
    </rPh>
    <phoneticPr fontId="1"/>
  </si>
  <si>
    <t>売電</t>
    <rPh sb="0" eb="2">
      <t>バイデン</t>
    </rPh>
    <phoneticPr fontId="1"/>
  </si>
  <si>
    <t>太陽光利益</t>
    <rPh sb="0" eb="5">
      <t>タイヨウコウリエキ</t>
    </rPh>
    <phoneticPr fontId="1"/>
  </si>
  <si>
    <t>グラフ</t>
    <phoneticPr fontId="1"/>
  </si>
  <si>
    <t>売電-買電</t>
    <rPh sb="0" eb="2">
      <t>バイデン</t>
    </rPh>
    <rPh sb="3" eb="5">
      <t>カイデン</t>
    </rPh>
    <phoneticPr fontId="1"/>
  </si>
  <si>
    <t>合計値</t>
    <rPh sb="0" eb="3">
      <t>ゴウケイアタイ</t>
    </rPh>
    <phoneticPr fontId="1"/>
  </si>
  <si>
    <t>前年まで利益</t>
    <rPh sb="0" eb="2">
      <t>ゼンネン</t>
    </rPh>
    <rPh sb="4" eb="6">
      <t>リエキ</t>
    </rPh>
    <phoneticPr fontId="1"/>
  </si>
  <si>
    <t>10月</t>
    <rPh sb="2" eb="3">
      <t>ガツ</t>
    </rPh>
    <phoneticPr fontId="1"/>
  </si>
  <si>
    <t>※前半を10月１日から計算</t>
    <rPh sb="1" eb="3">
      <t>ゼンハン</t>
    </rPh>
    <rPh sb="6" eb="7">
      <t>ガツ</t>
    </rPh>
    <rPh sb="8" eb="9">
      <t>ニチ</t>
    </rPh>
    <rPh sb="11" eb="13">
      <t>ケイサン</t>
    </rPh>
    <phoneticPr fontId="1"/>
  </si>
  <si>
    <t>※10月1日から計算</t>
    <rPh sb="3" eb="4">
      <t>ガツ</t>
    </rPh>
    <rPh sb="5" eb="6">
      <t>ニチ</t>
    </rPh>
    <rPh sb="8" eb="10">
      <t>ケイサン</t>
    </rPh>
    <phoneticPr fontId="1"/>
  </si>
  <si>
    <t>※後半は翌年の10月に加算</t>
    <rPh sb="1" eb="3">
      <t>コウハン</t>
    </rPh>
    <rPh sb="4" eb="6">
      <t>ヨクネン</t>
    </rPh>
    <rPh sb="9" eb="10">
      <t>ガツ</t>
    </rPh>
    <rPh sb="11" eb="13">
      <t>カサン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</si>
  <si>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</si>
  <si>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</si>
  <si>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</si>
  <si>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</si>
  <si>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</si>
  <si>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</si>
  <si>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</si>
  <si>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</si>
  <si>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</si>
  <si>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</si>
  <si>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</si>
  <si>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</si>
  <si>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</si>
  <si>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</si>
  <si>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</si>
  <si>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</si>
  <si>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</si>
  <si>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</si>
  <si>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</si>
  <si>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</si>
  <si>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</si>
  <si>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</si>
  <si>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</si>
  <si>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</si>
  <si>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</si>
  <si>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</si>
  <si>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</si>
  <si>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</si>
  <si>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</si>
  <si>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</si>
  <si>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12月31日</t>
    <rPh sb="2" eb="3">
      <t>ガツ</t>
    </rPh>
    <rPh sb="5" eb="6">
      <t>ニチ</t>
    </rPh>
    <phoneticPr fontId="1"/>
  </si>
  <si>
    <t>2024年</t>
    <rPh sb="4" eb="5">
      <t>ネン</t>
    </rPh>
    <phoneticPr fontId="1"/>
  </si>
  <si>
    <t>1月</t>
    <rPh sb="1" eb="2">
      <t>ガツ</t>
    </rPh>
    <phoneticPr fontId="1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</si>
  <si>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</si>
  <si>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</si>
  <si>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</si>
  <si>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</si>
  <si>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</si>
  <si>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</si>
  <si>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</si>
  <si>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</si>
  <si>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</si>
  <si>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</si>
  <si>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</si>
  <si>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年月対応</t>
    <rPh sb="0" eb="2">
      <t>ネンゲツ</t>
    </rPh>
    <rPh sb="2" eb="4">
      <t>タイオウ</t>
    </rPh>
    <phoneticPr fontId="1"/>
  </si>
  <si>
    <t>2025年</t>
    <rPh sb="4" eb="5">
      <t>ネン</t>
    </rPh>
    <phoneticPr fontId="1"/>
  </si>
  <si>
    <t>1月31日</t>
    <rPh sb="1" eb="2">
      <t>ガツ</t>
    </rPh>
    <rPh sb="4" eb="5">
      <t>ニチ</t>
    </rPh>
    <phoneticPr fontId="1"/>
  </si>
  <si>
    <t>霙</t>
  </si>
  <si>
    <t>雪</t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</si>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</sst>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  <xf numFmtId="9" fontId="0" fillId="0" borderId="0" xfId="42" applyFont="1">
      <alignment vertical="center"/>
    </xf>
    <xf numFmtId="49" fontId="0" fillId="0" borderId="2" xfId="0" applyNumberFormat="1" applyBorder="1">
      <alignment vertical="center"/>
    </xf>
    <xf numFmtId="56" fontId="0" fillId="0" borderId="2" xfId="0" applyNumberFormat="1" applyBorder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6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買電グラフ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基本シート!$C$76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基本シート!$C$77:$C$88</c:f>
              <c:numCache>
                <c:formatCode>General</c:formatCode>
                <c:ptCount val="12"/>
                <c:pt idx="0">
                  <c:v>8000</c:v>
                </c:pt>
                <c:pt idx="1">
                  <c:v>21236</c:v>
                </c:pt>
                <c:pt idx="2">
                  <c:v>25702</c:v>
                </c:pt>
                <c:pt idx="3">
                  <c:v>18855</c:v>
                </c:pt>
                <c:pt idx="4">
                  <c:v>18393</c:v>
                </c:pt>
                <c:pt idx="5">
                  <c:v>4142</c:v>
                </c:pt>
                <c:pt idx="6">
                  <c:v>608</c:v>
                </c:pt>
                <c:pt idx="7">
                  <c:v>317</c:v>
                </c:pt>
                <c:pt idx="8">
                  <c:v>543</c:v>
                </c:pt>
                <c:pt idx="9">
                  <c:v>1014</c:v>
                </c:pt>
                <c:pt idx="10">
                  <c:v>1491</c:v>
                </c:pt>
                <c:pt idx="11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855-490E-90D9-46DD6E106FDA}"/>
            </c:ext>
          </c:extLst>
        </c:ser>
        <c:ser>
          <c:idx val="1"/>
          <c:order val="1"/>
          <c:tx>
            <c:strRef>
              <c:f>基本シート!$D$76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基本シート!$D$77:$D$88</c:f>
              <c:numCache>
                <c:formatCode>General</c:formatCode>
                <c:ptCount val="12"/>
                <c:pt idx="0">
                  <c:v>7941</c:v>
                </c:pt>
                <c:pt idx="1">
                  <c:v>19039</c:v>
                </c:pt>
                <c:pt idx="2">
                  <c:v>24369</c:v>
                </c:pt>
                <c:pt idx="3">
                  <c:v>15613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855-490E-90D9-46DD6E106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基本シート!$F$76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基本シート!$F$77:$F$88</c:f>
              <c:numCache>
                <c:formatCode>General</c:formatCode>
                <c:ptCount val="12"/>
                <c:pt idx="0">
                  <c:v>16477</c:v>
                </c:pt>
                <c:pt idx="1">
                  <c:v>3680</c:v>
                </c:pt>
                <c:pt idx="2">
                  <c:v>4360</c:v>
                </c:pt>
                <c:pt idx="3">
                  <c:v>7273</c:v>
                </c:pt>
                <c:pt idx="4">
                  <c:v>5476</c:v>
                </c:pt>
                <c:pt idx="5">
                  <c:v>17533</c:v>
                </c:pt>
                <c:pt idx="6">
                  <c:v>18568</c:v>
                </c:pt>
                <c:pt idx="7">
                  <c:v>19970</c:v>
                </c:pt>
                <c:pt idx="8">
                  <c:v>16835</c:v>
                </c:pt>
                <c:pt idx="9">
                  <c:v>15486</c:v>
                </c:pt>
                <c:pt idx="10">
                  <c:v>11627</c:v>
                </c:pt>
                <c:pt idx="11">
                  <c:v>4229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9-422A-9924-65B2CB689F34}"/>
            </c:ext>
          </c:extLst>
        </c:ser>
        <c:ser>
          <c:idx val="1"/>
          <c:order val="1"/>
          <c:tx>
            <c:strRef>
              <c:f>基本シート!$G$76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基本シート!$G$77:$G$88</c:f>
              <c:numCache>
                <c:formatCode>General</c:formatCode>
                <c:ptCount val="12"/>
                <c:pt idx="0">
                  <c:v>15325</c:v>
                </c:pt>
                <c:pt idx="1">
                  <c:v>3615</c:v>
                </c:pt>
                <c:pt idx="2">
                  <c:v>3116</c:v>
                </c:pt>
                <c:pt idx="3">
                  <c:v>898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9-422A-9924-65B2CB68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太陽光利益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基本シート!$I$76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基本シート!$I$77:$I$88</c:f>
              <c:numCache>
                <c:formatCode>General</c:formatCode>
                <c:ptCount val="12"/>
                <c:pt idx="0">
                  <c:v>41054</c:v>
                </c:pt>
                <c:pt idx="1">
                  <c:v>6733</c:v>
                </c:pt>
                <c:pt idx="2">
                  <c:v>7316</c:v>
                </c:pt>
                <c:pt idx="3">
                  <c:v>15729</c:v>
                </c:pt>
                <c:pt idx="4">
                  <c:v>13029</c:v>
                </c:pt>
                <c:pt idx="5">
                  <c:v>29227</c:v>
                </c:pt>
                <c:pt idx="6">
                  <c:v>27728</c:v>
                </c:pt>
                <c:pt idx="7">
                  <c:v>28643</c:v>
                </c:pt>
                <c:pt idx="8">
                  <c:v>25831</c:v>
                </c:pt>
                <c:pt idx="9">
                  <c:v>25345</c:v>
                </c:pt>
                <c:pt idx="10">
                  <c:v>20310</c:v>
                </c:pt>
                <c:pt idx="11">
                  <c:v>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B-480B-AF6F-3A82C5C3AB2C}"/>
            </c:ext>
          </c:extLst>
        </c:ser>
        <c:ser>
          <c:idx val="1"/>
          <c:order val="1"/>
          <c:tx>
            <c:strRef>
              <c:f>基本シート!$J$76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基本シート!$J$77:$J$88</c:f>
              <c:numCache>
                <c:formatCode>General</c:formatCode>
                <c:ptCount val="12"/>
                <c:pt idx="0">
                  <c:v>30170</c:v>
                </c:pt>
                <c:pt idx="1">
                  <c:v>11669</c:v>
                </c:pt>
                <c:pt idx="2">
                  <c:v>11831</c:v>
                </c:pt>
                <c:pt idx="3">
                  <c:v>2807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B-480B-AF6F-3A82C5C3A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</a:t>
            </a:r>
            <a:r>
              <a:rPr lang="en-US" altLang="ja-JP"/>
              <a:t>-</a:t>
            </a:r>
            <a:r>
              <a:rPr lang="ja-JP" altLang="en-US"/>
              <a:t>買電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前年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基本シート!$L$77:$L$88</c:f>
              <c:numCache>
                <c:formatCode>General</c:formatCode>
                <c:ptCount val="12"/>
                <c:pt idx="0">
                  <c:v>8477</c:v>
                </c:pt>
                <c:pt idx="1">
                  <c:v>-17556</c:v>
                </c:pt>
                <c:pt idx="2">
                  <c:v>-21342</c:v>
                </c:pt>
                <c:pt idx="3">
                  <c:v>-11582</c:v>
                </c:pt>
                <c:pt idx="4">
                  <c:v>-12917</c:v>
                </c:pt>
                <c:pt idx="5">
                  <c:v>13391</c:v>
                </c:pt>
                <c:pt idx="6">
                  <c:v>17960</c:v>
                </c:pt>
                <c:pt idx="7">
                  <c:v>19653</c:v>
                </c:pt>
                <c:pt idx="8">
                  <c:v>16292</c:v>
                </c:pt>
                <c:pt idx="9">
                  <c:v>14472</c:v>
                </c:pt>
                <c:pt idx="10">
                  <c:v>10136</c:v>
                </c:pt>
                <c:pt idx="11">
                  <c:v>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80-4FC5-BB63-6158FD27CCD8}"/>
            </c:ext>
          </c:extLst>
        </c:ser>
        <c:ser>
          <c:idx val="1"/>
          <c:order val="1"/>
          <c:tx>
            <c:v>当年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基本シート!$M$77:$M$88</c:f>
              <c:numCache>
                <c:formatCode>General</c:formatCode>
                <c:ptCount val="12"/>
                <c:pt idx="0">
                  <c:v>7384</c:v>
                </c:pt>
                <c:pt idx="1">
                  <c:v>-15424</c:v>
                </c:pt>
                <c:pt idx="2">
                  <c:v>-21253</c:v>
                </c:pt>
                <c:pt idx="3">
                  <c:v>-14715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80-4FC5-BB63-6158FD27C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90</xdr:row>
      <xdr:rowOff>0</xdr:rowOff>
    </xdr:from>
    <xdr:to>
      <xdr:col>6</xdr:col>
      <xdr:colOff>552450</xdr:colOff>
      <xdr:row>102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69327D3-9EFE-6EA4-ECD7-E4CD059D8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90</xdr:row>
      <xdr:rowOff>0</xdr:rowOff>
    </xdr:from>
    <xdr:to>
      <xdr:col>12</xdr:col>
      <xdr:colOff>273050</xdr:colOff>
      <xdr:row>102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0F21B8E-5891-492A-B370-2C4D8CE65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6</xdr:col>
      <xdr:colOff>609600</xdr:colOff>
      <xdr:row>116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A7870A28-41F7-4782-A28A-A3DB09373D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104</xdr:row>
      <xdr:rowOff>0</xdr:rowOff>
    </xdr:from>
    <xdr:to>
      <xdr:col>12</xdr:col>
      <xdr:colOff>317500</xdr:colOff>
      <xdr:row>116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D7A5440-DDD8-4BBC-A983-8A011DEDE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1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1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1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1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01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0902" name="Button 6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1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0903" name="Button 7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01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0904" name="Button 8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01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0905" name="Button 9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01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0906" name="Button 10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01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0907" name="Button 11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01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0908" name="Button 12" hidden="1">
              <a:extLst>
                <a:ext uri="{63B3BB69-23CF-44E3-9099-C40C66FF867C}">
                  <a14:compatExt spid="_x0000_s80908"/>
                </a:ext>
                <a:ext uri="{FF2B5EF4-FFF2-40B4-BE49-F238E27FC236}">
                  <a16:creationId xmlns:a16="http://schemas.microsoft.com/office/drawing/2014/main" id="{00000000-0008-0000-0100-00000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0909" name="Button 13" hidden="1">
              <a:extLst>
                <a:ext uri="{63B3BB69-23CF-44E3-9099-C40C66FF867C}">
                  <a14:compatExt spid="_x0000_s80909"/>
                </a:ext>
                <a:ext uri="{FF2B5EF4-FFF2-40B4-BE49-F238E27FC236}">
                  <a16:creationId xmlns:a16="http://schemas.microsoft.com/office/drawing/2014/main" id="{00000000-0008-0000-0100-00000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0910" name="Button 14" hidden="1">
              <a:extLst>
                <a:ext uri="{63B3BB69-23CF-44E3-9099-C40C66FF867C}">
                  <a14:compatExt spid="_x0000_s80910"/>
                </a:ext>
                <a:ext uri="{FF2B5EF4-FFF2-40B4-BE49-F238E27FC236}">
                  <a16:creationId xmlns:a16="http://schemas.microsoft.com/office/drawing/2014/main" id="{00000000-0008-0000-0100-00000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0911" name="Button 15" hidden="1">
              <a:extLst>
                <a:ext uri="{63B3BB69-23CF-44E3-9099-C40C66FF867C}">
                  <a14:compatExt spid="_x0000_s80911"/>
                </a:ext>
                <a:ext uri="{FF2B5EF4-FFF2-40B4-BE49-F238E27FC236}">
                  <a16:creationId xmlns:a16="http://schemas.microsoft.com/office/drawing/2014/main" id="{00000000-0008-0000-0100-00000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0912" name="Button 16" hidden="1">
              <a:extLst>
                <a:ext uri="{63B3BB69-23CF-44E3-9099-C40C66FF867C}">
                  <a14:compatExt spid="_x0000_s80912"/>
                </a:ext>
                <a:ext uri="{FF2B5EF4-FFF2-40B4-BE49-F238E27FC236}">
                  <a16:creationId xmlns:a16="http://schemas.microsoft.com/office/drawing/2014/main" id="{00000000-0008-0000-0100-00001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0913" name="Button 17" hidden="1">
              <a:extLst>
                <a:ext uri="{63B3BB69-23CF-44E3-9099-C40C66FF867C}">
                  <a14:compatExt spid="_x0000_s80913"/>
                </a:ext>
                <a:ext uri="{FF2B5EF4-FFF2-40B4-BE49-F238E27FC236}">
                  <a16:creationId xmlns:a16="http://schemas.microsoft.com/office/drawing/2014/main" id="{00000000-0008-0000-0100-00001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0914" name="Button 18" hidden="1">
              <a:extLst>
                <a:ext uri="{63B3BB69-23CF-44E3-9099-C40C66FF867C}">
                  <a14:compatExt spid="_x0000_s80914"/>
                </a:ext>
                <a:ext uri="{FF2B5EF4-FFF2-40B4-BE49-F238E27FC236}">
                  <a16:creationId xmlns:a16="http://schemas.microsoft.com/office/drawing/2014/main" id="{00000000-0008-0000-0100-00001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0915" name="Button 19" hidden="1">
              <a:extLst>
                <a:ext uri="{63B3BB69-23CF-44E3-9099-C40C66FF867C}">
                  <a14:compatExt spid="_x0000_s80915"/>
                </a:ext>
                <a:ext uri="{FF2B5EF4-FFF2-40B4-BE49-F238E27FC236}">
                  <a16:creationId xmlns:a16="http://schemas.microsoft.com/office/drawing/2014/main" id="{00000000-0008-0000-0100-00001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0916" name="Button 20" hidden="1">
              <a:extLst>
                <a:ext uri="{63B3BB69-23CF-44E3-9099-C40C66FF867C}">
                  <a14:compatExt spid="_x0000_s80916"/>
                </a:ext>
                <a:ext uri="{FF2B5EF4-FFF2-40B4-BE49-F238E27FC236}">
                  <a16:creationId xmlns:a16="http://schemas.microsoft.com/office/drawing/2014/main" id="{00000000-0008-0000-0100-00001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0917" name="Button 21" hidden="1">
              <a:extLst>
                <a:ext uri="{63B3BB69-23CF-44E3-9099-C40C66FF867C}">
                  <a14:compatExt spid="_x0000_s80917"/>
                </a:ext>
                <a:ext uri="{FF2B5EF4-FFF2-40B4-BE49-F238E27FC236}">
                  <a16:creationId xmlns:a16="http://schemas.microsoft.com/office/drawing/2014/main" id="{00000000-0008-0000-0100-00001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0918" name="Button 22" hidden="1">
              <a:extLst>
                <a:ext uri="{63B3BB69-23CF-44E3-9099-C40C66FF867C}">
                  <a14:compatExt spid="_x0000_s80918"/>
                </a:ext>
                <a:ext uri="{FF2B5EF4-FFF2-40B4-BE49-F238E27FC236}">
                  <a16:creationId xmlns:a16="http://schemas.microsoft.com/office/drawing/2014/main" id="{00000000-0008-0000-0100-00001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0919" name="Button 23" hidden="1">
              <a:extLst>
                <a:ext uri="{63B3BB69-23CF-44E3-9099-C40C66FF867C}">
                  <a14:compatExt spid="_x0000_s80919"/>
                </a:ext>
                <a:ext uri="{FF2B5EF4-FFF2-40B4-BE49-F238E27FC236}">
                  <a16:creationId xmlns:a16="http://schemas.microsoft.com/office/drawing/2014/main" id="{00000000-0008-0000-0100-00001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0920" name="Button 24" hidden="1">
              <a:extLst>
                <a:ext uri="{63B3BB69-23CF-44E3-9099-C40C66FF867C}">
                  <a14:compatExt spid="_x0000_s80920"/>
                </a:ext>
                <a:ext uri="{FF2B5EF4-FFF2-40B4-BE49-F238E27FC236}">
                  <a16:creationId xmlns:a16="http://schemas.microsoft.com/office/drawing/2014/main" id="{00000000-0008-0000-0100-00001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0921" name="Button 25" hidden="1">
              <a:extLst>
                <a:ext uri="{63B3BB69-23CF-44E3-9099-C40C66FF867C}">
                  <a14:compatExt spid="_x0000_s80921"/>
                </a:ext>
                <a:ext uri="{FF2B5EF4-FFF2-40B4-BE49-F238E27FC236}">
                  <a16:creationId xmlns:a16="http://schemas.microsoft.com/office/drawing/2014/main" id="{00000000-0008-0000-0100-00001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0922" name="Button 26" hidden="1">
              <a:extLst>
                <a:ext uri="{63B3BB69-23CF-44E3-9099-C40C66FF867C}">
                  <a14:compatExt spid="_x0000_s80922"/>
                </a:ext>
                <a:ext uri="{FF2B5EF4-FFF2-40B4-BE49-F238E27FC236}">
                  <a16:creationId xmlns:a16="http://schemas.microsoft.com/office/drawing/2014/main" id="{00000000-0008-0000-0100-00001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0923" name="Button 27" hidden="1">
              <a:extLst>
                <a:ext uri="{63B3BB69-23CF-44E3-9099-C40C66FF867C}">
                  <a14:compatExt spid="_x0000_s80923"/>
                </a:ext>
                <a:ext uri="{FF2B5EF4-FFF2-40B4-BE49-F238E27FC236}">
                  <a16:creationId xmlns:a16="http://schemas.microsoft.com/office/drawing/2014/main" id="{00000000-0008-0000-0100-00001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0924" name="Button 28" hidden="1">
              <a:extLst>
                <a:ext uri="{63B3BB69-23CF-44E3-9099-C40C66FF867C}">
                  <a14:compatExt spid="_x0000_s80924"/>
                </a:ext>
                <a:ext uri="{FF2B5EF4-FFF2-40B4-BE49-F238E27FC236}">
                  <a16:creationId xmlns:a16="http://schemas.microsoft.com/office/drawing/2014/main" id="{00000000-0008-0000-0100-00001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0925" name="Button 29" hidden="1">
              <a:extLst>
                <a:ext uri="{63B3BB69-23CF-44E3-9099-C40C66FF867C}">
                  <a14:compatExt spid="_x0000_s80925"/>
                </a:ext>
                <a:ext uri="{FF2B5EF4-FFF2-40B4-BE49-F238E27FC236}">
                  <a16:creationId xmlns:a16="http://schemas.microsoft.com/office/drawing/2014/main" id="{00000000-0008-0000-0100-00001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0926" name="Button 30" hidden="1">
              <a:extLst>
                <a:ext uri="{63B3BB69-23CF-44E3-9099-C40C66FF867C}">
                  <a14:compatExt spid="_x0000_s80926"/>
                </a:ext>
                <a:ext uri="{FF2B5EF4-FFF2-40B4-BE49-F238E27FC236}">
                  <a16:creationId xmlns:a16="http://schemas.microsoft.com/office/drawing/2014/main" id="{00000000-0008-0000-0100-00001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2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2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2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2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2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2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2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2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2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2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2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2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2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2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2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2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2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1938" name="Button 18" hidden="1">
              <a:extLst>
                <a:ext uri="{63B3BB69-23CF-44E3-9099-C40C66FF867C}">
                  <a14:compatExt spid="_x0000_s81938"/>
                </a:ext>
                <a:ext uri="{FF2B5EF4-FFF2-40B4-BE49-F238E27FC236}">
                  <a16:creationId xmlns:a16="http://schemas.microsoft.com/office/drawing/2014/main" id="{00000000-0008-0000-0200-00001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1939" name="Button 19" hidden="1">
              <a:extLst>
                <a:ext uri="{63B3BB69-23CF-44E3-9099-C40C66FF867C}">
                  <a14:compatExt spid="_x0000_s81939"/>
                </a:ext>
                <a:ext uri="{FF2B5EF4-FFF2-40B4-BE49-F238E27FC236}">
                  <a16:creationId xmlns:a16="http://schemas.microsoft.com/office/drawing/2014/main" id="{00000000-0008-0000-0200-00001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1940" name="Button 20" hidden="1">
              <a:extLst>
                <a:ext uri="{63B3BB69-23CF-44E3-9099-C40C66FF867C}">
                  <a14:compatExt spid="_x0000_s81940"/>
                </a:ext>
                <a:ext uri="{FF2B5EF4-FFF2-40B4-BE49-F238E27FC236}">
                  <a16:creationId xmlns:a16="http://schemas.microsoft.com/office/drawing/2014/main" id="{00000000-0008-0000-0200-00001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2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2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1943" name="Button 23" hidden="1">
              <a:extLst>
                <a:ext uri="{63B3BB69-23CF-44E3-9099-C40C66FF867C}">
                  <a14:compatExt spid="_x0000_s81943"/>
                </a:ext>
                <a:ext uri="{FF2B5EF4-FFF2-40B4-BE49-F238E27FC236}">
                  <a16:creationId xmlns:a16="http://schemas.microsoft.com/office/drawing/2014/main" id="{00000000-0008-0000-0200-00001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1944" name="Button 24" hidden="1">
              <a:extLst>
                <a:ext uri="{63B3BB69-23CF-44E3-9099-C40C66FF867C}">
                  <a14:compatExt spid="_x0000_s81944"/>
                </a:ext>
                <a:ext uri="{FF2B5EF4-FFF2-40B4-BE49-F238E27FC236}">
                  <a16:creationId xmlns:a16="http://schemas.microsoft.com/office/drawing/2014/main" id="{00000000-0008-0000-0200-00001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1945" name="Button 25" hidden="1">
              <a:extLst>
                <a:ext uri="{63B3BB69-23CF-44E3-9099-C40C66FF867C}">
                  <a14:compatExt spid="_x0000_s81945"/>
                </a:ext>
                <a:ext uri="{FF2B5EF4-FFF2-40B4-BE49-F238E27FC236}">
                  <a16:creationId xmlns:a16="http://schemas.microsoft.com/office/drawing/2014/main" id="{00000000-0008-0000-0200-00001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1946" name="Button 26" hidden="1">
              <a:extLst>
                <a:ext uri="{63B3BB69-23CF-44E3-9099-C40C66FF867C}">
                  <a14:compatExt spid="_x0000_s81946"/>
                </a:ext>
                <a:ext uri="{FF2B5EF4-FFF2-40B4-BE49-F238E27FC236}">
                  <a16:creationId xmlns:a16="http://schemas.microsoft.com/office/drawing/2014/main" id="{00000000-0008-0000-0200-00001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1947" name="Button 27" hidden="1">
              <a:extLst>
                <a:ext uri="{63B3BB69-23CF-44E3-9099-C40C66FF867C}">
                  <a14:compatExt spid="_x0000_s81947"/>
                </a:ext>
                <a:ext uri="{FF2B5EF4-FFF2-40B4-BE49-F238E27FC236}">
                  <a16:creationId xmlns:a16="http://schemas.microsoft.com/office/drawing/2014/main" id="{00000000-0008-0000-0200-00001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1948" name="Button 28" hidden="1">
              <a:extLst>
                <a:ext uri="{63B3BB69-23CF-44E3-9099-C40C66FF867C}">
                  <a14:compatExt spid="_x0000_s81948"/>
                </a:ext>
                <a:ext uri="{FF2B5EF4-FFF2-40B4-BE49-F238E27FC236}">
                  <a16:creationId xmlns:a16="http://schemas.microsoft.com/office/drawing/2014/main" id="{00000000-0008-0000-0200-00001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1949" name="Button 29" hidden="1">
              <a:extLst>
                <a:ext uri="{63B3BB69-23CF-44E3-9099-C40C66FF867C}">
                  <a14:compatExt spid="_x0000_s81949"/>
                </a:ext>
                <a:ext uri="{FF2B5EF4-FFF2-40B4-BE49-F238E27FC236}">
                  <a16:creationId xmlns:a16="http://schemas.microsoft.com/office/drawing/2014/main" id="{00000000-0008-0000-0200-00001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1950" name="Button 30" hidden="1">
              <a:extLst>
                <a:ext uri="{63B3BB69-23CF-44E3-9099-C40C66FF867C}">
                  <a14:compatExt spid="_x0000_s81950"/>
                </a:ext>
                <a:ext uri="{FF2B5EF4-FFF2-40B4-BE49-F238E27FC236}">
                  <a16:creationId xmlns:a16="http://schemas.microsoft.com/office/drawing/2014/main" id="{00000000-0008-0000-0200-00001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3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03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03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03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6021" name="Button 5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00000000-0008-0000-0300-00000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6022" name="Button 6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00000000-0008-0000-0300-00000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6023" name="Button 7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03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03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03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6026" name="Button 10" hidden="1">
              <a:extLst>
                <a:ext uri="{63B3BB69-23CF-44E3-9099-C40C66FF867C}">
                  <a14:compatExt spid="_x0000_s86026"/>
                </a:ext>
                <a:ext uri="{FF2B5EF4-FFF2-40B4-BE49-F238E27FC236}">
                  <a16:creationId xmlns:a16="http://schemas.microsoft.com/office/drawing/2014/main" id="{00000000-0008-0000-0300-00000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6027" name="Button 11" hidden="1">
              <a:extLst>
                <a:ext uri="{63B3BB69-23CF-44E3-9099-C40C66FF867C}">
                  <a14:compatExt spid="_x0000_s86027"/>
                </a:ext>
                <a:ext uri="{FF2B5EF4-FFF2-40B4-BE49-F238E27FC236}">
                  <a16:creationId xmlns:a16="http://schemas.microsoft.com/office/drawing/2014/main" id="{00000000-0008-0000-0300-00000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6028" name="Button 12" hidden="1">
              <a:extLst>
                <a:ext uri="{63B3BB69-23CF-44E3-9099-C40C66FF867C}">
                  <a14:compatExt spid="_x0000_s86028"/>
                </a:ext>
                <a:ext uri="{FF2B5EF4-FFF2-40B4-BE49-F238E27FC236}">
                  <a16:creationId xmlns:a16="http://schemas.microsoft.com/office/drawing/2014/main" id="{00000000-0008-0000-0300-00000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6029" name="Button 13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3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6030" name="Button 14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00000000-0008-0000-0300-00000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6031" name="Button 15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00000000-0008-0000-0300-00000F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6032" name="Button 16" hidden="1">
              <a:extLst>
                <a:ext uri="{63B3BB69-23CF-44E3-9099-C40C66FF867C}">
                  <a14:compatExt spid="_x0000_s86032"/>
                </a:ext>
                <a:ext uri="{FF2B5EF4-FFF2-40B4-BE49-F238E27FC236}">
                  <a16:creationId xmlns:a16="http://schemas.microsoft.com/office/drawing/2014/main" id="{00000000-0008-0000-0300-000010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6033" name="Button 17" hidden="1">
              <a:extLst>
                <a:ext uri="{63B3BB69-23CF-44E3-9099-C40C66FF867C}">
                  <a14:compatExt spid="_x0000_s86033"/>
                </a:ext>
                <a:ext uri="{FF2B5EF4-FFF2-40B4-BE49-F238E27FC236}">
                  <a16:creationId xmlns:a16="http://schemas.microsoft.com/office/drawing/2014/main" id="{00000000-0008-0000-0300-00001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6034" name="Button 18" hidden="1">
              <a:extLst>
                <a:ext uri="{63B3BB69-23CF-44E3-9099-C40C66FF867C}">
                  <a14:compatExt spid="_x0000_s86034"/>
                </a:ext>
                <a:ext uri="{FF2B5EF4-FFF2-40B4-BE49-F238E27FC236}">
                  <a16:creationId xmlns:a16="http://schemas.microsoft.com/office/drawing/2014/main" id="{00000000-0008-0000-0300-00001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6035" name="Button 19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00000000-0008-0000-0300-00001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6036" name="Button 20" hidden="1">
              <a:extLst>
                <a:ext uri="{63B3BB69-23CF-44E3-9099-C40C66FF867C}">
                  <a14:compatExt spid="_x0000_s86036"/>
                </a:ext>
                <a:ext uri="{FF2B5EF4-FFF2-40B4-BE49-F238E27FC236}">
                  <a16:creationId xmlns:a16="http://schemas.microsoft.com/office/drawing/2014/main" id="{00000000-0008-0000-0300-00001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6037" name="Button 21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00000000-0008-0000-0300-00001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6038" name="Button 22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00000000-0008-0000-0300-00001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6039" name="Button 23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00000000-0008-0000-0300-00001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6040" name="Button 24" hidden="1">
              <a:extLst>
                <a:ext uri="{63B3BB69-23CF-44E3-9099-C40C66FF867C}">
                  <a14:compatExt spid="_x0000_s86040"/>
                </a:ext>
                <a:ext uri="{FF2B5EF4-FFF2-40B4-BE49-F238E27FC236}">
                  <a16:creationId xmlns:a16="http://schemas.microsoft.com/office/drawing/2014/main" id="{00000000-0008-0000-0300-00001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6041" name="Button 25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00000000-0008-0000-0300-00001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6042" name="Button 26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00000000-0008-0000-0300-00001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6043" name="Button 27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00000000-0008-0000-0300-00001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6044" name="Button 28" hidden="1">
              <a:extLst>
                <a:ext uri="{63B3BB69-23CF-44E3-9099-C40C66FF867C}">
                  <a14:compatExt spid="_x0000_s86044"/>
                </a:ext>
                <a:ext uri="{FF2B5EF4-FFF2-40B4-BE49-F238E27FC236}">
                  <a16:creationId xmlns:a16="http://schemas.microsoft.com/office/drawing/2014/main" id="{00000000-0008-0000-0300-00001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6045" name="Button 29" hidden="1">
              <a:extLst>
                <a:ext uri="{63B3BB69-23CF-44E3-9099-C40C66FF867C}">
                  <a14:compatExt spid="_x0000_s86045"/>
                </a:ext>
                <a:ext uri="{FF2B5EF4-FFF2-40B4-BE49-F238E27FC236}">
                  <a16:creationId xmlns:a16="http://schemas.microsoft.com/office/drawing/2014/main" id="{00000000-0008-0000-0300-00001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6046" name="Button 30" hidden="1">
              <a:extLst>
                <a:ext uri="{63B3BB69-23CF-44E3-9099-C40C66FF867C}">
                  <a14:compatExt spid="_x0000_s86046"/>
                </a:ext>
                <a:ext uri="{FF2B5EF4-FFF2-40B4-BE49-F238E27FC236}">
                  <a16:creationId xmlns:a16="http://schemas.microsoft.com/office/drawing/2014/main" id="{00000000-0008-0000-0300-00001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4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4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0115" name="Button 3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4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4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0117" name="Button 5" hidden="1">
              <a:extLst>
                <a:ext uri="{63B3BB69-23CF-44E3-9099-C40C66FF867C}">
                  <a14:compatExt spid="_x0000_s90117"/>
                </a:ext>
                <a:ext uri="{FF2B5EF4-FFF2-40B4-BE49-F238E27FC236}">
                  <a16:creationId xmlns:a16="http://schemas.microsoft.com/office/drawing/2014/main" id="{00000000-0008-0000-0400-00000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0118" name="Button 6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4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0119" name="Button 7" hidden="1">
              <a:extLst>
                <a:ext uri="{63B3BB69-23CF-44E3-9099-C40C66FF867C}">
                  <a14:compatExt spid="_x0000_s90119"/>
                </a:ext>
                <a:ext uri="{FF2B5EF4-FFF2-40B4-BE49-F238E27FC236}">
                  <a16:creationId xmlns:a16="http://schemas.microsoft.com/office/drawing/2014/main" id="{00000000-0008-0000-0400-00000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4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0121" name="Button 9" hidden="1">
              <a:extLst>
                <a:ext uri="{63B3BB69-23CF-44E3-9099-C40C66FF867C}">
                  <a14:compatExt spid="_x0000_s90121"/>
                </a:ext>
                <a:ext uri="{FF2B5EF4-FFF2-40B4-BE49-F238E27FC236}">
                  <a16:creationId xmlns:a16="http://schemas.microsoft.com/office/drawing/2014/main" id="{00000000-0008-0000-0400-00000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0122" name="Button 10" hidden="1">
              <a:extLst>
                <a:ext uri="{63B3BB69-23CF-44E3-9099-C40C66FF867C}">
                  <a14:compatExt spid="_x0000_s90122"/>
                </a:ext>
                <a:ext uri="{FF2B5EF4-FFF2-40B4-BE49-F238E27FC236}">
                  <a16:creationId xmlns:a16="http://schemas.microsoft.com/office/drawing/2014/main" id="{00000000-0008-0000-0400-00000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0123" name="Button 11" hidden="1">
              <a:extLst>
                <a:ext uri="{63B3BB69-23CF-44E3-9099-C40C66FF867C}">
                  <a14:compatExt spid="_x0000_s90123"/>
                </a:ext>
                <a:ext uri="{FF2B5EF4-FFF2-40B4-BE49-F238E27FC236}">
                  <a16:creationId xmlns:a16="http://schemas.microsoft.com/office/drawing/2014/main" id="{00000000-0008-0000-0400-00000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0124" name="Button 12" hidden="1">
              <a:extLst>
                <a:ext uri="{63B3BB69-23CF-44E3-9099-C40C66FF867C}">
                  <a14:compatExt spid="_x0000_s90124"/>
                </a:ext>
                <a:ext uri="{FF2B5EF4-FFF2-40B4-BE49-F238E27FC236}">
                  <a16:creationId xmlns:a16="http://schemas.microsoft.com/office/drawing/2014/main" id="{00000000-0008-0000-0400-00000C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0125" name="Button 13" hidden="1">
              <a:extLst>
                <a:ext uri="{63B3BB69-23CF-44E3-9099-C40C66FF867C}">
                  <a14:compatExt spid="_x0000_s90125"/>
                </a:ext>
                <a:ext uri="{FF2B5EF4-FFF2-40B4-BE49-F238E27FC236}">
                  <a16:creationId xmlns:a16="http://schemas.microsoft.com/office/drawing/2014/main" id="{00000000-0008-0000-0400-00000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0126" name="Button 14" hidden="1">
              <a:extLst>
                <a:ext uri="{63B3BB69-23CF-44E3-9099-C40C66FF867C}">
                  <a14:compatExt spid="_x0000_s90126"/>
                </a:ext>
                <a:ext uri="{FF2B5EF4-FFF2-40B4-BE49-F238E27FC236}">
                  <a16:creationId xmlns:a16="http://schemas.microsoft.com/office/drawing/2014/main" id="{00000000-0008-0000-0400-00000E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0127" name="Button 15" hidden="1">
              <a:extLst>
                <a:ext uri="{63B3BB69-23CF-44E3-9099-C40C66FF867C}">
                  <a14:compatExt spid="_x0000_s90127"/>
                </a:ext>
                <a:ext uri="{FF2B5EF4-FFF2-40B4-BE49-F238E27FC236}">
                  <a16:creationId xmlns:a16="http://schemas.microsoft.com/office/drawing/2014/main" id="{00000000-0008-0000-0400-00000F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0128" name="Button 16" hidden="1">
              <a:extLst>
                <a:ext uri="{63B3BB69-23CF-44E3-9099-C40C66FF867C}">
                  <a14:compatExt spid="_x0000_s90128"/>
                </a:ext>
                <a:ext uri="{FF2B5EF4-FFF2-40B4-BE49-F238E27FC236}">
                  <a16:creationId xmlns:a16="http://schemas.microsoft.com/office/drawing/2014/main" id="{00000000-0008-0000-0400-000010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0129" name="Button 17" hidden="1">
              <a:extLst>
                <a:ext uri="{63B3BB69-23CF-44E3-9099-C40C66FF867C}">
                  <a14:compatExt spid="_x0000_s90129"/>
                </a:ext>
                <a:ext uri="{FF2B5EF4-FFF2-40B4-BE49-F238E27FC236}">
                  <a16:creationId xmlns:a16="http://schemas.microsoft.com/office/drawing/2014/main" id="{00000000-0008-0000-0400-00001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0130" name="Button 18" hidden="1">
              <a:extLst>
                <a:ext uri="{63B3BB69-23CF-44E3-9099-C40C66FF867C}">
                  <a14:compatExt spid="_x0000_s90130"/>
                </a:ext>
                <a:ext uri="{FF2B5EF4-FFF2-40B4-BE49-F238E27FC236}">
                  <a16:creationId xmlns:a16="http://schemas.microsoft.com/office/drawing/2014/main" id="{00000000-0008-0000-0400-00001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0131" name="Button 19" hidden="1">
              <a:extLst>
                <a:ext uri="{63B3BB69-23CF-44E3-9099-C40C66FF867C}">
                  <a14:compatExt spid="_x0000_s90131"/>
                </a:ext>
                <a:ext uri="{FF2B5EF4-FFF2-40B4-BE49-F238E27FC236}">
                  <a16:creationId xmlns:a16="http://schemas.microsoft.com/office/drawing/2014/main" id="{00000000-0008-0000-0400-00001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0132" name="Button 20" hidden="1">
              <a:extLst>
                <a:ext uri="{63B3BB69-23CF-44E3-9099-C40C66FF867C}">
                  <a14:compatExt spid="_x0000_s90132"/>
                </a:ext>
                <a:ext uri="{FF2B5EF4-FFF2-40B4-BE49-F238E27FC236}">
                  <a16:creationId xmlns:a16="http://schemas.microsoft.com/office/drawing/2014/main" id="{00000000-0008-0000-0400-00001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0133" name="Button 21" hidden="1">
              <a:extLst>
                <a:ext uri="{63B3BB69-23CF-44E3-9099-C40C66FF867C}">
                  <a14:compatExt spid="_x0000_s90133"/>
                </a:ext>
                <a:ext uri="{FF2B5EF4-FFF2-40B4-BE49-F238E27FC236}">
                  <a16:creationId xmlns:a16="http://schemas.microsoft.com/office/drawing/2014/main" id="{00000000-0008-0000-0400-00001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0134" name="Button 22" hidden="1">
              <a:extLst>
                <a:ext uri="{63B3BB69-23CF-44E3-9099-C40C66FF867C}">
                  <a14:compatExt spid="_x0000_s90134"/>
                </a:ext>
                <a:ext uri="{FF2B5EF4-FFF2-40B4-BE49-F238E27FC236}">
                  <a16:creationId xmlns:a16="http://schemas.microsoft.com/office/drawing/2014/main" id="{00000000-0008-0000-0400-00001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0135" name="Button 23" hidden="1">
              <a:extLst>
                <a:ext uri="{63B3BB69-23CF-44E3-9099-C40C66FF867C}">
                  <a14:compatExt spid="_x0000_s90135"/>
                </a:ext>
                <a:ext uri="{FF2B5EF4-FFF2-40B4-BE49-F238E27FC236}">
                  <a16:creationId xmlns:a16="http://schemas.microsoft.com/office/drawing/2014/main" id="{00000000-0008-0000-0400-00001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0136" name="Button 24" hidden="1">
              <a:extLst>
                <a:ext uri="{63B3BB69-23CF-44E3-9099-C40C66FF867C}">
                  <a14:compatExt spid="_x0000_s90136"/>
                </a:ext>
                <a:ext uri="{FF2B5EF4-FFF2-40B4-BE49-F238E27FC236}">
                  <a16:creationId xmlns:a16="http://schemas.microsoft.com/office/drawing/2014/main" id="{00000000-0008-0000-0400-00001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0137" name="Button 25" hidden="1">
              <a:extLst>
                <a:ext uri="{63B3BB69-23CF-44E3-9099-C40C66FF867C}">
                  <a14:compatExt spid="_x0000_s90137"/>
                </a:ext>
                <a:ext uri="{FF2B5EF4-FFF2-40B4-BE49-F238E27FC236}">
                  <a16:creationId xmlns:a16="http://schemas.microsoft.com/office/drawing/2014/main" id="{00000000-0008-0000-0400-00001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0138" name="Button 26" hidden="1">
              <a:extLst>
                <a:ext uri="{63B3BB69-23CF-44E3-9099-C40C66FF867C}">
                  <a14:compatExt spid="_x0000_s90138"/>
                </a:ext>
                <a:ext uri="{FF2B5EF4-FFF2-40B4-BE49-F238E27FC236}">
                  <a16:creationId xmlns:a16="http://schemas.microsoft.com/office/drawing/2014/main" id="{00000000-0008-0000-0400-00001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0139" name="Button 27" hidden="1">
              <a:extLst>
                <a:ext uri="{63B3BB69-23CF-44E3-9099-C40C66FF867C}">
                  <a14:compatExt spid="_x0000_s90139"/>
                </a:ext>
                <a:ext uri="{FF2B5EF4-FFF2-40B4-BE49-F238E27FC236}">
                  <a16:creationId xmlns:a16="http://schemas.microsoft.com/office/drawing/2014/main" id="{00000000-0008-0000-0400-00001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0140" name="Button 28" hidden="1">
              <a:extLst>
                <a:ext uri="{63B3BB69-23CF-44E3-9099-C40C66FF867C}">
                  <a14:compatExt spid="_x0000_s90140"/>
                </a:ext>
                <a:ext uri="{FF2B5EF4-FFF2-40B4-BE49-F238E27FC236}">
                  <a16:creationId xmlns:a16="http://schemas.microsoft.com/office/drawing/2014/main" id="{00000000-0008-0000-0400-00001C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0141" name="Button 29" hidden="1">
              <a:extLst>
                <a:ext uri="{63B3BB69-23CF-44E3-9099-C40C66FF867C}">
                  <a14:compatExt spid="_x0000_s90141"/>
                </a:ext>
                <a:ext uri="{FF2B5EF4-FFF2-40B4-BE49-F238E27FC236}">
                  <a16:creationId xmlns:a16="http://schemas.microsoft.com/office/drawing/2014/main" id="{00000000-0008-0000-0400-00001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0142" name="Button 30" hidden="1">
              <a:extLst>
                <a:ext uri="{63B3BB69-23CF-44E3-9099-C40C66FF867C}">
                  <a14:compatExt spid="_x0000_s90142"/>
                </a:ext>
                <a:ext uri="{FF2B5EF4-FFF2-40B4-BE49-F238E27FC236}">
                  <a16:creationId xmlns:a16="http://schemas.microsoft.com/office/drawing/2014/main" id="{00000000-0008-0000-0400-00001E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05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05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5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05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4214" name="Button 6" hidden="1">
              <a:extLst>
                <a:ext uri="{63B3BB69-23CF-44E3-9099-C40C66FF867C}">
                  <a14:compatExt spid="_x0000_s94214"/>
                </a:ext>
                <a:ext uri="{FF2B5EF4-FFF2-40B4-BE49-F238E27FC236}">
                  <a16:creationId xmlns:a16="http://schemas.microsoft.com/office/drawing/2014/main" id="{00000000-0008-0000-0500-00000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4215" name="Button 7" hidden="1">
              <a:extLst>
                <a:ext uri="{63B3BB69-23CF-44E3-9099-C40C66FF867C}">
                  <a14:compatExt spid="_x0000_s94215"/>
                </a:ext>
                <a:ext uri="{FF2B5EF4-FFF2-40B4-BE49-F238E27FC236}">
                  <a16:creationId xmlns:a16="http://schemas.microsoft.com/office/drawing/2014/main" id="{00000000-0008-0000-0500-00000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4216" name="Button 8" hidden="1">
              <a:extLst>
                <a:ext uri="{63B3BB69-23CF-44E3-9099-C40C66FF867C}">
                  <a14:compatExt spid="_x0000_s94216"/>
                </a:ext>
                <a:ext uri="{FF2B5EF4-FFF2-40B4-BE49-F238E27FC236}">
                  <a16:creationId xmlns:a16="http://schemas.microsoft.com/office/drawing/2014/main" id="{00000000-0008-0000-0500-00000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4217" name="Button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05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05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4219" name="Button 11" hidden="1">
              <a:extLst>
                <a:ext uri="{63B3BB69-23CF-44E3-9099-C40C66FF867C}">
                  <a14:compatExt spid="_x0000_s94219"/>
                </a:ext>
                <a:ext uri="{FF2B5EF4-FFF2-40B4-BE49-F238E27FC236}">
                  <a16:creationId xmlns:a16="http://schemas.microsoft.com/office/drawing/2014/main" id="{00000000-0008-0000-0500-00000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4220" name="Button 12" hidden="1">
              <a:extLst>
                <a:ext uri="{63B3BB69-23CF-44E3-9099-C40C66FF867C}">
                  <a14:compatExt spid="_x0000_s94220"/>
                </a:ext>
                <a:ext uri="{FF2B5EF4-FFF2-40B4-BE49-F238E27FC236}">
                  <a16:creationId xmlns:a16="http://schemas.microsoft.com/office/drawing/2014/main" id="{00000000-0008-0000-0500-00000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  <a:ext uri="{FF2B5EF4-FFF2-40B4-BE49-F238E27FC236}">
                  <a16:creationId xmlns:a16="http://schemas.microsoft.com/office/drawing/2014/main" id="{00000000-0008-0000-0500-00000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  <a:ext uri="{FF2B5EF4-FFF2-40B4-BE49-F238E27FC236}">
                  <a16:creationId xmlns:a16="http://schemas.microsoft.com/office/drawing/2014/main" id="{00000000-0008-0000-0500-00000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4223" name="Button 15" hidden="1">
              <a:extLst>
                <a:ext uri="{63B3BB69-23CF-44E3-9099-C40C66FF867C}">
                  <a14:compatExt spid="_x0000_s94223"/>
                </a:ext>
                <a:ext uri="{FF2B5EF4-FFF2-40B4-BE49-F238E27FC236}">
                  <a16:creationId xmlns:a16="http://schemas.microsoft.com/office/drawing/2014/main" id="{00000000-0008-0000-0500-00000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4224" name="Button 16" hidden="1">
              <a:extLst>
                <a:ext uri="{63B3BB69-23CF-44E3-9099-C40C66FF867C}">
                  <a14:compatExt spid="_x0000_s94224"/>
                </a:ext>
                <a:ext uri="{FF2B5EF4-FFF2-40B4-BE49-F238E27FC236}">
                  <a16:creationId xmlns:a16="http://schemas.microsoft.com/office/drawing/2014/main" id="{00000000-0008-0000-0500-00001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4225" name="Button 17" hidden="1">
              <a:extLst>
                <a:ext uri="{63B3BB69-23CF-44E3-9099-C40C66FF867C}">
                  <a14:compatExt spid="_x0000_s94225"/>
                </a:ext>
                <a:ext uri="{FF2B5EF4-FFF2-40B4-BE49-F238E27FC236}">
                  <a16:creationId xmlns:a16="http://schemas.microsoft.com/office/drawing/2014/main" id="{00000000-0008-0000-0500-00001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4226" name="Button 18" hidden="1">
              <a:extLst>
                <a:ext uri="{63B3BB69-23CF-44E3-9099-C40C66FF867C}">
                  <a14:compatExt spid="_x0000_s94226"/>
                </a:ext>
                <a:ext uri="{FF2B5EF4-FFF2-40B4-BE49-F238E27FC236}">
                  <a16:creationId xmlns:a16="http://schemas.microsoft.com/office/drawing/2014/main" id="{00000000-0008-0000-0500-00001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4227" name="Button 19" hidden="1">
              <a:extLst>
                <a:ext uri="{63B3BB69-23CF-44E3-9099-C40C66FF867C}">
                  <a14:compatExt spid="_x0000_s94227"/>
                </a:ext>
                <a:ext uri="{FF2B5EF4-FFF2-40B4-BE49-F238E27FC236}">
                  <a16:creationId xmlns:a16="http://schemas.microsoft.com/office/drawing/2014/main" id="{00000000-0008-0000-0500-00001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4228" name="Button 20" hidden="1">
              <a:extLst>
                <a:ext uri="{63B3BB69-23CF-44E3-9099-C40C66FF867C}">
                  <a14:compatExt spid="_x0000_s94228"/>
                </a:ext>
                <a:ext uri="{FF2B5EF4-FFF2-40B4-BE49-F238E27FC236}">
                  <a16:creationId xmlns:a16="http://schemas.microsoft.com/office/drawing/2014/main" id="{00000000-0008-0000-0500-00001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4229" name="Button 21" hidden="1">
              <a:extLst>
                <a:ext uri="{63B3BB69-23CF-44E3-9099-C40C66FF867C}">
                  <a14:compatExt spid="_x0000_s94229"/>
                </a:ext>
                <a:ext uri="{FF2B5EF4-FFF2-40B4-BE49-F238E27FC236}">
                  <a16:creationId xmlns:a16="http://schemas.microsoft.com/office/drawing/2014/main" id="{00000000-0008-0000-0500-00001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4230" name="Button 22" hidden="1">
              <a:extLst>
                <a:ext uri="{63B3BB69-23CF-44E3-9099-C40C66FF867C}">
                  <a14:compatExt spid="_x0000_s94230"/>
                </a:ext>
                <a:ext uri="{FF2B5EF4-FFF2-40B4-BE49-F238E27FC236}">
                  <a16:creationId xmlns:a16="http://schemas.microsoft.com/office/drawing/2014/main" id="{00000000-0008-0000-0500-00001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4231" name="Button 23" hidden="1">
              <a:extLst>
                <a:ext uri="{63B3BB69-23CF-44E3-9099-C40C66FF867C}">
                  <a14:compatExt spid="_x0000_s94231"/>
                </a:ext>
                <a:ext uri="{FF2B5EF4-FFF2-40B4-BE49-F238E27FC236}">
                  <a16:creationId xmlns:a16="http://schemas.microsoft.com/office/drawing/2014/main" id="{00000000-0008-0000-0500-00001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4232" name="Button 24" hidden="1">
              <a:extLst>
                <a:ext uri="{63B3BB69-23CF-44E3-9099-C40C66FF867C}">
                  <a14:compatExt spid="_x0000_s94232"/>
                </a:ext>
                <a:ext uri="{FF2B5EF4-FFF2-40B4-BE49-F238E27FC236}">
                  <a16:creationId xmlns:a16="http://schemas.microsoft.com/office/drawing/2014/main" id="{00000000-0008-0000-0500-00001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4233" name="Button 25" hidden="1">
              <a:extLst>
                <a:ext uri="{63B3BB69-23CF-44E3-9099-C40C66FF867C}">
                  <a14:compatExt spid="_x0000_s94233"/>
                </a:ext>
                <a:ext uri="{FF2B5EF4-FFF2-40B4-BE49-F238E27FC236}">
                  <a16:creationId xmlns:a16="http://schemas.microsoft.com/office/drawing/2014/main" id="{00000000-0008-0000-0500-00001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4234" name="Button 26" hidden="1">
              <a:extLst>
                <a:ext uri="{63B3BB69-23CF-44E3-9099-C40C66FF867C}">
                  <a14:compatExt spid="_x0000_s94234"/>
                </a:ext>
                <a:ext uri="{FF2B5EF4-FFF2-40B4-BE49-F238E27FC236}">
                  <a16:creationId xmlns:a16="http://schemas.microsoft.com/office/drawing/2014/main" id="{00000000-0008-0000-0500-00001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4235" name="Button 27" hidden="1">
              <a:extLst>
                <a:ext uri="{63B3BB69-23CF-44E3-9099-C40C66FF867C}">
                  <a14:compatExt spid="_x0000_s94235"/>
                </a:ext>
                <a:ext uri="{FF2B5EF4-FFF2-40B4-BE49-F238E27FC236}">
                  <a16:creationId xmlns:a16="http://schemas.microsoft.com/office/drawing/2014/main" id="{00000000-0008-0000-0500-00001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4236" name="Button 28" hidden="1">
              <a:extLst>
                <a:ext uri="{63B3BB69-23CF-44E3-9099-C40C66FF867C}">
                  <a14:compatExt spid="_x0000_s94236"/>
                </a:ext>
                <a:ext uri="{FF2B5EF4-FFF2-40B4-BE49-F238E27FC236}">
                  <a16:creationId xmlns:a16="http://schemas.microsoft.com/office/drawing/2014/main" id="{00000000-0008-0000-0500-00001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4237" name="Button 29" hidden="1">
              <a:extLst>
                <a:ext uri="{63B3BB69-23CF-44E3-9099-C40C66FF867C}">
                  <a14:compatExt spid="_x0000_s94237"/>
                </a:ext>
                <a:ext uri="{FF2B5EF4-FFF2-40B4-BE49-F238E27FC236}">
                  <a16:creationId xmlns:a16="http://schemas.microsoft.com/office/drawing/2014/main" id="{00000000-0008-0000-0500-00001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4238" name="Button 30" hidden="1">
              <a:extLst>
                <a:ext uri="{63B3BB69-23CF-44E3-9099-C40C66FF867C}">
                  <a14:compatExt spid="_x0000_s94238"/>
                </a:ext>
                <a:ext uri="{FF2B5EF4-FFF2-40B4-BE49-F238E27FC236}">
                  <a16:creationId xmlns:a16="http://schemas.microsoft.com/office/drawing/2014/main" id="{00000000-0008-0000-0500-00001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6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6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9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9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9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9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9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9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9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9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9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9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9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9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9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9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9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9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9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9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9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9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9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9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9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9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9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9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" Type="http://schemas.openxmlformats.org/officeDocument/2006/relationships/ctrlProp" Target="../ctrlProps/ctrlProp32.xml"/><Relationship Id="rId21" Type="http://schemas.openxmlformats.org/officeDocument/2006/relationships/ctrlProp" Target="../ctrlProps/ctrlProp50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29" Type="http://schemas.openxmlformats.org/officeDocument/2006/relationships/ctrlProp" Target="../ctrlProps/ctrlProp5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32" Type="http://schemas.openxmlformats.org/officeDocument/2006/relationships/ctrlProp" Target="../ctrlProps/ctrlProp61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28" Type="http://schemas.openxmlformats.org/officeDocument/2006/relationships/ctrlProp" Target="../ctrlProps/ctrlProp57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31" Type="http://schemas.openxmlformats.org/officeDocument/2006/relationships/ctrlProp" Target="../ctrlProps/ctrlProp60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Relationship Id="rId27" Type="http://schemas.openxmlformats.org/officeDocument/2006/relationships/ctrlProp" Target="../ctrlProps/ctrlProp56.xml"/><Relationship Id="rId30" Type="http://schemas.openxmlformats.org/officeDocument/2006/relationships/ctrlProp" Target="../ctrlProps/ctrlProp5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13" Type="http://schemas.openxmlformats.org/officeDocument/2006/relationships/ctrlProp" Target="../ctrlProps/ctrlProp72.xml"/><Relationship Id="rId18" Type="http://schemas.openxmlformats.org/officeDocument/2006/relationships/ctrlProp" Target="../ctrlProps/ctrlProp77.xml"/><Relationship Id="rId26" Type="http://schemas.openxmlformats.org/officeDocument/2006/relationships/ctrlProp" Target="../ctrlProps/ctrlProp85.xml"/><Relationship Id="rId3" Type="http://schemas.openxmlformats.org/officeDocument/2006/relationships/ctrlProp" Target="../ctrlProps/ctrlProp62.xml"/><Relationship Id="rId21" Type="http://schemas.openxmlformats.org/officeDocument/2006/relationships/ctrlProp" Target="../ctrlProps/ctrlProp80.xml"/><Relationship Id="rId7" Type="http://schemas.openxmlformats.org/officeDocument/2006/relationships/ctrlProp" Target="../ctrlProps/ctrlProp66.xml"/><Relationship Id="rId12" Type="http://schemas.openxmlformats.org/officeDocument/2006/relationships/ctrlProp" Target="../ctrlProps/ctrlProp71.xml"/><Relationship Id="rId17" Type="http://schemas.openxmlformats.org/officeDocument/2006/relationships/ctrlProp" Target="../ctrlProps/ctrlProp76.xml"/><Relationship Id="rId25" Type="http://schemas.openxmlformats.org/officeDocument/2006/relationships/ctrlProp" Target="../ctrlProps/ctrlProp8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5.xml"/><Relationship Id="rId20" Type="http://schemas.openxmlformats.org/officeDocument/2006/relationships/ctrlProp" Target="../ctrlProps/ctrlProp79.xml"/><Relationship Id="rId29" Type="http://schemas.openxmlformats.org/officeDocument/2006/relationships/ctrlProp" Target="../ctrlProps/ctrlProp88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5.xml"/><Relationship Id="rId11" Type="http://schemas.openxmlformats.org/officeDocument/2006/relationships/ctrlProp" Target="../ctrlProps/ctrlProp70.xml"/><Relationship Id="rId24" Type="http://schemas.openxmlformats.org/officeDocument/2006/relationships/ctrlProp" Target="../ctrlProps/ctrlProp83.xml"/><Relationship Id="rId32" Type="http://schemas.openxmlformats.org/officeDocument/2006/relationships/ctrlProp" Target="../ctrlProps/ctrlProp91.xml"/><Relationship Id="rId5" Type="http://schemas.openxmlformats.org/officeDocument/2006/relationships/ctrlProp" Target="../ctrlProps/ctrlProp64.xml"/><Relationship Id="rId15" Type="http://schemas.openxmlformats.org/officeDocument/2006/relationships/ctrlProp" Target="../ctrlProps/ctrlProp74.xml"/><Relationship Id="rId23" Type="http://schemas.openxmlformats.org/officeDocument/2006/relationships/ctrlProp" Target="../ctrlProps/ctrlProp82.xml"/><Relationship Id="rId28" Type="http://schemas.openxmlformats.org/officeDocument/2006/relationships/ctrlProp" Target="../ctrlProps/ctrlProp87.xml"/><Relationship Id="rId10" Type="http://schemas.openxmlformats.org/officeDocument/2006/relationships/ctrlProp" Target="../ctrlProps/ctrlProp69.xml"/><Relationship Id="rId19" Type="http://schemas.openxmlformats.org/officeDocument/2006/relationships/ctrlProp" Target="../ctrlProps/ctrlProp78.xml"/><Relationship Id="rId31" Type="http://schemas.openxmlformats.org/officeDocument/2006/relationships/ctrlProp" Target="../ctrlProps/ctrlProp90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Relationship Id="rId14" Type="http://schemas.openxmlformats.org/officeDocument/2006/relationships/ctrlProp" Target="../ctrlProps/ctrlProp73.xml"/><Relationship Id="rId22" Type="http://schemas.openxmlformats.org/officeDocument/2006/relationships/ctrlProp" Target="../ctrlProps/ctrlProp81.xml"/><Relationship Id="rId27" Type="http://schemas.openxmlformats.org/officeDocument/2006/relationships/ctrlProp" Target="../ctrlProps/ctrlProp86.xml"/><Relationship Id="rId30" Type="http://schemas.openxmlformats.org/officeDocument/2006/relationships/ctrlProp" Target="../ctrlProps/ctrlProp8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" Type="http://schemas.openxmlformats.org/officeDocument/2006/relationships/ctrlProp" Target="../ctrlProps/ctrlProp92.xml"/><Relationship Id="rId21" Type="http://schemas.openxmlformats.org/officeDocument/2006/relationships/ctrlProp" Target="../ctrlProps/ctrlProp110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13" Type="http://schemas.openxmlformats.org/officeDocument/2006/relationships/ctrlProp" Target="../ctrlProps/ctrlProp132.xml"/><Relationship Id="rId18" Type="http://schemas.openxmlformats.org/officeDocument/2006/relationships/ctrlProp" Target="../ctrlProps/ctrlProp137.xml"/><Relationship Id="rId26" Type="http://schemas.openxmlformats.org/officeDocument/2006/relationships/ctrlProp" Target="../ctrlProps/ctrlProp145.xml"/><Relationship Id="rId3" Type="http://schemas.openxmlformats.org/officeDocument/2006/relationships/ctrlProp" Target="../ctrlProps/ctrlProp122.xml"/><Relationship Id="rId21" Type="http://schemas.openxmlformats.org/officeDocument/2006/relationships/ctrlProp" Target="../ctrlProps/ctrlProp140.xml"/><Relationship Id="rId7" Type="http://schemas.openxmlformats.org/officeDocument/2006/relationships/ctrlProp" Target="../ctrlProps/ctrlProp126.xml"/><Relationship Id="rId12" Type="http://schemas.openxmlformats.org/officeDocument/2006/relationships/ctrlProp" Target="../ctrlProps/ctrlProp131.xml"/><Relationship Id="rId17" Type="http://schemas.openxmlformats.org/officeDocument/2006/relationships/ctrlProp" Target="../ctrlProps/ctrlProp136.xml"/><Relationship Id="rId25" Type="http://schemas.openxmlformats.org/officeDocument/2006/relationships/ctrlProp" Target="../ctrlProps/ctrlProp14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5.xml"/><Relationship Id="rId20" Type="http://schemas.openxmlformats.org/officeDocument/2006/relationships/ctrlProp" Target="../ctrlProps/ctrlProp139.xml"/><Relationship Id="rId29" Type="http://schemas.openxmlformats.org/officeDocument/2006/relationships/ctrlProp" Target="../ctrlProps/ctrlProp148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5.xml"/><Relationship Id="rId11" Type="http://schemas.openxmlformats.org/officeDocument/2006/relationships/ctrlProp" Target="../ctrlProps/ctrlProp130.xml"/><Relationship Id="rId24" Type="http://schemas.openxmlformats.org/officeDocument/2006/relationships/ctrlProp" Target="../ctrlProps/ctrlProp143.xml"/><Relationship Id="rId32" Type="http://schemas.openxmlformats.org/officeDocument/2006/relationships/ctrlProp" Target="../ctrlProps/ctrlProp151.xml"/><Relationship Id="rId5" Type="http://schemas.openxmlformats.org/officeDocument/2006/relationships/ctrlProp" Target="../ctrlProps/ctrlProp124.xml"/><Relationship Id="rId15" Type="http://schemas.openxmlformats.org/officeDocument/2006/relationships/ctrlProp" Target="../ctrlProps/ctrlProp134.xml"/><Relationship Id="rId23" Type="http://schemas.openxmlformats.org/officeDocument/2006/relationships/ctrlProp" Target="../ctrlProps/ctrlProp142.xml"/><Relationship Id="rId28" Type="http://schemas.openxmlformats.org/officeDocument/2006/relationships/ctrlProp" Target="../ctrlProps/ctrlProp147.xml"/><Relationship Id="rId10" Type="http://schemas.openxmlformats.org/officeDocument/2006/relationships/ctrlProp" Target="../ctrlProps/ctrlProp129.xml"/><Relationship Id="rId19" Type="http://schemas.openxmlformats.org/officeDocument/2006/relationships/ctrlProp" Target="../ctrlProps/ctrlProp138.xml"/><Relationship Id="rId31" Type="http://schemas.openxmlformats.org/officeDocument/2006/relationships/ctrlProp" Target="../ctrlProps/ctrlProp150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Relationship Id="rId14" Type="http://schemas.openxmlformats.org/officeDocument/2006/relationships/ctrlProp" Target="../ctrlProps/ctrlProp133.xml"/><Relationship Id="rId22" Type="http://schemas.openxmlformats.org/officeDocument/2006/relationships/ctrlProp" Target="../ctrlProps/ctrlProp141.xml"/><Relationship Id="rId27" Type="http://schemas.openxmlformats.org/officeDocument/2006/relationships/ctrlProp" Target="../ctrlProps/ctrlProp146.xml"/><Relationship Id="rId30" Type="http://schemas.openxmlformats.org/officeDocument/2006/relationships/ctrlProp" Target="../ctrlProps/ctrlProp14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7.xml"/><Relationship Id="rId3" Type="http://schemas.openxmlformats.org/officeDocument/2006/relationships/ctrlProp" Target="../ctrlProps/ctrlProp152.xml"/><Relationship Id="rId7" Type="http://schemas.openxmlformats.org/officeDocument/2006/relationships/ctrlProp" Target="../ctrlProps/ctrlProp15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5.xml"/><Relationship Id="rId5" Type="http://schemas.openxmlformats.org/officeDocument/2006/relationships/ctrlProp" Target="../ctrlProps/ctrlProp154.xml"/><Relationship Id="rId10" Type="http://schemas.openxmlformats.org/officeDocument/2006/relationships/ctrlProp" Target="../ctrlProps/ctrlProp159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5.xml"/><Relationship Id="rId13" Type="http://schemas.openxmlformats.org/officeDocument/2006/relationships/ctrlProp" Target="../ctrlProps/ctrlProp170.xml"/><Relationship Id="rId18" Type="http://schemas.openxmlformats.org/officeDocument/2006/relationships/ctrlProp" Target="../ctrlProps/ctrlProp175.xml"/><Relationship Id="rId26" Type="http://schemas.openxmlformats.org/officeDocument/2006/relationships/ctrlProp" Target="../ctrlProps/ctrlProp183.xml"/><Relationship Id="rId3" Type="http://schemas.openxmlformats.org/officeDocument/2006/relationships/ctrlProp" Target="../ctrlProps/ctrlProp160.xml"/><Relationship Id="rId21" Type="http://schemas.openxmlformats.org/officeDocument/2006/relationships/ctrlProp" Target="../ctrlProps/ctrlProp178.xml"/><Relationship Id="rId7" Type="http://schemas.openxmlformats.org/officeDocument/2006/relationships/ctrlProp" Target="../ctrlProps/ctrlProp164.xml"/><Relationship Id="rId12" Type="http://schemas.openxmlformats.org/officeDocument/2006/relationships/ctrlProp" Target="../ctrlProps/ctrlProp169.xml"/><Relationship Id="rId17" Type="http://schemas.openxmlformats.org/officeDocument/2006/relationships/ctrlProp" Target="../ctrlProps/ctrlProp174.xml"/><Relationship Id="rId25" Type="http://schemas.openxmlformats.org/officeDocument/2006/relationships/ctrlProp" Target="../ctrlProps/ctrlProp182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173.xml"/><Relationship Id="rId20" Type="http://schemas.openxmlformats.org/officeDocument/2006/relationships/ctrlProp" Target="../ctrlProps/ctrlProp177.xml"/><Relationship Id="rId29" Type="http://schemas.openxmlformats.org/officeDocument/2006/relationships/ctrlProp" Target="../ctrlProps/ctrlProp186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63.xml"/><Relationship Id="rId11" Type="http://schemas.openxmlformats.org/officeDocument/2006/relationships/ctrlProp" Target="../ctrlProps/ctrlProp168.xml"/><Relationship Id="rId24" Type="http://schemas.openxmlformats.org/officeDocument/2006/relationships/ctrlProp" Target="../ctrlProps/ctrlProp181.xml"/><Relationship Id="rId32" Type="http://schemas.openxmlformats.org/officeDocument/2006/relationships/ctrlProp" Target="../ctrlProps/ctrlProp189.xml"/><Relationship Id="rId5" Type="http://schemas.openxmlformats.org/officeDocument/2006/relationships/ctrlProp" Target="../ctrlProps/ctrlProp162.xml"/><Relationship Id="rId15" Type="http://schemas.openxmlformats.org/officeDocument/2006/relationships/ctrlProp" Target="../ctrlProps/ctrlProp172.xml"/><Relationship Id="rId23" Type="http://schemas.openxmlformats.org/officeDocument/2006/relationships/ctrlProp" Target="../ctrlProps/ctrlProp180.xml"/><Relationship Id="rId28" Type="http://schemas.openxmlformats.org/officeDocument/2006/relationships/ctrlProp" Target="../ctrlProps/ctrlProp185.xml"/><Relationship Id="rId10" Type="http://schemas.openxmlformats.org/officeDocument/2006/relationships/ctrlProp" Target="../ctrlProps/ctrlProp167.xml"/><Relationship Id="rId19" Type="http://schemas.openxmlformats.org/officeDocument/2006/relationships/ctrlProp" Target="../ctrlProps/ctrlProp176.xml"/><Relationship Id="rId31" Type="http://schemas.openxmlformats.org/officeDocument/2006/relationships/ctrlProp" Target="../ctrlProps/ctrlProp188.xml"/><Relationship Id="rId4" Type="http://schemas.openxmlformats.org/officeDocument/2006/relationships/ctrlProp" Target="../ctrlProps/ctrlProp161.xml"/><Relationship Id="rId9" Type="http://schemas.openxmlformats.org/officeDocument/2006/relationships/ctrlProp" Target="../ctrlProps/ctrlProp166.xml"/><Relationship Id="rId14" Type="http://schemas.openxmlformats.org/officeDocument/2006/relationships/ctrlProp" Target="../ctrlProps/ctrlProp171.xml"/><Relationship Id="rId22" Type="http://schemas.openxmlformats.org/officeDocument/2006/relationships/ctrlProp" Target="../ctrlProps/ctrlProp179.xml"/><Relationship Id="rId27" Type="http://schemas.openxmlformats.org/officeDocument/2006/relationships/ctrlProp" Target="../ctrlProps/ctrlProp184.xml"/><Relationship Id="rId30" Type="http://schemas.openxmlformats.org/officeDocument/2006/relationships/ctrlProp" Target="../ctrlProps/ctrlProp1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A1:N91"/>
  <sheetViews>
    <sheetView tabSelected="1" zoomScale="85" zoomScaleNormal="85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  <col min="13" max="13" width="10.4140625" bestFit="1" customWidth="1"/>
  </cols>
  <sheetData>
    <row r="1" spans="2:10" x14ac:dyDescent="0.55000000000000004">
      <c r="C1" s="1" t="s">
        <v>198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29.86</v>
      </c>
      <c r="D2" s="2">
        <v>36.86</v>
      </c>
      <c r="E2" s="2">
        <v>29.86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256</v>
      </c>
      <c r="E5" t="s">
        <v>362</v>
      </c>
    </row>
    <row r="6" spans="2:10" x14ac:dyDescent="0.55000000000000004">
      <c r="B6" t="s">
        <v>93</v>
      </c>
      <c r="C6" s="2">
        <f t="shared" ref="C6:C12" si="0">$C$2</f>
        <v>29.86</v>
      </c>
      <c r="D6" s="2"/>
      <c r="E6" t="s">
        <v>350</v>
      </c>
      <c r="F6" t="s">
        <v>363</v>
      </c>
    </row>
    <row r="7" spans="2:10" x14ac:dyDescent="0.55000000000000004">
      <c r="B7" t="s">
        <v>94</v>
      </c>
      <c r="C7" s="2">
        <f t="shared" si="0"/>
        <v>29.86</v>
      </c>
      <c r="D7" s="2"/>
      <c r="E7" t="s">
        <v>351</v>
      </c>
      <c r="F7" t="s">
        <v>363</v>
      </c>
    </row>
    <row r="8" spans="2:10" x14ac:dyDescent="0.55000000000000004">
      <c r="B8" t="s">
        <v>95</v>
      </c>
      <c r="C8" s="2">
        <f t="shared" si="0"/>
        <v>29.86</v>
      </c>
      <c r="D8" s="2"/>
      <c r="E8" t="s">
        <v>352</v>
      </c>
      <c r="F8" t="s">
        <v>363</v>
      </c>
    </row>
    <row r="9" spans="2:10" x14ac:dyDescent="0.55000000000000004">
      <c r="B9" t="s">
        <v>96</v>
      </c>
      <c r="C9" s="2">
        <f t="shared" si="0"/>
        <v>29.86</v>
      </c>
      <c r="D9" s="2"/>
      <c r="E9" t="s">
        <v>353</v>
      </c>
      <c r="F9" t="s">
        <v>363</v>
      </c>
    </row>
    <row r="10" spans="2:10" x14ac:dyDescent="0.55000000000000004">
      <c r="B10" t="s">
        <v>97</v>
      </c>
      <c r="C10" s="2">
        <f t="shared" si="0"/>
        <v>29.86</v>
      </c>
      <c r="D10" s="2"/>
      <c r="E10" t="s">
        <v>354</v>
      </c>
      <c r="F10" t="s">
        <v>363</v>
      </c>
    </row>
    <row r="11" spans="2:10" x14ac:dyDescent="0.55000000000000004">
      <c r="B11" t="s">
        <v>98</v>
      </c>
      <c r="C11" s="2">
        <f t="shared" si="0"/>
        <v>29.86</v>
      </c>
      <c r="D11" s="2"/>
      <c r="E11" t="s">
        <v>355</v>
      </c>
      <c r="F11" t="s">
        <v>363</v>
      </c>
    </row>
    <row r="12" spans="2:10" x14ac:dyDescent="0.55000000000000004">
      <c r="B12" t="s">
        <v>99</v>
      </c>
      <c r="C12" s="2">
        <f t="shared" si="0"/>
        <v>29.86</v>
      </c>
      <c r="D12" s="2"/>
      <c r="E12" t="s">
        <v>356</v>
      </c>
      <c r="F12" t="s">
        <v>363</v>
      </c>
    </row>
    <row r="13" spans="2:10" x14ac:dyDescent="0.55000000000000004">
      <c r="B13" t="s">
        <v>100</v>
      </c>
      <c r="C13" s="2">
        <f t="shared" ref="C13:C26" si="1">$D$2</f>
        <v>36.86</v>
      </c>
      <c r="D13" s="2"/>
      <c r="E13" t="s">
        <v>357</v>
      </c>
      <c r="F13" t="s">
        <v>363</v>
      </c>
    </row>
    <row r="14" spans="2:10" x14ac:dyDescent="0.55000000000000004">
      <c r="B14" t="s">
        <v>101</v>
      </c>
      <c r="C14" s="2">
        <f t="shared" si="1"/>
        <v>36.86</v>
      </c>
      <c r="D14" s="2"/>
      <c r="E14" t="s">
        <v>358</v>
      </c>
      <c r="F14" t="s">
        <v>363</v>
      </c>
    </row>
    <row r="15" spans="2:10" x14ac:dyDescent="0.55000000000000004">
      <c r="B15" t="s">
        <v>102</v>
      </c>
      <c r="C15" s="2">
        <f t="shared" si="1"/>
        <v>36.86</v>
      </c>
      <c r="D15" s="2"/>
      <c r="E15" t="s">
        <v>359</v>
      </c>
      <c r="F15" t="s">
        <v>349</v>
      </c>
    </row>
    <row r="16" spans="2:10" x14ac:dyDescent="0.55000000000000004">
      <c r="B16" t="s">
        <v>103</v>
      </c>
      <c r="C16" s="2">
        <f t="shared" si="1"/>
        <v>36.86</v>
      </c>
      <c r="D16" s="2"/>
      <c r="E16" t="s">
        <v>360</v>
      </c>
      <c r="F16" t="s">
        <v>349</v>
      </c>
    </row>
    <row r="17" spans="2:14" x14ac:dyDescent="0.55000000000000004">
      <c r="B17" t="s">
        <v>104</v>
      </c>
      <c r="C17" s="2">
        <f t="shared" si="1"/>
        <v>36.86</v>
      </c>
      <c r="D17" s="2"/>
      <c r="E17" t="s">
        <v>361</v>
      </c>
      <c r="F17" t="s">
        <v>349</v>
      </c>
    </row>
    <row r="18" spans="2:14" x14ac:dyDescent="0.55000000000000004">
      <c r="B18" t="s">
        <v>105</v>
      </c>
      <c r="C18" s="2">
        <f t="shared" si="1"/>
        <v>36.86</v>
      </c>
      <c r="D18" s="2"/>
    </row>
    <row r="19" spans="2:14" x14ac:dyDescent="0.55000000000000004">
      <c r="B19" t="s">
        <v>106</v>
      </c>
      <c r="C19" s="2">
        <f t="shared" si="1"/>
        <v>36.86</v>
      </c>
      <c r="D19" s="2"/>
    </row>
    <row r="20" spans="2:14" x14ac:dyDescent="0.55000000000000004">
      <c r="B20" t="s">
        <v>107</v>
      </c>
      <c r="C20" s="2">
        <f t="shared" si="1"/>
        <v>36.86</v>
      </c>
      <c r="D20" s="2"/>
    </row>
    <row r="21" spans="2:14" x14ac:dyDescent="0.55000000000000004">
      <c r="B21" t="s">
        <v>108</v>
      </c>
      <c r="C21" s="2">
        <f t="shared" si="1"/>
        <v>36.86</v>
      </c>
      <c r="D21" s="2"/>
    </row>
    <row r="22" spans="2:14" x14ac:dyDescent="0.55000000000000004">
      <c r="B22" t="s">
        <v>109</v>
      </c>
      <c r="C22" s="2">
        <f t="shared" si="1"/>
        <v>36.86</v>
      </c>
      <c r="D22" s="2"/>
    </row>
    <row r="23" spans="2:14" x14ac:dyDescent="0.55000000000000004">
      <c r="B23" t="s">
        <v>110</v>
      </c>
      <c r="C23" s="2">
        <f t="shared" si="1"/>
        <v>36.86</v>
      </c>
      <c r="D23" s="2"/>
    </row>
    <row r="24" spans="2:14" x14ac:dyDescent="0.55000000000000004">
      <c r="B24" t="s">
        <v>111</v>
      </c>
      <c r="C24" s="2">
        <f t="shared" si="1"/>
        <v>36.86</v>
      </c>
      <c r="D24" s="2"/>
    </row>
    <row r="25" spans="2:14" x14ac:dyDescent="0.55000000000000004">
      <c r="B25" t="s">
        <v>112</v>
      </c>
      <c r="C25" s="2">
        <f t="shared" si="1"/>
        <v>36.86</v>
      </c>
      <c r="D25" s="2"/>
    </row>
    <row r="26" spans="2:14" x14ac:dyDescent="0.55000000000000004">
      <c r="B26" t="s">
        <v>113</v>
      </c>
      <c r="C26" s="2">
        <f t="shared" si="1"/>
        <v>36.86</v>
      </c>
      <c r="D26" s="2"/>
    </row>
    <row r="27" spans="2:14" x14ac:dyDescent="0.55000000000000004">
      <c r="B27" t="s">
        <v>114</v>
      </c>
      <c r="C27" s="2">
        <f t="shared" ref="C27" si="2">$C$2</f>
        <v>29.86</v>
      </c>
      <c r="D27" s="2"/>
    </row>
    <row r="28" spans="2:14" x14ac:dyDescent="0.55000000000000004">
      <c r="B28" t="s">
        <v>115</v>
      </c>
      <c r="C28" s="2">
        <f t="shared" ref="C28:C29" si="3">$C$2</f>
        <v>29.86</v>
      </c>
      <c r="D28" s="2"/>
    </row>
    <row r="29" spans="2:14" x14ac:dyDescent="0.55000000000000004">
      <c r="B29" t="s">
        <v>116</v>
      </c>
      <c r="C29" s="2">
        <f t="shared" si="3"/>
        <v>29.86</v>
      </c>
      <c r="D29" s="2"/>
    </row>
    <row r="30" spans="2:14" x14ac:dyDescent="0.55000000000000004">
      <c r="J30" t="s">
        <v>257</v>
      </c>
      <c r="K30" t="s">
        <v>259</v>
      </c>
      <c r="L30" t="s">
        <v>258</v>
      </c>
      <c r="M30" t="s">
        <v>257</v>
      </c>
      <c r="N30" t="s">
        <v>313</v>
      </c>
    </row>
    <row r="31" spans="2:14" x14ac:dyDescent="0.55000000000000004">
      <c r="C31" s="14" t="s">
        <v>204</v>
      </c>
      <c r="D31" t="s">
        <v>205</v>
      </c>
      <c r="E31" s="14" t="s">
        <v>263</v>
      </c>
      <c r="F31" t="s">
        <v>264</v>
      </c>
      <c r="J31">
        <f>M31-N31</f>
        <v>1669512</v>
      </c>
      <c r="K31">
        <f>SUM(L34:L45)</f>
        <v>56477</v>
      </c>
      <c r="L31">
        <f>ROUND(J31/K31,0)</f>
        <v>30</v>
      </c>
      <c r="M31">
        <v>1916500</v>
      </c>
      <c r="N31">
        <f>SUM(L49:L60)</f>
        <v>246988</v>
      </c>
    </row>
    <row r="32" spans="2:14" x14ac:dyDescent="0.55000000000000004">
      <c r="C32">
        <v>24</v>
      </c>
      <c r="D32">
        <v>23</v>
      </c>
      <c r="E32">
        <v>5</v>
      </c>
      <c r="F32" t="s">
        <v>314</v>
      </c>
    </row>
    <row r="33" spans="1:13" x14ac:dyDescent="0.55000000000000004">
      <c r="C33" t="s">
        <v>207</v>
      </c>
      <c r="D33" t="s">
        <v>208</v>
      </c>
      <c r="E33" t="s">
        <v>203</v>
      </c>
      <c r="F33" t="s">
        <v>209</v>
      </c>
      <c r="G33" t="s">
        <v>210</v>
      </c>
      <c r="H33" t="s">
        <v>162</v>
      </c>
      <c r="I33" t="s">
        <v>211</v>
      </c>
      <c r="J33" t="s">
        <v>212</v>
      </c>
      <c r="K33" t="s">
        <v>213</v>
      </c>
      <c r="L33" t="s">
        <v>246</v>
      </c>
    </row>
    <row r="34" spans="1:13" x14ac:dyDescent="0.55000000000000004">
      <c r="B34" t="s">
        <v>206</v>
      </c>
      <c r="C34">
        <v>1694</v>
      </c>
      <c r="D34">
        <v>6247</v>
      </c>
      <c r="E34">
        <f>SUM(C34:D34)</f>
        <v>7941</v>
      </c>
      <c r="F34">
        <v>9114</v>
      </c>
      <c r="G34">
        <v>6211</v>
      </c>
      <c r="H34">
        <f>SUM(F34:G34)</f>
        <v>15325</v>
      </c>
      <c r="I34">
        <v>9595</v>
      </c>
      <c r="J34">
        <v>13191</v>
      </c>
      <c r="K34">
        <f>SUM(I34:J34)</f>
        <v>22786</v>
      </c>
      <c r="L34">
        <f>K34-(E34-H34)</f>
        <v>30170</v>
      </c>
      <c r="M34" t="s">
        <v>315</v>
      </c>
    </row>
    <row r="35" spans="1:13" x14ac:dyDescent="0.55000000000000004">
      <c r="B35" t="s">
        <v>260</v>
      </c>
      <c r="C35">
        <v>2746</v>
      </c>
      <c r="D35">
        <v>16293</v>
      </c>
      <c r="E35">
        <f>SUM(C35:D35)</f>
        <v>19039</v>
      </c>
      <c r="F35">
        <v>1104</v>
      </c>
      <c r="G35">
        <v>2511</v>
      </c>
      <c r="H35">
        <f>SUM(F35:G35)</f>
        <v>3615</v>
      </c>
      <c r="I35">
        <v>4954</v>
      </c>
      <c r="J35">
        <v>22139</v>
      </c>
      <c r="K35">
        <f>SUM(I35:J35)</f>
        <v>27093</v>
      </c>
      <c r="L35">
        <f t="shared" ref="L35:L45" si="4">K35-(E35-H35)</f>
        <v>11669</v>
      </c>
    </row>
    <row r="36" spans="1:13" x14ac:dyDescent="0.55000000000000004">
      <c r="B36" t="s">
        <v>202</v>
      </c>
      <c r="C36">
        <v>6938</v>
      </c>
      <c r="D36">
        <v>17431</v>
      </c>
      <c r="E36">
        <f>SUM(C36:D36)</f>
        <v>24369</v>
      </c>
      <c r="F36">
        <v>383</v>
      </c>
      <c r="G36">
        <v>2733</v>
      </c>
      <c r="H36">
        <f>SUM(F36:G36)</f>
        <v>3116</v>
      </c>
      <c r="I36">
        <v>8594</v>
      </c>
      <c r="J36">
        <v>24490</v>
      </c>
      <c r="K36">
        <f>SUM(I36:J36)</f>
        <v>33084</v>
      </c>
      <c r="L36">
        <f t="shared" si="4"/>
        <v>11831</v>
      </c>
    </row>
    <row r="37" spans="1:13" x14ac:dyDescent="0.55000000000000004">
      <c r="B37" t="s">
        <v>247</v>
      </c>
      <c r="C37">
        <v>6200</v>
      </c>
      <c r="D37">
        <v>9413</v>
      </c>
      <c r="E37">
        <f t="shared" ref="E37:E45" si="5">SUM(C37:D37)</f>
        <v>15613</v>
      </c>
      <c r="F37">
        <v>898</v>
      </c>
      <c r="G37">
        <v>0</v>
      </c>
      <c r="H37">
        <f t="shared" ref="H37:H45" si="6">SUM(F37:G37)</f>
        <v>898</v>
      </c>
      <c r="I37">
        <v>8135</v>
      </c>
      <c r="J37">
        <v>9387</v>
      </c>
      <c r="K37">
        <f t="shared" ref="K37:K45" si="7">SUM(I37:J37)</f>
        <v>17522</v>
      </c>
      <c r="L37">
        <f t="shared" si="4"/>
        <v>2807</v>
      </c>
    </row>
    <row r="38" spans="1:13" x14ac:dyDescent="0.55000000000000004">
      <c r="B38" t="s">
        <v>248</v>
      </c>
      <c r="E38">
        <f t="shared" si="5"/>
        <v>0</v>
      </c>
      <c r="H38">
        <f t="shared" si="6"/>
        <v>0</v>
      </c>
      <c r="K38">
        <f t="shared" si="7"/>
        <v>0</v>
      </c>
      <c r="L38">
        <f t="shared" si="4"/>
        <v>0</v>
      </c>
    </row>
    <row r="39" spans="1:13" x14ac:dyDescent="0.55000000000000004">
      <c r="B39" t="s">
        <v>249</v>
      </c>
      <c r="E39">
        <f t="shared" si="5"/>
        <v>0</v>
      </c>
      <c r="H39">
        <f t="shared" si="6"/>
        <v>0</v>
      </c>
      <c r="K39">
        <f t="shared" si="7"/>
        <v>0</v>
      </c>
      <c r="L39">
        <f t="shared" si="4"/>
        <v>0</v>
      </c>
    </row>
    <row r="40" spans="1:13" x14ac:dyDescent="0.55000000000000004">
      <c r="B40" t="s">
        <v>250</v>
      </c>
      <c r="E40">
        <f t="shared" si="5"/>
        <v>0</v>
      </c>
      <c r="H40">
        <f t="shared" si="6"/>
        <v>0</v>
      </c>
      <c r="K40">
        <f t="shared" si="7"/>
        <v>0</v>
      </c>
      <c r="L40">
        <f t="shared" si="4"/>
        <v>0</v>
      </c>
    </row>
    <row r="41" spans="1:13" x14ac:dyDescent="0.55000000000000004">
      <c r="B41" t="s">
        <v>251</v>
      </c>
      <c r="E41">
        <f t="shared" si="5"/>
        <v>0</v>
      </c>
      <c r="H41">
        <f t="shared" si="6"/>
        <v>0</v>
      </c>
      <c r="K41">
        <f t="shared" si="7"/>
        <v>0</v>
      </c>
      <c r="L41">
        <f t="shared" si="4"/>
        <v>0</v>
      </c>
    </row>
    <row r="42" spans="1:13" x14ac:dyDescent="0.55000000000000004">
      <c r="B42" t="s">
        <v>252</v>
      </c>
      <c r="E42">
        <f t="shared" si="5"/>
        <v>0</v>
      </c>
      <c r="H42">
        <f t="shared" si="6"/>
        <v>0</v>
      </c>
      <c r="K42">
        <f t="shared" si="7"/>
        <v>0</v>
      </c>
      <c r="L42">
        <f t="shared" si="4"/>
        <v>0</v>
      </c>
    </row>
    <row r="43" spans="1:13" x14ac:dyDescent="0.55000000000000004">
      <c r="B43" t="s">
        <v>253</v>
      </c>
      <c r="E43">
        <f t="shared" si="5"/>
        <v>0</v>
      </c>
      <c r="H43">
        <f t="shared" si="6"/>
        <v>0</v>
      </c>
      <c r="K43">
        <f t="shared" si="7"/>
        <v>0</v>
      </c>
      <c r="L43">
        <f t="shared" si="4"/>
        <v>0</v>
      </c>
    </row>
    <row r="44" spans="1:13" x14ac:dyDescent="0.55000000000000004">
      <c r="B44" t="s">
        <v>254</v>
      </c>
      <c r="E44">
        <f t="shared" si="5"/>
        <v>0</v>
      </c>
      <c r="H44">
        <f t="shared" si="6"/>
        <v>0</v>
      </c>
      <c r="K44">
        <f t="shared" si="7"/>
        <v>0</v>
      </c>
      <c r="L44">
        <f t="shared" si="4"/>
        <v>0</v>
      </c>
    </row>
    <row r="45" spans="1:13" x14ac:dyDescent="0.55000000000000004">
      <c r="B45" t="s">
        <v>255</v>
      </c>
      <c r="E45">
        <f t="shared" si="5"/>
        <v>0</v>
      </c>
      <c r="H45">
        <f t="shared" si="6"/>
        <v>0</v>
      </c>
      <c r="K45">
        <f t="shared" si="7"/>
        <v>0</v>
      </c>
      <c r="L45">
        <f t="shared" si="4"/>
        <v>0</v>
      </c>
    </row>
    <row r="47" spans="1:13" x14ac:dyDescent="0.55000000000000004">
      <c r="A47" t="s">
        <v>302</v>
      </c>
    </row>
    <row r="48" spans="1:13" x14ac:dyDescent="0.55000000000000004">
      <c r="C48" t="s">
        <v>207</v>
      </c>
      <c r="D48" t="s">
        <v>208</v>
      </c>
      <c r="E48" t="s">
        <v>162</v>
      </c>
      <c r="F48" t="s">
        <v>209</v>
      </c>
      <c r="G48" t="s">
        <v>210</v>
      </c>
      <c r="H48" t="s">
        <v>162</v>
      </c>
      <c r="I48" t="s">
        <v>211</v>
      </c>
      <c r="J48" t="s">
        <v>212</v>
      </c>
      <c r="K48" t="s">
        <v>162</v>
      </c>
      <c r="L48" t="s">
        <v>246</v>
      </c>
    </row>
    <row r="49" spans="1:13" x14ac:dyDescent="0.55000000000000004">
      <c r="B49" t="s">
        <v>206</v>
      </c>
      <c r="C49">
        <v>2449</v>
      </c>
      <c r="D49">
        <v>5551</v>
      </c>
      <c r="E49">
        <v>8000</v>
      </c>
      <c r="F49">
        <v>12555</v>
      </c>
      <c r="G49">
        <v>3922</v>
      </c>
      <c r="H49">
        <v>16477</v>
      </c>
      <c r="I49">
        <v>20793</v>
      </c>
      <c r="J49">
        <v>11784</v>
      </c>
      <c r="K49">
        <v>32577</v>
      </c>
      <c r="L49">
        <v>41054</v>
      </c>
      <c r="M49" t="s">
        <v>316</v>
      </c>
    </row>
    <row r="50" spans="1:13" x14ac:dyDescent="0.55000000000000004">
      <c r="B50" t="s">
        <v>260</v>
      </c>
      <c r="C50">
        <v>3934</v>
      </c>
      <c r="D50">
        <v>17302</v>
      </c>
      <c r="E50">
        <v>21236</v>
      </c>
      <c r="F50">
        <v>453</v>
      </c>
      <c r="G50">
        <v>3227</v>
      </c>
      <c r="H50">
        <v>3680</v>
      </c>
      <c r="I50">
        <v>5228</v>
      </c>
      <c r="J50">
        <v>19061</v>
      </c>
      <c r="K50">
        <v>24289</v>
      </c>
      <c r="L50">
        <v>6733</v>
      </c>
    </row>
    <row r="51" spans="1:13" x14ac:dyDescent="0.55000000000000004">
      <c r="B51" t="s">
        <v>195</v>
      </c>
      <c r="C51">
        <v>6802</v>
      </c>
      <c r="D51">
        <v>18900</v>
      </c>
      <c r="E51">
        <v>25702</v>
      </c>
      <c r="F51">
        <v>771</v>
      </c>
      <c r="G51">
        <v>3589</v>
      </c>
      <c r="H51">
        <v>4360</v>
      </c>
      <c r="I51">
        <v>7183</v>
      </c>
      <c r="J51">
        <v>21475</v>
      </c>
      <c r="K51">
        <v>28658</v>
      </c>
      <c r="L51">
        <v>7316</v>
      </c>
    </row>
    <row r="52" spans="1:13" x14ac:dyDescent="0.55000000000000004">
      <c r="B52" t="s">
        <v>247</v>
      </c>
      <c r="C52">
        <v>6465</v>
      </c>
      <c r="D52">
        <v>12390</v>
      </c>
      <c r="E52">
        <v>18855</v>
      </c>
      <c r="F52">
        <v>1656</v>
      </c>
      <c r="G52">
        <v>5617</v>
      </c>
      <c r="H52">
        <v>7273</v>
      </c>
      <c r="I52">
        <v>7470</v>
      </c>
      <c r="J52">
        <v>19841</v>
      </c>
      <c r="K52">
        <v>27311</v>
      </c>
      <c r="L52">
        <v>15729</v>
      </c>
    </row>
    <row r="53" spans="1:13" x14ac:dyDescent="0.55000000000000004">
      <c r="B53" t="s">
        <v>248</v>
      </c>
      <c r="C53">
        <v>4079</v>
      </c>
      <c r="D53">
        <v>14314</v>
      </c>
      <c r="E53">
        <v>18393</v>
      </c>
      <c r="F53">
        <v>812</v>
      </c>
      <c r="G53">
        <v>4664</v>
      </c>
      <c r="H53">
        <v>5476</v>
      </c>
      <c r="I53">
        <v>5392</v>
      </c>
      <c r="J53">
        <v>20554</v>
      </c>
      <c r="K53">
        <v>25946</v>
      </c>
      <c r="L53">
        <v>13029</v>
      </c>
    </row>
    <row r="54" spans="1:13" x14ac:dyDescent="0.55000000000000004">
      <c r="B54" t="s">
        <v>249</v>
      </c>
      <c r="C54">
        <v>1899</v>
      </c>
      <c r="D54">
        <v>2243</v>
      </c>
      <c r="E54">
        <v>4142</v>
      </c>
      <c r="F54">
        <v>3756</v>
      </c>
      <c r="G54">
        <v>13777</v>
      </c>
      <c r="H54">
        <v>17533</v>
      </c>
      <c r="I54">
        <v>5094</v>
      </c>
      <c r="J54">
        <v>10742</v>
      </c>
      <c r="K54">
        <v>15836</v>
      </c>
      <c r="L54">
        <v>29227</v>
      </c>
    </row>
    <row r="55" spans="1:13" x14ac:dyDescent="0.55000000000000004">
      <c r="B55" t="s">
        <v>250</v>
      </c>
      <c r="C55">
        <v>311</v>
      </c>
      <c r="D55">
        <v>297</v>
      </c>
      <c r="E55">
        <v>608</v>
      </c>
      <c r="F55">
        <v>3941</v>
      </c>
      <c r="G55">
        <v>14627</v>
      </c>
      <c r="H55">
        <v>18568</v>
      </c>
      <c r="I55">
        <v>2458</v>
      </c>
      <c r="J55">
        <v>7310</v>
      </c>
      <c r="K55">
        <v>9768</v>
      </c>
      <c r="L55">
        <v>27728</v>
      </c>
    </row>
    <row r="56" spans="1:13" x14ac:dyDescent="0.55000000000000004">
      <c r="B56" t="s">
        <v>251</v>
      </c>
      <c r="C56">
        <v>115</v>
      </c>
      <c r="D56">
        <v>202</v>
      </c>
      <c r="E56">
        <v>317</v>
      </c>
      <c r="F56">
        <v>3941</v>
      </c>
      <c r="G56">
        <v>16029</v>
      </c>
      <c r="H56">
        <v>19970</v>
      </c>
      <c r="I56">
        <v>2370</v>
      </c>
      <c r="J56">
        <v>6620</v>
      </c>
      <c r="K56">
        <v>8990</v>
      </c>
      <c r="L56">
        <v>28643</v>
      </c>
    </row>
    <row r="57" spans="1:13" x14ac:dyDescent="0.55000000000000004">
      <c r="B57" t="s">
        <v>252</v>
      </c>
      <c r="C57">
        <v>35</v>
      </c>
      <c r="D57">
        <v>508</v>
      </c>
      <c r="E57">
        <v>543</v>
      </c>
      <c r="F57">
        <v>4672</v>
      </c>
      <c r="G57">
        <v>12163</v>
      </c>
      <c r="H57">
        <v>16835</v>
      </c>
      <c r="I57">
        <v>2047</v>
      </c>
      <c r="J57">
        <v>7492</v>
      </c>
      <c r="K57">
        <v>9539</v>
      </c>
      <c r="L57">
        <v>25831</v>
      </c>
    </row>
    <row r="58" spans="1:13" x14ac:dyDescent="0.55000000000000004">
      <c r="B58" t="s">
        <v>253</v>
      </c>
      <c r="C58">
        <v>276</v>
      </c>
      <c r="D58">
        <v>738</v>
      </c>
      <c r="E58">
        <v>1014</v>
      </c>
      <c r="F58">
        <v>2037</v>
      </c>
      <c r="G58">
        <v>13449</v>
      </c>
      <c r="H58">
        <v>15486</v>
      </c>
      <c r="I58">
        <v>2581</v>
      </c>
      <c r="J58">
        <v>8292</v>
      </c>
      <c r="K58">
        <v>10873</v>
      </c>
      <c r="L58">
        <v>25345</v>
      </c>
    </row>
    <row r="59" spans="1:13" x14ac:dyDescent="0.55000000000000004">
      <c r="B59" t="s">
        <v>254</v>
      </c>
      <c r="C59">
        <v>400</v>
      </c>
      <c r="D59">
        <v>1091</v>
      </c>
      <c r="E59">
        <v>1491</v>
      </c>
      <c r="F59">
        <v>2452</v>
      </c>
      <c r="G59">
        <v>9175</v>
      </c>
      <c r="H59">
        <v>11627</v>
      </c>
      <c r="I59">
        <v>2814</v>
      </c>
      <c r="J59">
        <v>7360</v>
      </c>
      <c r="K59">
        <v>10174</v>
      </c>
      <c r="L59">
        <v>20310</v>
      </c>
    </row>
    <row r="60" spans="1:13" x14ac:dyDescent="0.55000000000000004">
      <c r="B60" t="s">
        <v>255</v>
      </c>
      <c r="C60">
        <v>207</v>
      </c>
      <c r="E60">
        <v>207</v>
      </c>
      <c r="F60">
        <v>4229</v>
      </c>
      <c r="H60">
        <v>4229</v>
      </c>
      <c r="I60">
        <v>2021</v>
      </c>
      <c r="K60">
        <v>2021</v>
      </c>
      <c r="L60">
        <v>6043</v>
      </c>
      <c r="M60" t="s">
        <v>317</v>
      </c>
    </row>
    <row r="62" spans="1:13" x14ac:dyDescent="0.55000000000000004">
      <c r="A62" t="s">
        <v>303</v>
      </c>
      <c r="C62" t="s">
        <v>207</v>
      </c>
      <c r="D62" t="s">
        <v>208</v>
      </c>
      <c r="E62" t="s">
        <v>162</v>
      </c>
      <c r="F62" t="s">
        <v>209</v>
      </c>
      <c r="G62" t="s">
        <v>210</v>
      </c>
      <c r="H62" t="s">
        <v>162</v>
      </c>
      <c r="I62" t="s">
        <v>211</v>
      </c>
      <c r="J62" t="s">
        <v>212</v>
      </c>
      <c r="K62" t="s">
        <v>162</v>
      </c>
      <c r="L62" t="s">
        <v>246</v>
      </c>
    </row>
    <row r="63" spans="1:13" x14ac:dyDescent="0.55000000000000004">
      <c r="B63" t="s">
        <v>206</v>
      </c>
      <c r="C63" s="16">
        <f>C34/C49</f>
        <v>0.69171090240914657</v>
      </c>
      <c r="D63" s="16">
        <f t="shared" ref="D63:L63" si="8">D34/D49</f>
        <v>1.125382813907404</v>
      </c>
      <c r="E63" s="16">
        <f t="shared" si="8"/>
        <v>0.99262499999999998</v>
      </c>
      <c r="F63" s="16">
        <f t="shared" si="8"/>
        <v>0.72592592592592597</v>
      </c>
      <c r="G63" s="16">
        <f t="shared" si="8"/>
        <v>1.5836308006119326</v>
      </c>
      <c r="H63" s="16">
        <f t="shared" si="8"/>
        <v>0.93008436001699335</v>
      </c>
      <c r="I63" s="16">
        <f t="shared" si="8"/>
        <v>0.46145337373154427</v>
      </c>
      <c r="J63" s="16">
        <f t="shared" si="8"/>
        <v>1.119399185336049</v>
      </c>
      <c r="K63" s="16">
        <f t="shared" si="8"/>
        <v>0.69945053258433865</v>
      </c>
      <c r="L63" s="16">
        <f t="shared" si="8"/>
        <v>0.73488576021824914</v>
      </c>
    </row>
    <row r="64" spans="1:13" x14ac:dyDescent="0.55000000000000004">
      <c r="B64" t="s">
        <v>260</v>
      </c>
      <c r="C64" s="16">
        <f t="shared" ref="C64:L64" si="9">C35/C50</f>
        <v>0.69801728520589734</v>
      </c>
      <c r="D64" s="16">
        <f t="shared" si="9"/>
        <v>0.94168304242284129</v>
      </c>
      <c r="E64" s="16">
        <f t="shared" si="9"/>
        <v>0.89654360519871912</v>
      </c>
      <c r="F64" s="16">
        <f t="shared" si="9"/>
        <v>2.4370860927152318</v>
      </c>
      <c r="G64" s="16">
        <f t="shared" si="9"/>
        <v>0.77812209482491479</v>
      </c>
      <c r="H64" s="16">
        <f t="shared" si="9"/>
        <v>0.98233695652173914</v>
      </c>
      <c r="I64" s="16">
        <f t="shared" si="9"/>
        <v>0.94758990053557768</v>
      </c>
      <c r="J64" s="16">
        <f t="shared" si="9"/>
        <v>1.1614815592046588</v>
      </c>
      <c r="K64" s="16">
        <f t="shared" si="9"/>
        <v>1.1154432047428877</v>
      </c>
      <c r="L64" s="16">
        <f t="shared" si="9"/>
        <v>1.7331055992870934</v>
      </c>
    </row>
    <row r="65" spans="1:13" x14ac:dyDescent="0.55000000000000004">
      <c r="B65" t="s">
        <v>195</v>
      </c>
      <c r="C65" s="16">
        <f t="shared" ref="C65:L65" si="10">C36/C51</f>
        <v>1.019994119376654</v>
      </c>
      <c r="D65" s="16">
        <f t="shared" si="10"/>
        <v>0.92227513227513225</v>
      </c>
      <c r="E65" s="16">
        <f t="shared" si="10"/>
        <v>0.94813633180297252</v>
      </c>
      <c r="F65" s="16">
        <f t="shared" si="10"/>
        <v>0.49675745784695202</v>
      </c>
      <c r="G65" s="16">
        <f t="shared" si="10"/>
        <v>0.76149345221510167</v>
      </c>
      <c r="H65" s="16">
        <f t="shared" si="10"/>
        <v>0.71467889908256876</v>
      </c>
      <c r="I65" s="16">
        <f t="shared" si="10"/>
        <v>1.1964360295141305</v>
      </c>
      <c r="J65" s="16">
        <f t="shared" si="10"/>
        <v>1.1403958090803259</v>
      </c>
      <c r="K65" s="16">
        <f t="shared" si="10"/>
        <v>1.1544420406169307</v>
      </c>
      <c r="L65" s="16">
        <f t="shared" si="10"/>
        <v>1.6171405139420449</v>
      </c>
    </row>
    <row r="66" spans="1:13" x14ac:dyDescent="0.55000000000000004">
      <c r="B66" t="s">
        <v>247</v>
      </c>
      <c r="C66" s="16">
        <f t="shared" ref="C66:L66" si="11">C37/C52</f>
        <v>0.95901005413766438</v>
      </c>
      <c r="D66" s="16">
        <f t="shared" si="11"/>
        <v>0.75972558514931399</v>
      </c>
      <c r="E66" s="16">
        <f t="shared" si="11"/>
        <v>0.82805621850967914</v>
      </c>
      <c r="F66" s="16">
        <f t="shared" si="11"/>
        <v>0.54227053140096615</v>
      </c>
      <c r="G66" s="16">
        <f t="shared" si="11"/>
        <v>0</v>
      </c>
      <c r="H66" s="16">
        <f t="shared" si="11"/>
        <v>0.12347036986113021</v>
      </c>
      <c r="I66" s="16">
        <f t="shared" si="11"/>
        <v>1.0890227576974565</v>
      </c>
      <c r="J66" s="16">
        <f t="shared" si="11"/>
        <v>0.47311123431278668</v>
      </c>
      <c r="K66" s="16">
        <f t="shared" si="11"/>
        <v>0.64157299256709754</v>
      </c>
      <c r="L66" s="16">
        <f t="shared" si="11"/>
        <v>0.17846016911437473</v>
      </c>
    </row>
    <row r="67" spans="1:13" x14ac:dyDescent="0.55000000000000004">
      <c r="B67" t="s">
        <v>248</v>
      </c>
      <c r="C67" s="16">
        <f t="shared" ref="C67:L67" si="12">C38/C53</f>
        <v>0</v>
      </c>
      <c r="D67" s="16">
        <f t="shared" si="12"/>
        <v>0</v>
      </c>
      <c r="E67" s="16">
        <f t="shared" si="12"/>
        <v>0</v>
      </c>
      <c r="F67" s="16">
        <f t="shared" si="12"/>
        <v>0</v>
      </c>
      <c r="G67" s="16">
        <f t="shared" si="12"/>
        <v>0</v>
      </c>
      <c r="H67" s="16">
        <f t="shared" si="12"/>
        <v>0</v>
      </c>
      <c r="I67" s="16">
        <f t="shared" si="12"/>
        <v>0</v>
      </c>
      <c r="J67" s="16">
        <f t="shared" si="12"/>
        <v>0</v>
      </c>
      <c r="K67" s="16">
        <f t="shared" si="12"/>
        <v>0</v>
      </c>
      <c r="L67" s="16">
        <f t="shared" si="12"/>
        <v>0</v>
      </c>
    </row>
    <row r="68" spans="1:13" x14ac:dyDescent="0.55000000000000004">
      <c r="B68" t="s">
        <v>249</v>
      </c>
      <c r="C68" s="16">
        <f t="shared" ref="C68:L68" si="13">C39/C54</f>
        <v>0</v>
      </c>
      <c r="D68" s="16">
        <f t="shared" si="13"/>
        <v>0</v>
      </c>
      <c r="E68" s="16">
        <f t="shared" si="13"/>
        <v>0</v>
      </c>
      <c r="F68" s="16">
        <f t="shared" si="13"/>
        <v>0</v>
      </c>
      <c r="G68" s="16">
        <f t="shared" si="13"/>
        <v>0</v>
      </c>
      <c r="H68" s="16">
        <f t="shared" si="13"/>
        <v>0</v>
      </c>
      <c r="I68" s="16">
        <f t="shared" si="13"/>
        <v>0</v>
      </c>
      <c r="J68" s="16">
        <f t="shared" si="13"/>
        <v>0</v>
      </c>
      <c r="K68" s="16">
        <f t="shared" si="13"/>
        <v>0</v>
      </c>
      <c r="L68" s="16">
        <f t="shared" si="13"/>
        <v>0</v>
      </c>
    </row>
    <row r="69" spans="1:13" x14ac:dyDescent="0.55000000000000004">
      <c r="B69" t="s">
        <v>250</v>
      </c>
      <c r="C69" s="16">
        <f t="shared" ref="C69:L69" si="14">C40/C55</f>
        <v>0</v>
      </c>
      <c r="D69" s="16">
        <f t="shared" si="14"/>
        <v>0</v>
      </c>
      <c r="E69" s="16">
        <f t="shared" si="14"/>
        <v>0</v>
      </c>
      <c r="F69" s="16">
        <f t="shared" si="14"/>
        <v>0</v>
      </c>
      <c r="G69" s="16">
        <f t="shared" si="14"/>
        <v>0</v>
      </c>
      <c r="H69" s="16">
        <f t="shared" si="14"/>
        <v>0</v>
      </c>
      <c r="I69" s="16">
        <f t="shared" si="14"/>
        <v>0</v>
      </c>
      <c r="J69" s="16">
        <f t="shared" si="14"/>
        <v>0</v>
      </c>
      <c r="K69" s="16">
        <f t="shared" si="14"/>
        <v>0</v>
      </c>
      <c r="L69" s="16">
        <f t="shared" si="14"/>
        <v>0</v>
      </c>
    </row>
    <row r="70" spans="1:13" x14ac:dyDescent="0.55000000000000004">
      <c r="B70" t="s">
        <v>251</v>
      </c>
      <c r="C70" s="16">
        <f t="shared" ref="C70:L70" si="15">C41/C56</f>
        <v>0</v>
      </c>
      <c r="D70" s="16">
        <f t="shared" si="15"/>
        <v>0</v>
      </c>
      <c r="E70" s="16">
        <f t="shared" si="15"/>
        <v>0</v>
      </c>
      <c r="F70" s="16">
        <f t="shared" si="15"/>
        <v>0</v>
      </c>
      <c r="G70" s="16">
        <f t="shared" si="15"/>
        <v>0</v>
      </c>
      <c r="H70" s="16">
        <f t="shared" si="15"/>
        <v>0</v>
      </c>
      <c r="I70" s="16">
        <f t="shared" si="15"/>
        <v>0</v>
      </c>
      <c r="J70" s="16">
        <f t="shared" si="15"/>
        <v>0</v>
      </c>
      <c r="K70" s="16">
        <f t="shared" si="15"/>
        <v>0</v>
      </c>
      <c r="L70" s="16">
        <f t="shared" si="15"/>
        <v>0</v>
      </c>
    </row>
    <row r="71" spans="1:13" x14ac:dyDescent="0.55000000000000004">
      <c r="B71" t="s">
        <v>252</v>
      </c>
      <c r="C71" s="16">
        <f t="shared" ref="C71:L71" si="16">C42/C57</f>
        <v>0</v>
      </c>
      <c r="D71" s="16">
        <f t="shared" si="16"/>
        <v>0</v>
      </c>
      <c r="E71" s="16">
        <f t="shared" si="16"/>
        <v>0</v>
      </c>
      <c r="F71" s="16">
        <f t="shared" si="16"/>
        <v>0</v>
      </c>
      <c r="G71" s="16">
        <f t="shared" si="16"/>
        <v>0</v>
      </c>
      <c r="H71" s="16">
        <f t="shared" si="16"/>
        <v>0</v>
      </c>
      <c r="I71" s="16">
        <f t="shared" si="16"/>
        <v>0</v>
      </c>
      <c r="J71" s="16">
        <f t="shared" si="16"/>
        <v>0</v>
      </c>
      <c r="K71" s="16">
        <f t="shared" si="16"/>
        <v>0</v>
      </c>
      <c r="L71" s="16">
        <f t="shared" si="16"/>
        <v>0</v>
      </c>
    </row>
    <row r="72" spans="1:13" x14ac:dyDescent="0.55000000000000004">
      <c r="B72" t="s">
        <v>253</v>
      </c>
      <c r="C72" s="16">
        <f t="shared" ref="C72:L72" si="17">C43/C58</f>
        <v>0</v>
      </c>
      <c r="D72" s="16">
        <f t="shared" si="17"/>
        <v>0</v>
      </c>
      <c r="E72" s="16">
        <f t="shared" si="17"/>
        <v>0</v>
      </c>
      <c r="F72" s="16">
        <f t="shared" si="17"/>
        <v>0</v>
      </c>
      <c r="G72" s="16">
        <f t="shared" si="17"/>
        <v>0</v>
      </c>
      <c r="H72" s="16">
        <f t="shared" si="17"/>
        <v>0</v>
      </c>
      <c r="I72" s="16">
        <f t="shared" si="17"/>
        <v>0</v>
      </c>
      <c r="J72" s="16">
        <f t="shared" si="17"/>
        <v>0</v>
      </c>
      <c r="K72" s="16">
        <f t="shared" si="17"/>
        <v>0</v>
      </c>
      <c r="L72" s="16">
        <f t="shared" si="17"/>
        <v>0</v>
      </c>
    </row>
    <row r="73" spans="1:13" x14ac:dyDescent="0.55000000000000004">
      <c r="B73" t="s">
        <v>254</v>
      </c>
      <c r="C73" s="16">
        <f t="shared" ref="C73:L73" si="18">C44/C59</f>
        <v>0</v>
      </c>
      <c r="D73" s="16">
        <f t="shared" si="18"/>
        <v>0</v>
      </c>
      <c r="E73" s="16">
        <f t="shared" si="18"/>
        <v>0</v>
      </c>
      <c r="F73" s="16">
        <f t="shared" si="18"/>
        <v>0</v>
      </c>
      <c r="G73" s="16">
        <f t="shared" si="18"/>
        <v>0</v>
      </c>
      <c r="H73" s="16">
        <f t="shared" si="18"/>
        <v>0</v>
      </c>
      <c r="I73" s="16">
        <f t="shared" si="18"/>
        <v>0</v>
      </c>
      <c r="J73" s="16">
        <f t="shared" si="18"/>
        <v>0</v>
      </c>
      <c r="K73" s="16">
        <f t="shared" si="18"/>
        <v>0</v>
      </c>
      <c r="L73" s="16">
        <f t="shared" si="18"/>
        <v>0</v>
      </c>
    </row>
    <row r="74" spans="1:13" x14ac:dyDescent="0.55000000000000004">
      <c r="B74" t="s">
        <v>255</v>
      </c>
      <c r="C74" s="16">
        <f t="shared" ref="C74:L74" si="19">C45/C60</f>
        <v>0</v>
      </c>
      <c r="D74" s="16"/>
      <c r="E74" s="16">
        <f t="shared" si="19"/>
        <v>0</v>
      </c>
      <c r="F74" s="16">
        <f t="shared" si="19"/>
        <v>0</v>
      </c>
      <c r="G74" s="16"/>
      <c r="H74" s="16">
        <f t="shared" si="19"/>
        <v>0</v>
      </c>
      <c r="I74" s="16">
        <f t="shared" si="19"/>
        <v>0</v>
      </c>
      <c r="J74" s="16"/>
      <c r="K74" s="16">
        <f>K45/K60</f>
        <v>0</v>
      </c>
      <c r="L74" s="16">
        <f t="shared" si="19"/>
        <v>0</v>
      </c>
    </row>
    <row r="76" spans="1:13" x14ac:dyDescent="0.55000000000000004">
      <c r="A76" t="s">
        <v>304</v>
      </c>
      <c r="B76" t="s">
        <v>305</v>
      </c>
      <c r="C76" t="s">
        <v>306</v>
      </c>
      <c r="D76" t="s">
        <v>307</v>
      </c>
      <c r="E76" t="s">
        <v>308</v>
      </c>
      <c r="F76" t="s">
        <v>306</v>
      </c>
      <c r="G76" t="s">
        <v>307</v>
      </c>
      <c r="H76" t="s">
        <v>309</v>
      </c>
      <c r="I76" t="s">
        <v>306</v>
      </c>
      <c r="J76" t="s">
        <v>307</v>
      </c>
      <c r="K76" t="s">
        <v>311</v>
      </c>
      <c r="L76" t="s">
        <v>306</v>
      </c>
      <c r="M76" t="s">
        <v>307</v>
      </c>
    </row>
    <row r="77" spans="1:13" hidden="1" x14ac:dyDescent="0.55000000000000004">
      <c r="B77" t="s">
        <v>206</v>
      </c>
      <c r="C77">
        <f>E49</f>
        <v>8000</v>
      </c>
      <c r="D77">
        <f>E34</f>
        <v>7941</v>
      </c>
      <c r="F77">
        <f>H49</f>
        <v>16477</v>
      </c>
      <c r="G77">
        <f>H34</f>
        <v>15325</v>
      </c>
      <c r="I77">
        <f>L49</f>
        <v>41054</v>
      </c>
      <c r="J77">
        <f>L34</f>
        <v>30170</v>
      </c>
      <c r="L77">
        <f>F77-C77</f>
        <v>8477</v>
      </c>
      <c r="M77">
        <f>G77-D77</f>
        <v>7384</v>
      </c>
    </row>
    <row r="78" spans="1:13" hidden="1" x14ac:dyDescent="0.55000000000000004">
      <c r="B78" t="s">
        <v>260</v>
      </c>
      <c r="C78">
        <f t="shared" ref="C78:C88" si="20">E50</f>
        <v>21236</v>
      </c>
      <c r="D78">
        <f t="shared" ref="D78:D88" si="21">E35</f>
        <v>19039</v>
      </c>
      <c r="F78">
        <f t="shared" ref="F78:F88" si="22">H50</f>
        <v>3680</v>
      </c>
      <c r="G78">
        <f t="shared" ref="G78:G88" si="23">H35</f>
        <v>3615</v>
      </c>
      <c r="I78">
        <f t="shared" ref="I78:I88" si="24">L50</f>
        <v>6733</v>
      </c>
      <c r="J78">
        <f t="shared" ref="J78:J88" si="25">L35</f>
        <v>11669</v>
      </c>
      <c r="L78">
        <f t="shared" ref="L78:L88" si="26">F78-C78</f>
        <v>-17556</v>
      </c>
      <c r="M78">
        <f t="shared" ref="M78:M88" si="27">G78-D78</f>
        <v>-15424</v>
      </c>
    </row>
    <row r="79" spans="1:13" hidden="1" x14ac:dyDescent="0.55000000000000004">
      <c r="B79" t="s">
        <v>195</v>
      </c>
      <c r="C79">
        <f t="shared" si="20"/>
        <v>25702</v>
      </c>
      <c r="D79">
        <f t="shared" si="21"/>
        <v>24369</v>
      </c>
      <c r="F79">
        <f t="shared" si="22"/>
        <v>4360</v>
      </c>
      <c r="G79">
        <f t="shared" si="23"/>
        <v>3116</v>
      </c>
      <c r="I79">
        <f t="shared" si="24"/>
        <v>7316</v>
      </c>
      <c r="J79">
        <f t="shared" si="25"/>
        <v>11831</v>
      </c>
      <c r="L79">
        <f t="shared" si="26"/>
        <v>-21342</v>
      </c>
      <c r="M79">
        <f t="shared" si="27"/>
        <v>-21253</v>
      </c>
    </row>
    <row r="80" spans="1:13" hidden="1" x14ac:dyDescent="0.55000000000000004">
      <c r="B80" t="s">
        <v>247</v>
      </c>
      <c r="C80">
        <f t="shared" si="20"/>
        <v>18855</v>
      </c>
      <c r="D80">
        <f t="shared" si="21"/>
        <v>15613</v>
      </c>
      <c r="F80">
        <f t="shared" si="22"/>
        <v>7273</v>
      </c>
      <c r="G80">
        <f t="shared" si="23"/>
        <v>898</v>
      </c>
      <c r="I80">
        <f t="shared" si="24"/>
        <v>15729</v>
      </c>
      <c r="J80">
        <f t="shared" si="25"/>
        <v>2807</v>
      </c>
      <c r="L80">
        <f t="shared" si="26"/>
        <v>-11582</v>
      </c>
      <c r="M80">
        <f t="shared" si="27"/>
        <v>-14715</v>
      </c>
    </row>
    <row r="81" spans="1:13" hidden="1" x14ac:dyDescent="0.55000000000000004">
      <c r="B81" t="s">
        <v>248</v>
      </c>
      <c r="C81">
        <f t="shared" si="20"/>
        <v>18393</v>
      </c>
      <c r="D81">
        <f t="shared" si="21"/>
        <v>0</v>
      </c>
      <c r="F81">
        <f t="shared" si="22"/>
        <v>5476</v>
      </c>
      <c r="G81">
        <f t="shared" si="23"/>
        <v>0</v>
      </c>
      <c r="I81">
        <f t="shared" si="24"/>
        <v>13029</v>
      </c>
      <c r="J81">
        <f t="shared" si="25"/>
        <v>0</v>
      </c>
      <c r="L81">
        <f t="shared" si="26"/>
        <v>-12917</v>
      </c>
      <c r="M81">
        <f t="shared" si="27"/>
        <v>0</v>
      </c>
    </row>
    <row r="82" spans="1:13" hidden="1" x14ac:dyDescent="0.55000000000000004">
      <c r="B82" t="s">
        <v>249</v>
      </c>
      <c r="C82">
        <f t="shared" si="20"/>
        <v>4142</v>
      </c>
      <c r="D82">
        <f t="shared" si="21"/>
        <v>0</v>
      </c>
      <c r="F82">
        <f t="shared" si="22"/>
        <v>17533</v>
      </c>
      <c r="G82">
        <f t="shared" si="23"/>
        <v>0</v>
      </c>
      <c r="I82">
        <f t="shared" si="24"/>
        <v>29227</v>
      </c>
      <c r="J82">
        <f t="shared" si="25"/>
        <v>0</v>
      </c>
      <c r="L82">
        <f t="shared" si="26"/>
        <v>13391</v>
      </c>
      <c r="M82">
        <f t="shared" si="27"/>
        <v>0</v>
      </c>
    </row>
    <row r="83" spans="1:13" hidden="1" x14ac:dyDescent="0.55000000000000004">
      <c r="B83" t="s">
        <v>250</v>
      </c>
      <c r="C83">
        <f t="shared" si="20"/>
        <v>608</v>
      </c>
      <c r="D83">
        <f t="shared" si="21"/>
        <v>0</v>
      </c>
      <c r="F83">
        <f t="shared" si="22"/>
        <v>18568</v>
      </c>
      <c r="G83">
        <f t="shared" si="23"/>
        <v>0</v>
      </c>
      <c r="I83">
        <f t="shared" si="24"/>
        <v>27728</v>
      </c>
      <c r="J83">
        <f t="shared" si="25"/>
        <v>0</v>
      </c>
      <c r="L83">
        <f t="shared" si="26"/>
        <v>17960</v>
      </c>
      <c r="M83">
        <f t="shared" si="27"/>
        <v>0</v>
      </c>
    </row>
    <row r="84" spans="1:13" hidden="1" x14ac:dyDescent="0.55000000000000004">
      <c r="B84" t="s">
        <v>251</v>
      </c>
      <c r="C84">
        <f t="shared" si="20"/>
        <v>317</v>
      </c>
      <c r="D84">
        <f t="shared" si="21"/>
        <v>0</v>
      </c>
      <c r="F84">
        <f t="shared" si="22"/>
        <v>19970</v>
      </c>
      <c r="G84">
        <f t="shared" si="23"/>
        <v>0</v>
      </c>
      <c r="I84">
        <f t="shared" si="24"/>
        <v>28643</v>
      </c>
      <c r="J84">
        <f t="shared" si="25"/>
        <v>0</v>
      </c>
      <c r="L84">
        <f t="shared" si="26"/>
        <v>19653</v>
      </c>
      <c r="M84">
        <f t="shared" si="27"/>
        <v>0</v>
      </c>
    </row>
    <row r="85" spans="1:13" hidden="1" x14ac:dyDescent="0.55000000000000004">
      <c r="B85" t="s">
        <v>252</v>
      </c>
      <c r="C85">
        <f t="shared" si="20"/>
        <v>543</v>
      </c>
      <c r="D85">
        <f t="shared" si="21"/>
        <v>0</v>
      </c>
      <c r="F85">
        <f t="shared" si="22"/>
        <v>16835</v>
      </c>
      <c r="G85">
        <f t="shared" si="23"/>
        <v>0</v>
      </c>
      <c r="I85">
        <f t="shared" si="24"/>
        <v>25831</v>
      </c>
      <c r="J85">
        <f t="shared" si="25"/>
        <v>0</v>
      </c>
      <c r="L85">
        <f t="shared" si="26"/>
        <v>16292</v>
      </c>
      <c r="M85">
        <f t="shared" si="27"/>
        <v>0</v>
      </c>
    </row>
    <row r="86" spans="1:13" hidden="1" x14ac:dyDescent="0.55000000000000004">
      <c r="B86" t="s">
        <v>253</v>
      </c>
      <c r="C86">
        <f t="shared" si="20"/>
        <v>1014</v>
      </c>
      <c r="D86">
        <f t="shared" si="21"/>
        <v>0</v>
      </c>
      <c r="F86">
        <f t="shared" si="22"/>
        <v>15486</v>
      </c>
      <c r="G86">
        <f t="shared" si="23"/>
        <v>0</v>
      </c>
      <c r="I86">
        <f t="shared" si="24"/>
        <v>25345</v>
      </c>
      <c r="J86">
        <f t="shared" si="25"/>
        <v>0</v>
      </c>
      <c r="L86">
        <f t="shared" si="26"/>
        <v>14472</v>
      </c>
      <c r="M86">
        <f t="shared" si="27"/>
        <v>0</v>
      </c>
    </row>
    <row r="87" spans="1:13" hidden="1" x14ac:dyDescent="0.55000000000000004">
      <c r="B87" t="s">
        <v>254</v>
      </c>
      <c r="C87">
        <f t="shared" si="20"/>
        <v>1491</v>
      </c>
      <c r="D87">
        <f t="shared" si="21"/>
        <v>0</v>
      </c>
      <c r="F87">
        <f t="shared" si="22"/>
        <v>11627</v>
      </c>
      <c r="G87">
        <f t="shared" si="23"/>
        <v>0</v>
      </c>
      <c r="I87">
        <f t="shared" si="24"/>
        <v>20310</v>
      </c>
      <c r="J87">
        <f t="shared" si="25"/>
        <v>0</v>
      </c>
      <c r="L87">
        <f t="shared" si="26"/>
        <v>10136</v>
      </c>
      <c r="M87">
        <f t="shared" si="27"/>
        <v>0</v>
      </c>
    </row>
    <row r="88" spans="1:13" hidden="1" x14ac:dyDescent="0.55000000000000004">
      <c r="B88" t="s">
        <v>255</v>
      </c>
      <c r="C88">
        <f t="shared" si="20"/>
        <v>207</v>
      </c>
      <c r="D88">
        <f t="shared" si="21"/>
        <v>0</v>
      </c>
      <c r="F88">
        <f t="shared" si="22"/>
        <v>4229</v>
      </c>
      <c r="G88">
        <f t="shared" si="23"/>
        <v>0</v>
      </c>
      <c r="I88">
        <f t="shared" si="24"/>
        <v>6043</v>
      </c>
      <c r="J88">
        <f t="shared" si="25"/>
        <v>0</v>
      </c>
      <c r="L88">
        <f t="shared" si="26"/>
        <v>4022</v>
      </c>
      <c r="M88">
        <f t="shared" si="27"/>
        <v>0</v>
      </c>
    </row>
    <row r="89" spans="1:13" x14ac:dyDescent="0.55000000000000004">
      <c r="K89" t="s">
        <v>312</v>
      </c>
      <c r="L89">
        <f>SUM(L77:L88)</f>
        <v>41006</v>
      </c>
    </row>
    <row r="91" spans="1:13" x14ac:dyDescent="0.55000000000000004">
      <c r="A91" t="s">
        <v>310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C5A3-7CF8-4D63-8314-D2468234C895}">
  <sheetPr codeName="Sheet9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214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215</v>
      </c>
      <c r="C7" s="6" t="str">
        <f>TEXT(VLOOKUP(LEFT(B7,FIND("月",B7)),基本シート!$E$6:$F$17,2,FALSE)&amp;B7,"aaaa")</f>
        <v>火曜日</v>
      </c>
      <c r="D7" s="6"/>
      <c r="E7" s="6" t="str">
        <f>IF(OR(C7="土曜日",C7="日曜日",D7="〇"),"〇","")</f>
        <v/>
      </c>
      <c r="F7" s="6" t="s">
        <v>296</v>
      </c>
      <c r="G7" s="6" t="s">
        <v>298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0.03</v>
      </c>
      <c r="Q7" s="3">
        <f>IF($E7="〇",P7*基本シート!$E$2,P7*VLOOKUP(LEFT(Q$6,FIND("(",Q$6)-1),基本シート!$B$6:$C$29,2,FALSE))</f>
        <v>0.89579999999999993</v>
      </c>
      <c r="R7" s="3">
        <v>0.56999999999999995</v>
      </c>
      <c r="S7" s="3">
        <f>IF($E7="〇",R7*基本シート!$E$2,R7*VLOOKUP(LEFT(S$6,FIND("(",S$6)-1),基本シート!$B$6:$C$29,2,FALSE))</f>
        <v>17.020199999999999</v>
      </c>
      <c r="T7" s="3">
        <v>0.09</v>
      </c>
      <c r="U7" s="3">
        <f>IF($E7="〇",T7*基本シート!$E$2,T7*VLOOKUP(LEFT(U$6,FIND("(",U$6)-1),基本シート!$B$6:$C$29,2,FALSE))</f>
        <v>2.6873999999999998</v>
      </c>
      <c r="V7" s="3">
        <v>0</v>
      </c>
      <c r="W7" s="3">
        <f>IF($E7="〇",V7*基本シート!$E$2,V7*VLOOKUP(LEFT(W$6,FIND("(",W$6)-1),基本シート!$B$6:$C$29,2,FALSE))</f>
        <v>0</v>
      </c>
      <c r="X7" s="3">
        <v>0.01</v>
      </c>
      <c r="Y7" s="3">
        <f>IF($E7="〇",X7*基本シート!$E$2,X7*VLOOKUP(LEFT(Y$6,FIND("(",Y$6)-1),基本シート!$B$6:$C$29,2,FALSE))</f>
        <v>0.36859999999999998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0.02</v>
      </c>
      <c r="AU7" s="3">
        <f>IF($E7="〇",AT7*基本シート!$E$2,AT7*VLOOKUP(LEFT(AU$6,FIND("(",AU$6)-1),基本シート!$B$6:$C$29,2,FALSE))</f>
        <v>0.73719999999999997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0.01</v>
      </c>
      <c r="BC7" s="3">
        <f>IF($E7="〇",BB7*基本シート!$E$2,BB7*VLOOKUP(LEFT(BC$6,FIND("(",BC$6)-1),基本シート!$B$6:$C$29,2,FALSE))</f>
        <v>0.29859999999999998</v>
      </c>
      <c r="BD7" s="3">
        <f t="shared" ref="BD7:BD37" si="7">SUM(H7,J7,L7,N7,P7,R7,T7,V7,X7,Z7,AB7,AD7,AF7,AH7,AJ7,AL7,AN7,AP7,AR7,AT7,AV7,AX7,AZ7,BB7)</f>
        <v>0.75</v>
      </c>
      <c r="BE7" s="3">
        <f t="shared" ref="BE7:BE37" si="8">ROUND(SUM(I7,K7,M7,O7,Q7,S7,U7,W7,Y7,AA7,AC7,AE7,AG7,AI7,AK7,AM7,AO7,AQ7,AS7,AU7,AW7,AY7,BA7,BC7),0)</f>
        <v>23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0.28000000000000003</v>
      </c>
      <c r="BM7" s="3">
        <v>1.85</v>
      </c>
      <c r="BN7" s="3">
        <v>3.94</v>
      </c>
      <c r="BO7" s="3">
        <v>6.58</v>
      </c>
      <c r="BP7" s="3">
        <v>7.17</v>
      </c>
      <c r="BQ7" s="3">
        <v>7.32</v>
      </c>
      <c r="BR7" s="3">
        <v>5.95</v>
      </c>
      <c r="BS7" s="3">
        <v>6.08</v>
      </c>
      <c r="BT7" s="3">
        <v>4.6399999999999997</v>
      </c>
      <c r="BU7" s="3">
        <v>2.79</v>
      </c>
      <c r="BV7" s="3">
        <v>1.05</v>
      </c>
      <c r="BW7" s="3">
        <v>0.02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0.01</v>
      </c>
      <c r="CM7" s="3">
        <f>CL7*基本シート!$C$3</f>
        <v>0.16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0.57999999999999996</v>
      </c>
      <c r="CU7" s="3">
        <f>CT7*基本シート!$C$3</f>
        <v>9.2799999999999994</v>
      </c>
      <c r="CV7" s="3">
        <v>4.28</v>
      </c>
      <c r="CW7" s="3">
        <f>CV7*基本シート!$C$3</f>
        <v>68.48</v>
      </c>
      <c r="CX7" s="3">
        <v>6.99</v>
      </c>
      <c r="CY7" s="3">
        <f>CX7*基本シート!$C$3</f>
        <v>111.84</v>
      </c>
      <c r="CZ7" s="3">
        <v>7.15</v>
      </c>
      <c r="DA7" s="3">
        <f>CZ7*基本シート!$C$3</f>
        <v>114.4</v>
      </c>
      <c r="DB7" s="3">
        <v>5.79</v>
      </c>
      <c r="DC7" s="3">
        <f>DB7*基本シート!$C$3</f>
        <v>92.64</v>
      </c>
      <c r="DD7" s="3">
        <v>5.89</v>
      </c>
      <c r="DE7" s="3">
        <f>DD7*基本シート!$C$3</f>
        <v>94.24</v>
      </c>
      <c r="DF7" s="3">
        <v>4.4400000000000004</v>
      </c>
      <c r="DG7" s="3">
        <f>DF7*基本シート!$C$3</f>
        <v>71.040000000000006</v>
      </c>
      <c r="DH7" s="3">
        <v>2.61</v>
      </c>
      <c r="DI7" s="3">
        <f>DH7*基本シート!$C$3</f>
        <v>41.76</v>
      </c>
      <c r="DJ7" s="3">
        <v>0.78</v>
      </c>
      <c r="DK7" s="3">
        <f>DJ7*基本シート!$C$3</f>
        <v>12.48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38.579999999999991</v>
      </c>
      <c r="EA7" s="3">
        <f>ROUND(DZ7*基本シート!$C$3,0)</f>
        <v>617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0.08</v>
      </c>
      <c r="EI7" s="3">
        <v>1.58</v>
      </c>
      <c r="EJ7" s="3">
        <v>3.15</v>
      </c>
      <c r="EK7" s="3">
        <v>2.08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6.8900000000000006</v>
      </c>
      <c r="FA7" s="3">
        <v>0.17</v>
      </c>
      <c r="FB7" s="3">
        <v>0.18</v>
      </c>
      <c r="FC7" s="3">
        <v>0.18</v>
      </c>
      <c r="FD7" s="3">
        <v>0.18</v>
      </c>
      <c r="FE7" s="3">
        <v>0.33</v>
      </c>
      <c r="FF7" s="3">
        <v>0.01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0.36</v>
      </c>
      <c r="FR7" s="3">
        <v>1.06</v>
      </c>
      <c r="FS7" s="3">
        <v>0.28000000000000003</v>
      </c>
      <c r="FT7" s="3">
        <v>1.19</v>
      </c>
      <c r="FU7" s="3">
        <v>0.44</v>
      </c>
      <c r="FV7" s="3">
        <v>0.71</v>
      </c>
      <c r="FW7" s="3">
        <v>0.65</v>
      </c>
      <c r="FX7" s="3">
        <v>0.33</v>
      </c>
      <c r="FY7" s="3">
        <f>SUM(FA7:FX7)</f>
        <v>6.0900000000000007</v>
      </c>
      <c r="FZ7" s="3">
        <v>0.17</v>
      </c>
      <c r="GA7" s="3">
        <v>0.18</v>
      </c>
      <c r="GB7" s="3">
        <v>0.18</v>
      </c>
      <c r="GC7" s="3">
        <v>0.17</v>
      </c>
      <c r="GD7" s="3">
        <v>0.35</v>
      </c>
      <c r="GE7" s="3">
        <v>0.57999999999999996</v>
      </c>
      <c r="GF7" s="3">
        <v>0.28999999999999998</v>
      </c>
      <c r="GG7" s="3">
        <v>0.26</v>
      </c>
      <c r="GH7" s="3">
        <v>0.22</v>
      </c>
      <c r="GI7" s="3">
        <v>0.22</v>
      </c>
      <c r="GJ7" s="3">
        <v>0.19</v>
      </c>
      <c r="GK7" s="3">
        <v>0.17</v>
      </c>
      <c r="GL7" s="3">
        <v>0.17</v>
      </c>
      <c r="GM7" s="3">
        <v>0.19</v>
      </c>
      <c r="GN7" s="3">
        <v>0.2</v>
      </c>
      <c r="GO7" s="3">
        <v>0.18</v>
      </c>
      <c r="GP7" s="3">
        <v>0.63</v>
      </c>
      <c r="GQ7" s="3">
        <v>1.08</v>
      </c>
      <c r="GR7" s="3">
        <v>0.28000000000000003</v>
      </c>
      <c r="GS7" s="3">
        <v>1.2</v>
      </c>
      <c r="GT7" s="3">
        <v>0.44</v>
      </c>
      <c r="GU7" s="3">
        <v>0.71</v>
      </c>
      <c r="GV7" s="3">
        <v>0.65</v>
      </c>
      <c r="GW7" s="3">
        <v>0.33</v>
      </c>
      <c r="GX7" s="3">
        <f>SUM(FZ7:GW7)</f>
        <v>9.0400000000000027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216</v>
      </c>
      <c r="C8" s="6" t="str">
        <f>TEXT(VLOOKUP(LEFT(B8,FIND("月",B8)),基本シート!$E$6:$F$17,2,FALSE)&amp;B8,"aaaa")</f>
        <v>水曜日</v>
      </c>
      <c r="D8" s="6"/>
      <c r="E8" s="6" t="str">
        <f t="shared" ref="E8:E38" si="9">IF(OR(C8="土曜日",C8="日曜日",D8="〇"),"〇","")</f>
        <v/>
      </c>
      <c r="F8" s="6" t="s">
        <v>296</v>
      </c>
      <c r="G8" s="6" t="s">
        <v>297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0.14000000000000001</v>
      </c>
      <c r="M8" s="3">
        <f>IF($E8="〇",L8*基本シート!$E$2,L8*VLOOKUP(LEFT(M$6,FIND("(",M$6)-1),基本シート!$B$6:$C$29,2,FALSE))</f>
        <v>4.1804000000000006</v>
      </c>
      <c r="N8" s="3">
        <v>0.22</v>
      </c>
      <c r="O8" s="3">
        <f>IF($E8="〇",N8*基本シート!$E$2,N8*VLOOKUP(LEFT(O$6,FIND("(",O$6)-1),基本シート!$B$6:$C$29,2,FALSE))</f>
        <v>6.5691999999999995</v>
      </c>
      <c r="P8" s="3">
        <v>0.37</v>
      </c>
      <c r="Q8" s="3">
        <f>IF($E8="〇",P8*基本シート!$E$2,P8*VLOOKUP(LEFT(Q$6,FIND("(",Q$6)-1),基本シート!$B$6:$C$29,2,FALSE))</f>
        <v>11.0482</v>
      </c>
      <c r="R8" s="3">
        <v>0.35</v>
      </c>
      <c r="S8" s="3">
        <f>IF($E8="〇",R8*基本シート!$E$2,R8*VLOOKUP(LEFT(S$6,FIND("(",S$6)-1),基本シート!$B$6:$C$29,2,FALSE))</f>
        <v>10.450999999999999</v>
      </c>
      <c r="T8" s="3">
        <v>0.08</v>
      </c>
      <c r="U8" s="3">
        <f>IF($E8="〇",T8*基本シート!$E$2,T8*VLOOKUP(LEFT(U$6,FIND("(",U$6)-1),基本シート!$B$6:$C$29,2,FALSE))</f>
        <v>2.3887999999999998</v>
      </c>
      <c r="V8" s="3">
        <v>0.01</v>
      </c>
      <c r="W8" s="3">
        <f>IF($E8="〇",V8*基本シート!$E$2,V8*VLOOKUP(LEFT(W$6,FIND("(",W$6)-1),基本シート!$B$6:$C$29,2,FALSE))</f>
        <v>0.36859999999999998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0.01</v>
      </c>
      <c r="AS8" s="3">
        <f>IF($E8="〇",AR8*基本シート!$E$2,AR8*VLOOKUP(LEFT(AS$6,FIND("(",AS$6)-1),基本シート!$B$6:$C$29,2,FALSE))</f>
        <v>0.36859999999999998</v>
      </c>
      <c r="AT8" s="3">
        <v>0.01</v>
      </c>
      <c r="AU8" s="3">
        <f>IF($E8="〇",AT8*基本シート!$E$2,AT8*VLOOKUP(LEFT(AU$6,FIND("(",AU$6)-1),基本シート!$B$6:$C$29,2,FALSE))</f>
        <v>0.36859999999999998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0.02</v>
      </c>
      <c r="BA8" s="3">
        <f>IF($E8="〇",AZ8*基本シート!$E$2,AZ8*VLOOKUP(LEFT(BA$6,FIND("(",BA$6)-1),基本シート!$B$6:$C$29,2,FALSE))</f>
        <v>0.59719999999999995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1.2200000000000002</v>
      </c>
      <c r="BE8" s="3">
        <f>ROUND(SUM(I8,K8,M8,O8,Q8,S8,U8,W8,Y8,AA8,AC8,AE8,AG8,AI8,AK8,AM8,AO8,AQ8,AS8,AU8,AW8,AY8,BA8,BC8),0)</f>
        <v>37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0.48</v>
      </c>
      <c r="BM8" s="3">
        <v>1.25</v>
      </c>
      <c r="BN8" s="3">
        <v>1.35</v>
      </c>
      <c r="BO8" s="3">
        <v>1.3</v>
      </c>
      <c r="BP8" s="3">
        <v>2.5499999999999998</v>
      </c>
      <c r="BQ8" s="3">
        <v>1.54</v>
      </c>
      <c r="BR8" s="3">
        <v>1.76</v>
      </c>
      <c r="BS8" s="3">
        <v>0.82</v>
      </c>
      <c r="BT8" s="3">
        <v>0.41</v>
      </c>
      <c r="BU8" s="3">
        <v>0.39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0.02</v>
      </c>
      <c r="CS8" s="3">
        <f>CR8*基本シート!$C$3</f>
        <v>0.32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0.46</v>
      </c>
      <c r="CY8" s="3">
        <f>CX8*基本シート!$C$3</f>
        <v>7.36</v>
      </c>
      <c r="CZ8" s="3">
        <v>0.02</v>
      </c>
      <c r="DA8" s="3">
        <f>CZ8*基本シート!$C$3</f>
        <v>0.32</v>
      </c>
      <c r="DB8" s="3">
        <v>1.51</v>
      </c>
      <c r="DC8" s="3">
        <f>DB8*基本シート!$C$3</f>
        <v>24.16</v>
      </c>
      <c r="DD8" s="3">
        <v>0.65</v>
      </c>
      <c r="DE8" s="3">
        <f>DD8*基本シート!$C$3</f>
        <v>10.4</v>
      </c>
      <c r="DF8" s="3">
        <v>0.24</v>
      </c>
      <c r="DG8" s="3">
        <f>DF8*基本シート!$C$3</f>
        <v>3.84</v>
      </c>
      <c r="DH8" s="3">
        <v>0.25</v>
      </c>
      <c r="DI8" s="3">
        <f>DH8*基本シート!$C$3</f>
        <v>4</v>
      </c>
      <c r="DJ8" s="3">
        <v>0</v>
      </c>
      <c r="DK8" s="3">
        <f>DJ8*基本シート!$C$3</f>
        <v>0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3.2099999999999991</v>
      </c>
      <c r="EA8" s="3">
        <f>ROUND(DZ8*基本シート!$C$3,0)</f>
        <v>51</v>
      </c>
      <c r="EB8" s="3">
        <v>0</v>
      </c>
      <c r="EC8" s="3">
        <v>0</v>
      </c>
      <c r="ED8" s="3">
        <v>0</v>
      </c>
      <c r="EE8" s="3">
        <v>0.04</v>
      </c>
      <c r="EF8" s="3">
        <v>0.04</v>
      </c>
      <c r="EG8" s="3">
        <v>0.02</v>
      </c>
      <c r="EH8" s="3">
        <v>0.24</v>
      </c>
      <c r="EI8" s="3">
        <v>0.98</v>
      </c>
      <c r="EJ8" s="3">
        <v>1.1599999999999999</v>
      </c>
      <c r="EK8" s="3">
        <v>1.1100000000000001</v>
      </c>
      <c r="EL8" s="3">
        <v>1.91</v>
      </c>
      <c r="EM8" s="3">
        <v>1.34</v>
      </c>
      <c r="EN8" s="3">
        <v>0.08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7" si="11">SUM(EB8:EY8)</f>
        <v>6.92</v>
      </c>
      <c r="FA8" s="3">
        <v>0.2</v>
      </c>
      <c r="FB8" s="3">
        <v>0.19</v>
      </c>
      <c r="FC8" s="3">
        <v>0.04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0.03</v>
      </c>
      <c r="FQ8" s="3">
        <v>0.7</v>
      </c>
      <c r="FR8" s="3">
        <v>1.39</v>
      </c>
      <c r="FS8" s="3">
        <v>0.32</v>
      </c>
      <c r="FT8" s="3">
        <v>0.49</v>
      </c>
      <c r="FU8" s="3">
        <v>0.61</v>
      </c>
      <c r="FV8" s="3">
        <v>0.69</v>
      </c>
      <c r="FW8" s="3">
        <v>0.4</v>
      </c>
      <c r="FX8" s="3">
        <v>0.21</v>
      </c>
      <c r="FY8" s="3">
        <f t="shared" ref="FY8:FY37" si="12">SUM(FA8:FX8)</f>
        <v>5.27</v>
      </c>
      <c r="FZ8" s="3">
        <v>0.2</v>
      </c>
      <c r="GA8" s="3">
        <v>0.19</v>
      </c>
      <c r="GB8" s="3">
        <v>0.18</v>
      </c>
      <c r="GC8" s="3">
        <v>0.18</v>
      </c>
      <c r="GD8" s="3">
        <v>0.33</v>
      </c>
      <c r="GE8" s="3">
        <v>0.33</v>
      </c>
      <c r="GF8" s="3">
        <v>0.31</v>
      </c>
      <c r="GG8" s="3">
        <v>0.26</v>
      </c>
      <c r="GH8" s="3">
        <v>0.19</v>
      </c>
      <c r="GI8" s="3">
        <v>0.19</v>
      </c>
      <c r="GJ8" s="3">
        <v>0.18</v>
      </c>
      <c r="GK8" s="3">
        <v>0.18</v>
      </c>
      <c r="GL8" s="3">
        <v>0.17</v>
      </c>
      <c r="GM8" s="3">
        <v>0.17</v>
      </c>
      <c r="GN8" s="3">
        <v>0.17</v>
      </c>
      <c r="GO8" s="3">
        <v>0.17</v>
      </c>
      <c r="GP8" s="3">
        <v>0.73</v>
      </c>
      <c r="GQ8" s="3">
        <v>1.39</v>
      </c>
      <c r="GR8" s="3">
        <v>0.32</v>
      </c>
      <c r="GS8" s="3">
        <v>0.49</v>
      </c>
      <c r="GT8" s="3">
        <v>0.61</v>
      </c>
      <c r="GU8" s="3">
        <v>0.68</v>
      </c>
      <c r="GV8" s="3">
        <v>0.41</v>
      </c>
      <c r="GW8" s="3">
        <v>0.21</v>
      </c>
      <c r="GX8" s="3">
        <f t="shared" ref="GX8:GX37" si="13">SUM(FZ8:GW8)</f>
        <v>8.240000000000002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217</v>
      </c>
      <c r="C9" s="6" t="str">
        <f>TEXT(VLOOKUP(LEFT(B9,FIND("月",B9)),基本シート!$E$6:$F$17,2,FALSE)&amp;B9,"aaaa")</f>
        <v>木曜日</v>
      </c>
      <c r="D9" s="6"/>
      <c r="E9" s="6" t="str">
        <f t="shared" si="9"/>
        <v/>
      </c>
      <c r="F9" s="6" t="s">
        <v>296</v>
      </c>
      <c r="G9" s="6" t="s">
        <v>297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0.17</v>
      </c>
      <c r="O9" s="3">
        <f>IF($E9="〇",N9*基本シート!$E$2,N9*VLOOKUP(LEFT(O$6,FIND("(",O$6)-1),基本シート!$B$6:$C$29,2,FALSE))</f>
        <v>5.0762</v>
      </c>
      <c r="P9" s="3">
        <v>0.43</v>
      </c>
      <c r="Q9" s="3">
        <f>IF($E9="〇",P9*基本シート!$E$2,P9*VLOOKUP(LEFT(Q$6,FIND("(",Q$6)-1),基本シート!$B$6:$C$29,2,FALSE))</f>
        <v>12.8398</v>
      </c>
      <c r="R9" s="3">
        <v>0.28999999999999998</v>
      </c>
      <c r="S9" s="3">
        <f>IF($E9="〇",R9*基本シート!$E$2,R9*VLOOKUP(LEFT(S$6,FIND("(",S$6)-1),基本シート!$B$6:$C$29,2,FALSE))</f>
        <v>8.6593999999999998</v>
      </c>
      <c r="T9" s="3">
        <v>0.26</v>
      </c>
      <c r="U9" s="3">
        <f>IF($E9="〇",T9*基本シート!$E$2,T9*VLOOKUP(LEFT(U$6,FIND("(",U$6)-1),基本シート!$B$6:$C$29,2,FALSE))</f>
        <v>7.7636000000000003</v>
      </c>
      <c r="V9" s="3">
        <v>0.06</v>
      </c>
      <c r="W9" s="3">
        <f>IF($E9="〇",V9*基本シート!$E$2,V9*VLOOKUP(LEFT(W$6,FIND("(",W$6)-1),基本シート!$B$6:$C$29,2,FALSE))</f>
        <v>2.2115999999999998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0.36859999999999998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1.23</v>
      </c>
      <c r="BE9" s="3">
        <f t="shared" si="8"/>
        <v>37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0.23</v>
      </c>
      <c r="BN9" s="3">
        <v>0.91</v>
      </c>
      <c r="BO9" s="3">
        <v>4.1100000000000003</v>
      </c>
      <c r="BP9" s="3">
        <v>3.96</v>
      </c>
      <c r="BQ9" s="3">
        <v>1.95</v>
      </c>
      <c r="BR9" s="3">
        <v>1.3</v>
      </c>
      <c r="BS9" s="3">
        <v>2.23</v>
      </c>
      <c r="BT9" s="3">
        <v>1.82</v>
      </c>
      <c r="BU9" s="3">
        <v>0.5</v>
      </c>
      <c r="BV9" s="3">
        <v>0.3</v>
      </c>
      <c r="BW9" s="3">
        <v>0.01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0.08</v>
      </c>
      <c r="CW9" s="3">
        <f>CV9*基本シート!$C$3</f>
        <v>1.28</v>
      </c>
      <c r="CX9" s="3">
        <v>1.54</v>
      </c>
      <c r="CY9" s="3">
        <f>CX9*基本シート!$C$3</f>
        <v>24.64</v>
      </c>
      <c r="CZ9" s="3">
        <v>1.76</v>
      </c>
      <c r="DA9" s="3">
        <f>CZ9*基本シート!$C$3</f>
        <v>28.16</v>
      </c>
      <c r="DB9" s="3">
        <v>1.1299999999999999</v>
      </c>
      <c r="DC9" s="3">
        <f>DB9*基本シート!$C$3</f>
        <v>18.079999999999998</v>
      </c>
      <c r="DD9" s="3">
        <v>1.93</v>
      </c>
      <c r="DE9" s="3">
        <f>DD9*基本シート!$C$3</f>
        <v>30.88</v>
      </c>
      <c r="DF9" s="3">
        <v>1.61</v>
      </c>
      <c r="DG9" s="3">
        <f>DF9*基本シート!$C$3</f>
        <v>25.76</v>
      </c>
      <c r="DH9" s="3">
        <v>0.3</v>
      </c>
      <c r="DI9" s="3">
        <f>DH9*基本シート!$C$3</f>
        <v>4.8</v>
      </c>
      <c r="DJ9" s="3">
        <v>0.1</v>
      </c>
      <c r="DK9" s="3">
        <f>DJ9*基本シート!$C$3</f>
        <v>1.6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8.5</v>
      </c>
      <c r="EA9" s="3">
        <f>ROUND(DZ9*基本シート!$C$3,0)</f>
        <v>136</v>
      </c>
      <c r="EB9" s="3">
        <v>0</v>
      </c>
      <c r="EC9" s="3">
        <v>0</v>
      </c>
      <c r="ED9" s="3">
        <v>0</v>
      </c>
      <c r="EE9" s="3">
        <v>0</v>
      </c>
      <c r="EF9" s="3">
        <v>0.04</v>
      </c>
      <c r="EG9" s="3">
        <v>0.04</v>
      </c>
      <c r="EH9" s="3">
        <v>0.01</v>
      </c>
      <c r="EI9" s="3">
        <v>0.09</v>
      </c>
      <c r="EJ9" s="3">
        <v>0.73</v>
      </c>
      <c r="EK9" s="3">
        <v>3.86</v>
      </c>
      <c r="EL9" s="3">
        <v>2.2400000000000002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7.01</v>
      </c>
      <c r="FA9" s="3">
        <v>0.19</v>
      </c>
      <c r="FB9" s="3">
        <v>0.18</v>
      </c>
      <c r="FC9" s="3">
        <v>0.19</v>
      </c>
      <c r="FD9" s="3">
        <v>0.03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</v>
      </c>
      <c r="FQ9" s="3">
        <v>0.59</v>
      </c>
      <c r="FR9" s="3">
        <v>1.36</v>
      </c>
      <c r="FS9" s="3">
        <v>0.3</v>
      </c>
      <c r="FT9" s="3">
        <v>0.69</v>
      </c>
      <c r="FU9" s="3">
        <v>0.26</v>
      </c>
      <c r="FV9" s="3">
        <v>0.46</v>
      </c>
      <c r="FW9" s="3">
        <v>0.19</v>
      </c>
      <c r="FX9" s="3">
        <v>0.19</v>
      </c>
      <c r="FY9" s="3">
        <f t="shared" si="12"/>
        <v>4.6400000000000006</v>
      </c>
      <c r="FZ9" s="3">
        <v>0.18</v>
      </c>
      <c r="GA9" s="3">
        <v>0.18</v>
      </c>
      <c r="GB9" s="3">
        <v>0.18</v>
      </c>
      <c r="GC9" s="3">
        <v>0.2</v>
      </c>
      <c r="GD9" s="3">
        <v>0.39</v>
      </c>
      <c r="GE9" s="3">
        <v>0.25</v>
      </c>
      <c r="GF9" s="3">
        <v>0.26</v>
      </c>
      <c r="GG9" s="3">
        <v>0.2</v>
      </c>
      <c r="GH9" s="3">
        <v>0.18</v>
      </c>
      <c r="GI9" s="3">
        <v>0.17</v>
      </c>
      <c r="GJ9" s="3">
        <v>0.18</v>
      </c>
      <c r="GK9" s="3">
        <v>0.19</v>
      </c>
      <c r="GL9" s="3">
        <v>0.17</v>
      </c>
      <c r="GM9" s="3">
        <v>0.31</v>
      </c>
      <c r="GN9" s="3">
        <v>0.21</v>
      </c>
      <c r="GO9" s="3">
        <v>0.2</v>
      </c>
      <c r="GP9" s="3">
        <v>0.79</v>
      </c>
      <c r="GQ9" s="3">
        <v>1.37</v>
      </c>
      <c r="GR9" s="3">
        <v>0.3</v>
      </c>
      <c r="GS9" s="3">
        <v>0.68</v>
      </c>
      <c r="GT9" s="3">
        <v>0.26</v>
      </c>
      <c r="GU9" s="3">
        <v>0.46</v>
      </c>
      <c r="GV9" s="3">
        <v>0.19</v>
      </c>
      <c r="GW9" s="3">
        <v>0.19</v>
      </c>
      <c r="GX9" s="3">
        <f t="shared" si="13"/>
        <v>7.69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218</v>
      </c>
      <c r="C10" s="6" t="str">
        <f>TEXT(VLOOKUP(LEFT(B10,FIND("月",B10)),基本シート!$E$6:$F$17,2,FALSE)&amp;B10,"aaaa")</f>
        <v>金曜日</v>
      </c>
      <c r="D10" s="6"/>
      <c r="E10" s="6" t="str">
        <f t="shared" si="9"/>
        <v/>
      </c>
      <c r="F10" s="6" t="s">
        <v>297</v>
      </c>
      <c r="G10" s="6" t="s">
        <v>296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0.22</v>
      </c>
      <c r="U10" s="3">
        <f>IF($E10="〇",T10*基本シート!$E$2,T10*VLOOKUP(LEFT(U$6,FIND("(",U$6)-1),基本シート!$B$6:$C$29,2,FALSE))</f>
        <v>6.5691999999999995</v>
      </c>
      <c r="V10" s="3">
        <v>0.15</v>
      </c>
      <c r="W10" s="3">
        <f>IF($E10="〇",V10*基本シート!$E$2,V10*VLOOKUP(LEFT(W$6,FIND("(",W$6)-1),基本シート!$B$6:$C$29,2,FALSE))</f>
        <v>5.5289999999999999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0.01</v>
      </c>
      <c r="AS10" s="3">
        <f>IF($E10="〇",AR10*基本シート!$E$2,AR10*VLOOKUP(LEFT(AS$6,FIND("(",AS$6)-1),基本シート!$B$6:$C$29,2,FALSE))</f>
        <v>0.36859999999999998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0.02</v>
      </c>
      <c r="BC10" s="3">
        <f>IF($E10="〇",BB10*基本シート!$E$2,BB10*VLOOKUP(LEFT(BC$6,FIND("(",BC$6)-1),基本シート!$B$6:$C$29,2,FALSE))</f>
        <v>0.59719999999999995</v>
      </c>
      <c r="BD10" s="3">
        <f t="shared" si="7"/>
        <v>0.4</v>
      </c>
      <c r="BE10" s="3">
        <f t="shared" si="8"/>
        <v>13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0.02</v>
      </c>
      <c r="BM10" s="3">
        <v>0.2</v>
      </c>
      <c r="BN10" s="3">
        <v>0.87</v>
      </c>
      <c r="BO10" s="3">
        <v>1.45</v>
      </c>
      <c r="BP10" s="3">
        <v>2.38</v>
      </c>
      <c r="BQ10" s="3">
        <v>1.74</v>
      </c>
      <c r="BR10" s="3">
        <v>1.57</v>
      </c>
      <c r="BS10" s="3">
        <v>0.85</v>
      </c>
      <c r="BT10" s="3">
        <v>0.75</v>
      </c>
      <c r="BU10" s="3">
        <v>0.28000000000000003</v>
      </c>
      <c r="BV10" s="3">
        <v>0.01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0.01</v>
      </c>
      <c r="DA10" s="3">
        <f>CZ10*基本シート!$C$3</f>
        <v>0.16</v>
      </c>
      <c r="DB10" s="3">
        <v>0.23</v>
      </c>
      <c r="DC10" s="3">
        <f>DB10*基本シート!$C$3</f>
        <v>3.68</v>
      </c>
      <c r="DD10" s="3">
        <v>0.67</v>
      </c>
      <c r="DE10" s="3">
        <f>DD10*基本シート!$C$3</f>
        <v>10.72</v>
      </c>
      <c r="DF10" s="3">
        <v>0.57999999999999996</v>
      </c>
      <c r="DG10" s="3">
        <f>DF10*基本シート!$C$3</f>
        <v>9.2799999999999994</v>
      </c>
      <c r="DH10" s="3">
        <v>0.16</v>
      </c>
      <c r="DI10" s="3">
        <f>DH10*基本シート!$C$3</f>
        <v>2.56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0"/>
        <v>1.78</v>
      </c>
      <c r="EA10" s="3">
        <f>ROUND(DZ10*基本シート!$C$3,0)</f>
        <v>28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0.04</v>
      </c>
      <c r="EJ10" s="3">
        <v>0.63</v>
      </c>
      <c r="EK10" s="3">
        <v>1.23</v>
      </c>
      <c r="EL10" s="3">
        <v>2.19</v>
      </c>
      <c r="EM10" s="3">
        <v>1.56</v>
      </c>
      <c r="EN10" s="3">
        <v>1.17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6.83</v>
      </c>
      <c r="FA10" s="3">
        <v>0.21</v>
      </c>
      <c r="FB10" s="3">
        <v>0.2</v>
      </c>
      <c r="FC10" s="3">
        <v>0.18</v>
      </c>
      <c r="FD10" s="3">
        <v>0.19</v>
      </c>
      <c r="FE10" s="3">
        <v>0.2</v>
      </c>
      <c r="FF10" s="3">
        <v>0.2</v>
      </c>
      <c r="FG10" s="3">
        <v>0.05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0.05</v>
      </c>
      <c r="FQ10" s="3">
        <v>0.75</v>
      </c>
      <c r="FR10" s="3">
        <v>1.1499999999999999</v>
      </c>
      <c r="FS10" s="3">
        <v>0.3</v>
      </c>
      <c r="FT10" s="3">
        <v>0.39</v>
      </c>
      <c r="FU10" s="3">
        <v>0.22</v>
      </c>
      <c r="FV10" s="3">
        <v>0.42</v>
      </c>
      <c r="FW10" s="3">
        <v>0.5</v>
      </c>
      <c r="FX10" s="3">
        <v>0.37</v>
      </c>
      <c r="FY10" s="3">
        <f t="shared" si="12"/>
        <v>5.38</v>
      </c>
      <c r="FZ10" s="3">
        <v>0.2</v>
      </c>
      <c r="GA10" s="3">
        <v>0.2</v>
      </c>
      <c r="GB10" s="3">
        <v>0.18</v>
      </c>
      <c r="GC10" s="3">
        <v>0.18</v>
      </c>
      <c r="GD10" s="3">
        <v>0.19</v>
      </c>
      <c r="GE10" s="3">
        <v>0.19</v>
      </c>
      <c r="GF10" s="3">
        <v>0.28999999999999998</v>
      </c>
      <c r="GG10" s="3">
        <v>0.31</v>
      </c>
      <c r="GH10" s="3">
        <v>0.23</v>
      </c>
      <c r="GI10" s="3">
        <v>0.22</v>
      </c>
      <c r="GJ10" s="3">
        <v>0.18</v>
      </c>
      <c r="GK10" s="3">
        <v>0.17</v>
      </c>
      <c r="GL10" s="3">
        <v>0.17</v>
      </c>
      <c r="GM10" s="3">
        <v>0.17</v>
      </c>
      <c r="GN10" s="3">
        <v>0.17</v>
      </c>
      <c r="GO10" s="3">
        <v>0.17</v>
      </c>
      <c r="GP10" s="3">
        <v>0.75</v>
      </c>
      <c r="GQ10" s="3">
        <v>1.1399999999999999</v>
      </c>
      <c r="GR10" s="3">
        <v>0.3</v>
      </c>
      <c r="GS10" s="3">
        <v>0.38</v>
      </c>
      <c r="GT10" s="3">
        <v>0.22</v>
      </c>
      <c r="GU10" s="3">
        <v>0.41</v>
      </c>
      <c r="GV10" s="3">
        <v>0.49</v>
      </c>
      <c r="GW10" s="3">
        <v>0.38</v>
      </c>
      <c r="GX10" s="3">
        <f t="shared" si="13"/>
        <v>7.2899999999999991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219</v>
      </c>
      <c r="C11" s="6" t="str">
        <f>TEXT(VLOOKUP(LEFT(B11,FIND("月",B11)),基本シート!$E$6:$F$17,2,FALSE)&amp;B11,"aaaa")</f>
        <v>土曜日</v>
      </c>
      <c r="D11" s="6"/>
      <c r="E11" s="6" t="str">
        <f t="shared" si="9"/>
        <v>〇</v>
      </c>
      <c r="F11" s="6" t="s">
        <v>296</v>
      </c>
      <c r="G11" s="6" t="s">
        <v>298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0.01</v>
      </c>
      <c r="W11" s="3">
        <f>IF($E11="〇",V11*基本シート!$E$2,V11*VLOOKUP(LEFT(W$6,FIND("(",W$6)-1),基本シート!$B$6:$C$29,2,FALSE))</f>
        <v>0.29859999999999998</v>
      </c>
      <c r="X11" s="3">
        <v>0.01</v>
      </c>
      <c r="Y11" s="3">
        <f>IF($E11="〇",X11*基本シート!$E$2,X11*VLOOKUP(LEFT(Y$6,FIND("(",Y$6)-1),基本シート!$B$6:$C$29,2,FALSE))</f>
        <v>0.29859999999999998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0.29859999999999998</v>
      </c>
      <c r="AP11" s="3">
        <v>0.03</v>
      </c>
      <c r="AQ11" s="3">
        <f>IF($E11="〇",AP11*基本シート!$E$2,AP11*VLOOKUP(LEFT(AQ$6,FIND("(",AQ$6)-1),基本シート!$B$6:$C$29,2,FALSE))</f>
        <v>0.89579999999999993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0.01</v>
      </c>
      <c r="AU11" s="3">
        <f>IF($E11="〇",AT11*基本シート!$E$2,AT11*VLOOKUP(LEFT(AU$6,FIND("(",AU$6)-1),基本シート!$B$6:$C$29,2,FALSE))</f>
        <v>0.29859999999999998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0.29859999999999998</v>
      </c>
      <c r="AZ11" s="3">
        <v>0.01</v>
      </c>
      <c r="BA11" s="3">
        <f>IF($E11="〇",AZ11*基本シート!$E$2,AZ11*VLOOKUP(LEFT(BA$6,FIND("(",BA$6)-1),基本シート!$B$6:$C$29,2,FALSE))</f>
        <v>0.29859999999999998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0.10999999999999999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0.21</v>
      </c>
      <c r="BM11" s="3">
        <v>1.32</v>
      </c>
      <c r="BN11" s="3">
        <v>3.16</v>
      </c>
      <c r="BO11" s="3">
        <v>4.49</v>
      </c>
      <c r="BP11" s="3">
        <v>5.05</v>
      </c>
      <c r="BQ11" s="3">
        <v>3.6</v>
      </c>
      <c r="BR11" s="3">
        <v>3.95</v>
      </c>
      <c r="BS11" s="3">
        <v>3.98</v>
      </c>
      <c r="BT11" s="3">
        <v>3.85</v>
      </c>
      <c r="BU11" s="3">
        <v>1.66</v>
      </c>
      <c r="BV11" s="3">
        <v>0.36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0.01</v>
      </c>
      <c r="CS11" s="3">
        <f>CR11*基本シート!$C$3</f>
        <v>0.16</v>
      </c>
      <c r="CT11" s="3">
        <v>0.11</v>
      </c>
      <c r="CU11" s="3">
        <f>CT11*基本シート!$C$3</f>
        <v>1.76</v>
      </c>
      <c r="CV11" s="3">
        <v>1.05</v>
      </c>
      <c r="CW11" s="3">
        <f>CV11*基本シート!$C$3</f>
        <v>16.8</v>
      </c>
      <c r="CX11" s="3">
        <v>4.8099999999999996</v>
      </c>
      <c r="CY11" s="3">
        <f>CX11*基本シート!$C$3</f>
        <v>76.959999999999994</v>
      </c>
      <c r="CZ11" s="3">
        <v>3.09</v>
      </c>
      <c r="DA11" s="3">
        <f>CZ11*基本シート!$C$3</f>
        <v>49.44</v>
      </c>
      <c r="DB11" s="3">
        <v>3.7</v>
      </c>
      <c r="DC11" s="3">
        <f>DB11*基本シート!$C$3</f>
        <v>59.2</v>
      </c>
      <c r="DD11" s="3">
        <v>3.71</v>
      </c>
      <c r="DE11" s="3">
        <f>DD11*基本シート!$C$3</f>
        <v>59.36</v>
      </c>
      <c r="DF11" s="3">
        <v>3.57</v>
      </c>
      <c r="DG11" s="3">
        <f>DF11*基本シート!$C$3</f>
        <v>57.12</v>
      </c>
      <c r="DH11" s="3">
        <v>1.41</v>
      </c>
      <c r="DI11" s="3">
        <f>DH11*基本シート!$C$3</f>
        <v>22.56</v>
      </c>
      <c r="DJ11" s="3">
        <v>0.19</v>
      </c>
      <c r="DK11" s="3">
        <f>DJ11*基本シート!$C$3</f>
        <v>3.04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0"/>
        <v>21.790000000000013</v>
      </c>
      <c r="EA11" s="3">
        <f>ROUND(DZ11*基本シート!$C$3,0)</f>
        <v>349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0.92</v>
      </c>
      <c r="EJ11" s="3">
        <v>2.7</v>
      </c>
      <c r="EK11" s="3">
        <v>3.18</v>
      </c>
      <c r="EL11" s="3">
        <v>0.05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6.8500000000000005</v>
      </c>
      <c r="FA11" s="3">
        <v>0.2</v>
      </c>
      <c r="FB11" s="3">
        <v>0.19</v>
      </c>
      <c r="FC11" s="3">
        <v>0.19</v>
      </c>
      <c r="FD11" s="3">
        <v>0.19</v>
      </c>
      <c r="FE11" s="3">
        <v>0.18</v>
      </c>
      <c r="FF11" s="3">
        <v>0.19</v>
      </c>
      <c r="FG11" s="3">
        <v>0.01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0.56999999999999995</v>
      </c>
      <c r="FR11" s="3">
        <v>1.48</v>
      </c>
      <c r="FS11" s="3">
        <v>0.56000000000000005</v>
      </c>
      <c r="FT11" s="3">
        <v>0.5</v>
      </c>
      <c r="FU11" s="3">
        <v>0.39</v>
      </c>
      <c r="FV11" s="3">
        <v>0.68</v>
      </c>
      <c r="FW11" s="3">
        <v>0.28999999999999998</v>
      </c>
      <c r="FX11" s="3">
        <v>0.2</v>
      </c>
      <c r="FY11" s="3">
        <f t="shared" si="12"/>
        <v>5.8199999999999994</v>
      </c>
      <c r="FZ11" s="3">
        <v>0.19</v>
      </c>
      <c r="GA11" s="3">
        <v>0.18</v>
      </c>
      <c r="GB11" s="3">
        <v>0.18</v>
      </c>
      <c r="GC11" s="3">
        <v>0.18</v>
      </c>
      <c r="GD11" s="3">
        <v>0.17</v>
      </c>
      <c r="GE11" s="3">
        <v>0.18</v>
      </c>
      <c r="GF11" s="3">
        <v>0.21</v>
      </c>
      <c r="GG11" s="3">
        <v>0.4</v>
      </c>
      <c r="GH11" s="3">
        <v>0.36</v>
      </c>
      <c r="GI11" s="3">
        <v>0.27</v>
      </c>
      <c r="GJ11" s="3">
        <v>0.19</v>
      </c>
      <c r="GK11" s="3">
        <v>0.51</v>
      </c>
      <c r="GL11" s="3">
        <v>0.25</v>
      </c>
      <c r="GM11" s="3">
        <v>0.27</v>
      </c>
      <c r="GN11" s="3">
        <v>0.28000000000000003</v>
      </c>
      <c r="GO11" s="3">
        <v>0.25</v>
      </c>
      <c r="GP11" s="3">
        <v>0.75</v>
      </c>
      <c r="GQ11" s="3">
        <v>1.5</v>
      </c>
      <c r="GR11" s="3">
        <v>0.56000000000000005</v>
      </c>
      <c r="GS11" s="3">
        <v>0.5</v>
      </c>
      <c r="GT11" s="3">
        <v>0.38</v>
      </c>
      <c r="GU11" s="3">
        <v>0.68</v>
      </c>
      <c r="GV11" s="3">
        <v>0.28999999999999998</v>
      </c>
      <c r="GW11" s="3">
        <v>0.19</v>
      </c>
      <c r="GX11" s="3">
        <f t="shared" si="13"/>
        <v>8.9199999999999982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220</v>
      </c>
      <c r="C12" s="6" t="str">
        <f>TEXT(VLOOKUP(LEFT(B12,FIND("月",B12)),基本シート!$E$6:$F$17,2,FALSE)&amp;B12,"aaaa")</f>
        <v>日曜日</v>
      </c>
      <c r="D12" s="6"/>
      <c r="E12" s="6" t="str">
        <f t="shared" si="9"/>
        <v>〇</v>
      </c>
      <c r="F12" s="6" t="s">
        <v>296</v>
      </c>
      <c r="G12" s="6" t="s">
        <v>296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0.09</v>
      </c>
      <c r="O12" s="3">
        <f>IF($E12="〇",N12*基本シート!$E$2,N12*VLOOKUP(LEFT(O$6,FIND("(",O$6)-1),基本シート!$B$6:$C$29,2,FALSE))</f>
        <v>2.6873999999999998</v>
      </c>
      <c r="P12" s="3">
        <v>0.23</v>
      </c>
      <c r="Q12" s="3">
        <f>IF($E12="〇",P12*基本シート!$E$2,P12*VLOOKUP(LEFT(Q$6,FIND("(",Q$6)-1),基本シート!$B$6:$C$29,2,FALSE))</f>
        <v>6.8677999999999999</v>
      </c>
      <c r="R12" s="3">
        <v>0.22</v>
      </c>
      <c r="S12" s="3">
        <f>IF($E12="〇",R12*基本シート!$E$2,R12*VLOOKUP(LEFT(S$6,FIND("(",S$6)-1),基本シート!$B$6:$C$29,2,FALSE))</f>
        <v>6.5691999999999995</v>
      </c>
      <c r="T12" s="3">
        <v>0.14000000000000001</v>
      </c>
      <c r="U12" s="3">
        <f>IF($E12="〇",T12*基本シート!$E$2,T12*VLOOKUP(LEFT(U$6,FIND("(",U$6)-1),基本シート!$B$6:$C$29,2,FALSE))</f>
        <v>4.1804000000000006</v>
      </c>
      <c r="V12" s="3">
        <v>0.17</v>
      </c>
      <c r="W12" s="3">
        <f>IF($E12="〇",V12*基本シート!$E$2,V12*VLOOKUP(LEFT(W$6,FIND("(",W$6)-1),基本シート!$B$6:$C$29,2,FALSE))</f>
        <v>5.0762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0.29859999999999998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0.02</v>
      </c>
      <c r="AS12" s="3">
        <f>IF($E12="〇",AR12*基本シート!$E$2,AR12*VLOOKUP(LEFT(AS$6,FIND("(",AS$6)-1),基本シート!$B$6:$C$29,2,FALSE))</f>
        <v>0.59719999999999995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0.29859999999999998</v>
      </c>
      <c r="AX12" s="3">
        <v>0.16</v>
      </c>
      <c r="AY12" s="3">
        <f>IF($E12="〇",AX12*基本シート!$E$2,AX12*VLOOKUP(LEFT(AY$6,FIND("(",AY$6)-1),基本シート!$B$6:$C$29,2,FALSE))</f>
        <v>4.7775999999999996</v>
      </c>
      <c r="AZ12" s="3">
        <v>0.23</v>
      </c>
      <c r="BA12" s="3">
        <f>IF($E12="〇",AZ12*基本シート!$E$2,AZ12*VLOOKUP(LEFT(BA$6,FIND("(",BA$6)-1),基本シート!$B$6:$C$29,2,FALSE))</f>
        <v>6.8677999999999999</v>
      </c>
      <c r="BB12" s="3">
        <v>0.22</v>
      </c>
      <c r="BC12" s="3">
        <f>IF($E12="〇",BB12*基本シート!$E$2,BB12*VLOOKUP(LEFT(BC$6,FIND("(",BC$6)-1),基本シート!$B$6:$C$29,2,FALSE))</f>
        <v>6.5691999999999995</v>
      </c>
      <c r="BD12" s="3">
        <f t="shared" si="7"/>
        <v>1.5</v>
      </c>
      <c r="BE12" s="3">
        <f t="shared" si="8"/>
        <v>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0.09</v>
      </c>
      <c r="BM12" s="3">
        <v>0.52</v>
      </c>
      <c r="BN12" s="3">
        <v>1.6</v>
      </c>
      <c r="BO12" s="3">
        <v>1.64</v>
      </c>
      <c r="BP12" s="3">
        <v>2.9</v>
      </c>
      <c r="BQ12" s="3">
        <v>2.46</v>
      </c>
      <c r="BR12" s="3">
        <v>2.78</v>
      </c>
      <c r="BS12" s="3">
        <v>1.83</v>
      </c>
      <c r="BT12" s="3">
        <v>2.1</v>
      </c>
      <c r="BU12" s="3">
        <v>0.47</v>
      </c>
      <c r="BV12" s="3">
        <v>0.09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0.01</v>
      </c>
      <c r="CI12" s="3">
        <f>CH12*基本シート!$C$3</f>
        <v>0.16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0.01</v>
      </c>
      <c r="CU12" s="3">
        <f>CT12*基本シート!$C$3</f>
        <v>0.16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0.98</v>
      </c>
      <c r="DA12" s="3">
        <f>CZ12*基本シート!$C$3</f>
        <v>15.68</v>
      </c>
      <c r="DB12" s="3">
        <v>2.54</v>
      </c>
      <c r="DC12" s="3">
        <f>DB12*基本シート!$C$3</f>
        <v>40.64</v>
      </c>
      <c r="DD12" s="3">
        <v>1.6</v>
      </c>
      <c r="DE12" s="3">
        <f>DD12*基本シート!$C$3</f>
        <v>25.6</v>
      </c>
      <c r="DF12" s="3">
        <v>1.9</v>
      </c>
      <c r="DG12" s="3">
        <f>DF12*基本シート!$C$3</f>
        <v>30.4</v>
      </c>
      <c r="DH12" s="3">
        <v>0.25</v>
      </c>
      <c r="DI12" s="3">
        <f>DH12*基本シート!$C$3</f>
        <v>4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7.3599999999999994</v>
      </c>
      <c r="EA12" s="3">
        <f>ROUND(DZ12*基本シート!$C$3,0)</f>
        <v>118</v>
      </c>
      <c r="EB12" s="3">
        <v>0</v>
      </c>
      <c r="EC12" s="3">
        <v>0</v>
      </c>
      <c r="ED12" s="3">
        <v>0</v>
      </c>
      <c r="EE12" s="3">
        <v>0</v>
      </c>
      <c r="EF12" s="3">
        <v>0.03</v>
      </c>
      <c r="EG12" s="3">
        <v>0.04</v>
      </c>
      <c r="EH12" s="3">
        <v>0.01</v>
      </c>
      <c r="EI12" s="3">
        <v>0.28000000000000003</v>
      </c>
      <c r="EJ12" s="3">
        <v>1.3</v>
      </c>
      <c r="EK12" s="3">
        <v>1.42</v>
      </c>
      <c r="EL12" s="3">
        <v>2.71</v>
      </c>
      <c r="EM12" s="3">
        <v>1.1200000000000001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0.03</v>
      </c>
      <c r="EY12" s="3">
        <v>0.03</v>
      </c>
      <c r="EZ12" s="3">
        <f t="shared" si="11"/>
        <v>6.9700000000000006</v>
      </c>
      <c r="FA12" s="3">
        <v>0.2</v>
      </c>
      <c r="FB12" s="3">
        <v>0.19</v>
      </c>
      <c r="FC12" s="3">
        <v>0.2</v>
      </c>
      <c r="FD12" s="3">
        <v>0.12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0.94</v>
      </c>
      <c r="FR12" s="3">
        <v>1.71</v>
      </c>
      <c r="FS12" s="3">
        <v>1.77</v>
      </c>
      <c r="FT12" s="3">
        <v>0.56000000000000005</v>
      </c>
      <c r="FU12" s="3">
        <v>0.51</v>
      </c>
      <c r="FV12" s="3">
        <v>0.2</v>
      </c>
      <c r="FW12" s="3">
        <v>0</v>
      </c>
      <c r="FX12" s="3">
        <v>0</v>
      </c>
      <c r="FY12" s="3">
        <f t="shared" si="12"/>
        <v>6.410000000000001</v>
      </c>
      <c r="FZ12" s="3">
        <v>0.19</v>
      </c>
      <c r="GA12" s="3">
        <v>0.18</v>
      </c>
      <c r="GB12" s="3">
        <v>0.19</v>
      </c>
      <c r="GC12" s="3">
        <v>0.21</v>
      </c>
      <c r="GD12" s="3">
        <v>0.2</v>
      </c>
      <c r="GE12" s="3">
        <v>0.18</v>
      </c>
      <c r="GF12" s="3">
        <v>0.22</v>
      </c>
      <c r="GG12" s="3">
        <v>0.41</v>
      </c>
      <c r="GH12" s="3">
        <v>0.28999999999999998</v>
      </c>
      <c r="GI12" s="3">
        <v>0.22</v>
      </c>
      <c r="GJ12" s="3">
        <v>0.19</v>
      </c>
      <c r="GK12" s="3">
        <v>0.37</v>
      </c>
      <c r="GL12" s="3">
        <v>0.24</v>
      </c>
      <c r="GM12" s="3">
        <v>0.24</v>
      </c>
      <c r="GN12" s="3">
        <v>0.2</v>
      </c>
      <c r="GO12" s="3">
        <v>0.22</v>
      </c>
      <c r="GP12" s="3">
        <v>1.02</v>
      </c>
      <c r="GQ12" s="3">
        <v>1.71</v>
      </c>
      <c r="GR12" s="3">
        <v>1.78</v>
      </c>
      <c r="GS12" s="3">
        <v>0.55000000000000004</v>
      </c>
      <c r="GT12" s="3">
        <v>0.51</v>
      </c>
      <c r="GU12" s="3">
        <v>0.35</v>
      </c>
      <c r="GV12" s="3">
        <v>0.2</v>
      </c>
      <c r="GW12" s="3">
        <v>0.19</v>
      </c>
      <c r="GX12" s="3">
        <f t="shared" si="13"/>
        <v>10.059999999999999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221</v>
      </c>
      <c r="C13" s="6" t="str">
        <f>TEXT(VLOOKUP(LEFT(B13,FIND("月",B13)),基本シート!$E$6:$F$17,2,FALSE)&amp;B13,"aaaa")</f>
        <v>月曜日</v>
      </c>
      <c r="D13" s="6"/>
      <c r="E13" s="6" t="str">
        <f t="shared" si="9"/>
        <v/>
      </c>
      <c r="F13" s="6" t="s">
        <v>297</v>
      </c>
      <c r="G13" s="6" t="s">
        <v>297</v>
      </c>
      <c r="H13" s="3">
        <v>0.21</v>
      </c>
      <c r="I13" s="3">
        <f>IF($E13="〇",H13*基本シート!$E$2,H13*VLOOKUP(LEFT(I$6,FIND("(",I$6)-1),基本シート!$B$6:$C$29,2,FALSE))</f>
        <v>6.2706</v>
      </c>
      <c r="J13" s="3">
        <v>0.23</v>
      </c>
      <c r="K13" s="3">
        <f>IF($E13="〇",J13*基本シート!$E$2,J13*VLOOKUP(LEFT(K$6,FIND("(",K$6)-1),基本シート!$B$6:$C$29,2,FALSE))</f>
        <v>6.8677999999999999</v>
      </c>
      <c r="L13" s="3">
        <v>0.22</v>
      </c>
      <c r="M13" s="3">
        <f>IF($E13="〇",L13*基本シート!$E$2,L13*VLOOKUP(LEFT(M$6,FIND("(",M$6)-1),基本シート!$B$6:$C$29,2,FALSE))</f>
        <v>6.5691999999999995</v>
      </c>
      <c r="N13" s="3">
        <v>0.22</v>
      </c>
      <c r="O13" s="3">
        <f>IF($E13="〇",N13*基本シート!$E$2,N13*VLOOKUP(LEFT(O$6,FIND("(",O$6)-1),基本シート!$B$6:$C$29,2,FALSE))</f>
        <v>6.5691999999999995</v>
      </c>
      <c r="P13" s="3">
        <v>0.68</v>
      </c>
      <c r="Q13" s="3">
        <f>IF($E13="〇",P13*基本シート!$E$2,P13*VLOOKUP(LEFT(Q$6,FIND("(",Q$6)-1),基本シート!$B$6:$C$29,2,FALSE))</f>
        <v>20.3048</v>
      </c>
      <c r="R13" s="3">
        <v>0.36</v>
      </c>
      <c r="S13" s="3">
        <f>IF($E13="〇",R13*基本シート!$E$2,R13*VLOOKUP(LEFT(S$6,FIND("(",S$6)-1),基本シート!$B$6:$C$29,2,FALSE))</f>
        <v>10.749599999999999</v>
      </c>
      <c r="T13" s="3">
        <v>0.31</v>
      </c>
      <c r="U13" s="3">
        <f>IF($E13="〇",T13*基本シート!$E$2,T13*VLOOKUP(LEFT(U$6,FIND("(",U$6)-1),基本シート!$B$6:$C$29,2,FALSE))</f>
        <v>9.2566000000000006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0.01</v>
      </c>
      <c r="AS13" s="3">
        <f>IF($E13="〇",AR13*基本シート!$E$2,AR13*VLOOKUP(LEFT(AS$6,FIND("(",AS$6)-1),基本シート!$B$6:$C$29,2,FALSE))</f>
        <v>0.36859999999999998</v>
      </c>
      <c r="AT13" s="3">
        <v>0.01</v>
      </c>
      <c r="AU13" s="3">
        <f>IF($E13="〇",AT13*基本シート!$E$2,AT13*VLOOKUP(LEFT(AU$6,FIND("(",AU$6)-1),基本シート!$B$6:$C$29,2,FALSE))</f>
        <v>0.36859999999999998</v>
      </c>
      <c r="AV13" s="3">
        <v>0.01</v>
      </c>
      <c r="AW13" s="3">
        <f>IF($E13="〇",AV13*基本シート!$E$2,AV13*VLOOKUP(LEFT(AW$6,FIND("(",AW$6)-1),基本シート!$B$6:$C$29,2,FALSE))</f>
        <v>0.36859999999999998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0.02</v>
      </c>
      <c r="BA13" s="3">
        <f>IF($E13="〇",AZ13*基本シート!$E$2,AZ13*VLOOKUP(LEFT(BA$6,FIND("(",BA$6)-1),基本シート!$B$6:$C$29,2,FALSE))</f>
        <v>0.59719999999999995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2.2799999999999994</v>
      </c>
      <c r="BE13" s="3">
        <f t="shared" si="8"/>
        <v>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0.12</v>
      </c>
      <c r="BM13" s="3">
        <v>1.26</v>
      </c>
      <c r="BN13" s="3">
        <v>2.2200000000000002</v>
      </c>
      <c r="BO13" s="3">
        <v>1.42</v>
      </c>
      <c r="BP13" s="3">
        <v>1.62</v>
      </c>
      <c r="BQ13" s="3">
        <v>1.26</v>
      </c>
      <c r="BR13" s="3">
        <v>0.77</v>
      </c>
      <c r="BS13" s="3">
        <v>0.2</v>
      </c>
      <c r="BT13" s="3">
        <v>0.19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0.01</v>
      </c>
      <c r="CU13" s="3">
        <f>CT13*基本シート!$C$3</f>
        <v>0.16</v>
      </c>
      <c r="CV13" s="3">
        <v>0</v>
      </c>
      <c r="CW13" s="3">
        <f>CV13*基本シート!$C$3</f>
        <v>0</v>
      </c>
      <c r="CX13" s="3">
        <v>0.01</v>
      </c>
      <c r="CY13" s="3">
        <f>CX13*基本シート!$C$3</f>
        <v>0.16</v>
      </c>
      <c r="CZ13" s="3">
        <v>0.01</v>
      </c>
      <c r="DA13" s="3">
        <f>CZ13*基本シート!$C$3</f>
        <v>0.16</v>
      </c>
      <c r="DB13" s="3">
        <v>0.39</v>
      </c>
      <c r="DC13" s="3">
        <f>DB13*基本シート!$C$3</f>
        <v>6.24</v>
      </c>
      <c r="DD13" s="3">
        <v>0.09</v>
      </c>
      <c r="DE13" s="3">
        <f>DD13*基本シート!$C$3</f>
        <v>1.44</v>
      </c>
      <c r="DF13" s="3">
        <v>0.05</v>
      </c>
      <c r="DG13" s="3">
        <f>DF13*基本シート!$C$3</f>
        <v>0.8</v>
      </c>
      <c r="DH13" s="3">
        <v>0.06</v>
      </c>
      <c r="DI13" s="3">
        <f>DH13*基本シート!$C$3</f>
        <v>0.96</v>
      </c>
      <c r="DJ13" s="3">
        <v>0</v>
      </c>
      <c r="DK13" s="3">
        <f>DJ13*基本シート!$C$3</f>
        <v>0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0"/>
        <v>0.68000000000000016</v>
      </c>
      <c r="EA13" s="3">
        <f>ROUND(DZ13*基本シート!$C$3,0)</f>
        <v>11</v>
      </c>
      <c r="EB13" s="3">
        <v>0.03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0.96</v>
      </c>
      <c r="EJ13" s="3">
        <v>1.98</v>
      </c>
      <c r="EK13" s="3">
        <v>1.2</v>
      </c>
      <c r="EL13" s="3">
        <v>1.43</v>
      </c>
      <c r="EM13" s="3">
        <v>1.06</v>
      </c>
      <c r="EN13" s="3">
        <v>0.21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7.0799999999999992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0.06</v>
      </c>
      <c r="FO13" s="3">
        <v>0.04</v>
      </c>
      <c r="FP13" s="3">
        <v>0.06</v>
      </c>
      <c r="FQ13" s="3">
        <v>0.76</v>
      </c>
      <c r="FR13" s="3">
        <v>0.9</v>
      </c>
      <c r="FS13" s="3">
        <v>0.47</v>
      </c>
      <c r="FT13" s="3">
        <v>0.62</v>
      </c>
      <c r="FU13" s="3">
        <v>0.68</v>
      </c>
      <c r="FV13" s="3">
        <v>0.56000000000000005</v>
      </c>
      <c r="FW13" s="3">
        <v>0.41</v>
      </c>
      <c r="FX13" s="3">
        <v>0.23</v>
      </c>
      <c r="FY13" s="3">
        <f t="shared" si="12"/>
        <v>4.7900000000000009</v>
      </c>
      <c r="FZ13" s="3">
        <v>0.18</v>
      </c>
      <c r="GA13" s="3">
        <v>0.19</v>
      </c>
      <c r="GB13" s="3">
        <v>0.18</v>
      </c>
      <c r="GC13" s="3">
        <v>0.18</v>
      </c>
      <c r="GD13" s="3">
        <v>0.64</v>
      </c>
      <c r="GE13" s="3">
        <v>0.33</v>
      </c>
      <c r="GF13" s="3">
        <v>0.41</v>
      </c>
      <c r="GG13" s="3">
        <v>0.28999999999999998</v>
      </c>
      <c r="GH13" s="3">
        <v>0.23</v>
      </c>
      <c r="GI13" s="3">
        <v>0.22</v>
      </c>
      <c r="GJ13" s="3">
        <v>0.18</v>
      </c>
      <c r="GK13" s="3">
        <v>0.19</v>
      </c>
      <c r="GL13" s="3">
        <v>0.17</v>
      </c>
      <c r="GM13" s="3">
        <v>0.17</v>
      </c>
      <c r="GN13" s="3">
        <v>0.18</v>
      </c>
      <c r="GO13" s="3">
        <v>0.18</v>
      </c>
      <c r="GP13" s="3">
        <v>0.76</v>
      </c>
      <c r="GQ13" s="3">
        <v>0.89</v>
      </c>
      <c r="GR13" s="3">
        <v>0.47</v>
      </c>
      <c r="GS13" s="3">
        <v>0.62</v>
      </c>
      <c r="GT13" s="3">
        <v>0.69</v>
      </c>
      <c r="GU13" s="3">
        <v>0.55000000000000004</v>
      </c>
      <c r="GV13" s="3">
        <v>0.42</v>
      </c>
      <c r="GW13" s="3">
        <v>0.23</v>
      </c>
      <c r="GX13" s="3">
        <f t="shared" si="13"/>
        <v>8.5500000000000007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222</v>
      </c>
      <c r="C14" s="6" t="str">
        <f>TEXT(VLOOKUP(LEFT(B14,FIND("月",B14)),基本シート!$E$6:$F$17,2,FALSE)&amp;B14,"aaaa")</f>
        <v>火曜日</v>
      </c>
      <c r="D14" s="6"/>
      <c r="E14" s="6" t="str">
        <f t="shared" si="9"/>
        <v/>
      </c>
      <c r="F14" s="6" t="s">
        <v>296</v>
      </c>
      <c r="G14" s="6" t="s">
        <v>296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0.04</v>
      </c>
      <c r="M14" s="3">
        <f>IF($E14="〇",L14*基本シート!$E$2,L14*VLOOKUP(LEFT(M$6,FIND("(",M$6)-1),基本シート!$B$6:$C$29,2,FALSE))</f>
        <v>1.1943999999999999</v>
      </c>
      <c r="N14" s="3">
        <v>0.22</v>
      </c>
      <c r="O14" s="3">
        <f>IF($E14="〇",N14*基本シート!$E$2,N14*VLOOKUP(LEFT(O$6,FIND("(",O$6)-1),基本シート!$B$6:$C$29,2,FALSE))</f>
        <v>6.5691999999999995</v>
      </c>
      <c r="P14" s="3">
        <v>0.42</v>
      </c>
      <c r="Q14" s="3">
        <f>IF($E14="〇",P14*基本シート!$E$2,P14*VLOOKUP(LEFT(Q$6,FIND("(",Q$6)-1),基本シート!$B$6:$C$29,2,FALSE))</f>
        <v>12.5412</v>
      </c>
      <c r="R14" s="3">
        <v>0.25</v>
      </c>
      <c r="S14" s="3">
        <f>IF($E14="〇",R14*基本シート!$E$2,R14*VLOOKUP(LEFT(S$6,FIND("(",S$6)-1),基本シート!$B$6:$C$29,2,FALSE))</f>
        <v>7.4649999999999999</v>
      </c>
      <c r="T14" s="3">
        <v>0.14000000000000001</v>
      </c>
      <c r="U14" s="3">
        <f>IF($E14="〇",T14*基本シート!$E$2,T14*VLOOKUP(LEFT(U$6,FIND("(",U$6)-1),基本シート!$B$6:$C$29,2,FALSE))</f>
        <v>4.1804000000000006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0.02</v>
      </c>
      <c r="BA14" s="3">
        <f>IF($E14="〇",AZ14*基本シート!$E$2,AZ14*VLOOKUP(LEFT(BA$6,FIND("(",BA$6)-1),基本シート!$B$6:$C$29,2,FALSE))</f>
        <v>0.59719999999999995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1.1199999999999999</v>
      </c>
      <c r="BE14" s="3">
        <f t="shared" si="8"/>
        <v>34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0.15</v>
      </c>
      <c r="BM14" s="3">
        <v>1.6</v>
      </c>
      <c r="BN14" s="3">
        <v>2.04</v>
      </c>
      <c r="BO14" s="3">
        <v>2.58</v>
      </c>
      <c r="BP14" s="3">
        <v>2.85</v>
      </c>
      <c r="BQ14" s="3">
        <v>3.35</v>
      </c>
      <c r="BR14" s="3">
        <v>2.27</v>
      </c>
      <c r="BS14" s="3">
        <v>2.36</v>
      </c>
      <c r="BT14" s="3">
        <v>1.33</v>
      </c>
      <c r="BU14" s="3">
        <v>0.7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0.01</v>
      </c>
      <c r="CW14" s="3">
        <f>CV14*基本シート!$C$3</f>
        <v>0.16</v>
      </c>
      <c r="CX14" s="3">
        <v>1.27</v>
      </c>
      <c r="CY14" s="3">
        <f>CX14*基本シート!$C$3</f>
        <v>20.32</v>
      </c>
      <c r="CZ14" s="3">
        <v>3.14</v>
      </c>
      <c r="DA14" s="3">
        <f>CZ14*基本シート!$C$3</f>
        <v>50.24</v>
      </c>
      <c r="DB14" s="3">
        <v>2.09</v>
      </c>
      <c r="DC14" s="3">
        <f>DB14*基本シート!$C$3</f>
        <v>33.44</v>
      </c>
      <c r="DD14" s="3">
        <v>2.1800000000000002</v>
      </c>
      <c r="DE14" s="3">
        <f>DD14*基本シート!$C$3</f>
        <v>34.880000000000003</v>
      </c>
      <c r="DF14" s="3">
        <v>1.1599999999999999</v>
      </c>
      <c r="DG14" s="3">
        <f>DF14*基本シート!$C$3</f>
        <v>18.559999999999999</v>
      </c>
      <c r="DH14" s="3">
        <v>0.54</v>
      </c>
      <c r="DI14" s="3">
        <f>DH14*基本シート!$C$3</f>
        <v>8.64</v>
      </c>
      <c r="DJ14" s="3">
        <v>0.1</v>
      </c>
      <c r="DK14" s="3">
        <f>DJ14*基本シート!$C$3</f>
        <v>1.6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0"/>
        <v>10.58</v>
      </c>
      <c r="EA14" s="3">
        <f>ROUND(DZ14*基本シート!$C$3,0)</f>
        <v>169</v>
      </c>
      <c r="EB14" s="3">
        <v>0</v>
      </c>
      <c r="EC14" s="3">
        <v>0</v>
      </c>
      <c r="ED14" s="3">
        <v>0</v>
      </c>
      <c r="EE14" s="3">
        <v>0.02</v>
      </c>
      <c r="EF14" s="3">
        <v>0.03</v>
      </c>
      <c r="EG14" s="3">
        <v>0.02</v>
      </c>
      <c r="EH14" s="3">
        <v>0.02</v>
      </c>
      <c r="EI14" s="3">
        <v>1.35</v>
      </c>
      <c r="EJ14" s="3">
        <v>1.75</v>
      </c>
      <c r="EK14" s="3">
        <v>2.31</v>
      </c>
      <c r="EL14" s="3">
        <v>1.35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6.8599999999999994</v>
      </c>
      <c r="FA14" s="3">
        <v>0.23</v>
      </c>
      <c r="FB14" s="3">
        <v>0.23</v>
      </c>
      <c r="FC14" s="3">
        <v>0.15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0.81</v>
      </c>
      <c r="FR14" s="3">
        <v>1.85</v>
      </c>
      <c r="FS14" s="3">
        <v>0.57999999999999996</v>
      </c>
      <c r="FT14" s="3">
        <v>0.25</v>
      </c>
      <c r="FU14" s="3">
        <v>0.54</v>
      </c>
      <c r="FV14" s="3">
        <v>0.52</v>
      </c>
      <c r="FW14" s="3">
        <v>0.35</v>
      </c>
      <c r="FX14" s="3">
        <v>0.2</v>
      </c>
      <c r="FY14" s="3">
        <f t="shared" si="12"/>
        <v>5.72</v>
      </c>
      <c r="FZ14" s="3">
        <v>0.22</v>
      </c>
      <c r="GA14" s="3">
        <v>0.22</v>
      </c>
      <c r="GB14" s="3">
        <v>0.19</v>
      </c>
      <c r="GC14" s="3">
        <v>0.2</v>
      </c>
      <c r="GD14" s="3">
        <v>0.39</v>
      </c>
      <c r="GE14" s="3">
        <v>0.23</v>
      </c>
      <c r="GF14" s="3">
        <v>0.27</v>
      </c>
      <c r="GG14" s="3">
        <v>0.24</v>
      </c>
      <c r="GH14" s="3">
        <v>0.28999999999999998</v>
      </c>
      <c r="GI14" s="3">
        <v>0.26</v>
      </c>
      <c r="GJ14" s="3">
        <v>0.23</v>
      </c>
      <c r="GK14" s="3">
        <v>0.21</v>
      </c>
      <c r="GL14" s="3">
        <v>0.18</v>
      </c>
      <c r="GM14" s="3">
        <v>0.18</v>
      </c>
      <c r="GN14" s="3">
        <v>0.16</v>
      </c>
      <c r="GO14" s="3">
        <v>0.17</v>
      </c>
      <c r="GP14" s="3">
        <v>0.94</v>
      </c>
      <c r="GQ14" s="3">
        <v>1.85</v>
      </c>
      <c r="GR14" s="3">
        <v>0.57999999999999996</v>
      </c>
      <c r="GS14" s="3">
        <v>0.24</v>
      </c>
      <c r="GT14" s="3">
        <v>0.54</v>
      </c>
      <c r="GU14" s="3">
        <v>0.52</v>
      </c>
      <c r="GV14" s="3">
        <v>0.36</v>
      </c>
      <c r="GW14" s="3">
        <v>0.19</v>
      </c>
      <c r="GX14" s="3">
        <f t="shared" si="13"/>
        <v>8.86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223</v>
      </c>
      <c r="C15" s="6" t="str">
        <f>TEXT(VLOOKUP(LEFT(B15,FIND("月",B15)),基本シート!$E$6:$F$17,2,FALSE)&amp;B15,"aaaa")</f>
        <v>水曜日</v>
      </c>
      <c r="D15" s="6"/>
      <c r="E15" s="6" t="str">
        <f t="shared" si="9"/>
        <v/>
      </c>
      <c r="F15" s="6" t="s">
        <v>296</v>
      </c>
      <c r="G15" s="6" t="s">
        <v>298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0.03</v>
      </c>
      <c r="K15" s="3">
        <f>IF($E15="〇",J15*基本シート!$E$2,J15*VLOOKUP(LEFT(K$6,FIND("(",K$6)-1),基本シート!$B$6:$C$29,2,FALSE))</f>
        <v>0.89579999999999993</v>
      </c>
      <c r="L15" s="3">
        <v>0.22</v>
      </c>
      <c r="M15" s="3">
        <f>IF($E15="〇",L15*基本シート!$E$2,L15*VLOOKUP(LEFT(M$6,FIND("(",M$6)-1),基本シート!$B$6:$C$29,2,FALSE))</f>
        <v>6.5691999999999995</v>
      </c>
      <c r="N15" s="3">
        <v>0.27</v>
      </c>
      <c r="O15" s="3">
        <f>IF($E15="〇",N15*基本シート!$E$2,N15*VLOOKUP(LEFT(O$6,FIND("(",O$6)-1),基本シート!$B$6:$C$29,2,FALSE))</f>
        <v>8.0622000000000007</v>
      </c>
      <c r="P15" s="3">
        <v>0.4</v>
      </c>
      <c r="Q15" s="3">
        <f>IF($E15="〇",P15*基本シート!$E$2,P15*VLOOKUP(LEFT(Q$6,FIND("(",Q$6)-1),基本シート!$B$6:$C$29,2,FALSE))</f>
        <v>11.944000000000001</v>
      </c>
      <c r="R15" s="3">
        <v>0.88</v>
      </c>
      <c r="S15" s="3">
        <f>IF($E15="〇",R15*基本シート!$E$2,R15*VLOOKUP(LEFT(S$6,FIND("(",S$6)-1),基本シート!$B$6:$C$29,2,FALSE))</f>
        <v>26.276799999999998</v>
      </c>
      <c r="T15" s="3">
        <v>0.15</v>
      </c>
      <c r="U15" s="3">
        <f>IF($E15="〇",T15*基本シート!$E$2,T15*VLOOKUP(LEFT(U$6,FIND("(",U$6)-1),基本シート!$B$6:$C$29,2,FALSE))</f>
        <v>4.4790000000000001</v>
      </c>
      <c r="V15" s="3">
        <v>0.01</v>
      </c>
      <c r="W15" s="3">
        <f>IF($E15="〇",V15*基本シート!$E$2,V15*VLOOKUP(LEFT(W$6,FIND("(",W$6)-1),基本シート!$B$6:$C$29,2,FALSE))</f>
        <v>0.36859999999999998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0.02</v>
      </c>
      <c r="AS15" s="3">
        <f>IF($E15="〇",AR15*基本シート!$E$2,AR15*VLOOKUP(LEFT(AS$6,FIND("(",AS$6)-1),基本シート!$B$6:$C$29,2,FALSE))</f>
        <v>0.73719999999999997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0.02</v>
      </c>
      <c r="BA15" s="3">
        <f>IF($E15="〇",AZ15*基本シート!$E$2,AZ15*VLOOKUP(LEFT(BA$6,FIND("(",BA$6)-1),基本シート!$B$6:$C$29,2,FALSE))</f>
        <v>0.59719999999999995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2.02</v>
      </c>
      <c r="BE15" s="3">
        <f t="shared" si="8"/>
        <v>61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0.24</v>
      </c>
      <c r="BM15" s="3">
        <v>0.86</v>
      </c>
      <c r="BN15" s="3">
        <v>1.63</v>
      </c>
      <c r="BO15" s="3">
        <v>1.49</v>
      </c>
      <c r="BP15" s="3">
        <v>1.78</v>
      </c>
      <c r="BQ15" s="3">
        <v>2.4300000000000002</v>
      </c>
      <c r="BR15" s="3">
        <v>2.0699999999999998</v>
      </c>
      <c r="BS15" s="3">
        <v>2.14</v>
      </c>
      <c r="BT15" s="3">
        <v>1.55</v>
      </c>
      <c r="BU15" s="3">
        <v>0.82</v>
      </c>
      <c r="BV15" s="3">
        <v>0.13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0.46</v>
      </c>
      <c r="DA15" s="3">
        <f>CZ15*基本シート!$C$3</f>
        <v>7.36</v>
      </c>
      <c r="DB15" s="3">
        <v>1.89</v>
      </c>
      <c r="DC15" s="3">
        <f>DB15*基本シート!$C$3</f>
        <v>30.24</v>
      </c>
      <c r="DD15" s="3">
        <v>1.96</v>
      </c>
      <c r="DE15" s="3">
        <f>DD15*基本シート!$C$3</f>
        <v>31.36</v>
      </c>
      <c r="DF15" s="3">
        <v>1.38</v>
      </c>
      <c r="DG15" s="3">
        <f>DF15*基本シート!$C$3</f>
        <v>22.08</v>
      </c>
      <c r="DH15" s="3">
        <v>0.65</v>
      </c>
      <c r="DI15" s="3">
        <f>DH15*基本シート!$C$3</f>
        <v>10.4</v>
      </c>
      <c r="DJ15" s="3">
        <v>0.02</v>
      </c>
      <c r="DK15" s="3">
        <f>DJ15*基本シート!$C$3</f>
        <v>0.32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0"/>
        <v>6.4399999999999986</v>
      </c>
      <c r="EA15" s="3">
        <f>ROUND(DZ15*基本シート!$C$3,0)</f>
        <v>103</v>
      </c>
      <c r="EB15" s="3">
        <v>0</v>
      </c>
      <c r="EC15" s="3">
        <v>0</v>
      </c>
      <c r="ED15" s="3">
        <v>0.03</v>
      </c>
      <c r="EE15" s="3">
        <v>0.03</v>
      </c>
      <c r="EF15" s="3">
        <v>0.04</v>
      </c>
      <c r="EG15" s="3">
        <v>0.04</v>
      </c>
      <c r="EH15" s="3">
        <v>0.04</v>
      </c>
      <c r="EI15" s="3">
        <v>0.62</v>
      </c>
      <c r="EJ15" s="3">
        <v>1.44</v>
      </c>
      <c r="EK15" s="3">
        <v>1.31</v>
      </c>
      <c r="EL15" s="3">
        <v>1.59</v>
      </c>
      <c r="EM15" s="3">
        <v>1.79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6.9300000000000006</v>
      </c>
      <c r="FA15" s="3">
        <v>0.19</v>
      </c>
      <c r="FB15" s="3">
        <v>0.15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0.01</v>
      </c>
      <c r="FP15" s="3">
        <v>0.01</v>
      </c>
      <c r="FQ15" s="3">
        <v>0.66</v>
      </c>
      <c r="FR15" s="3">
        <v>1.31</v>
      </c>
      <c r="FS15" s="3">
        <v>0.28999999999999998</v>
      </c>
      <c r="FT15" s="3">
        <v>0.31</v>
      </c>
      <c r="FU15" s="3">
        <v>0.68</v>
      </c>
      <c r="FV15" s="3">
        <v>0.68</v>
      </c>
      <c r="FW15" s="3">
        <v>0.37</v>
      </c>
      <c r="FX15" s="3">
        <v>0.22</v>
      </c>
      <c r="FY15" s="3">
        <f t="shared" si="12"/>
        <v>4.88</v>
      </c>
      <c r="FZ15" s="3">
        <v>0.19</v>
      </c>
      <c r="GA15" s="3">
        <v>0.18</v>
      </c>
      <c r="GB15" s="3">
        <v>0.19</v>
      </c>
      <c r="GC15" s="3">
        <v>0.24</v>
      </c>
      <c r="GD15" s="3">
        <v>0.36</v>
      </c>
      <c r="GE15" s="3">
        <v>0.84</v>
      </c>
      <c r="GF15" s="3">
        <v>0.35</v>
      </c>
      <c r="GG15" s="3">
        <v>0.24</v>
      </c>
      <c r="GH15" s="3">
        <v>0.19</v>
      </c>
      <c r="GI15" s="3">
        <v>0.18</v>
      </c>
      <c r="GJ15" s="3">
        <v>0.18</v>
      </c>
      <c r="GK15" s="3">
        <v>0.18</v>
      </c>
      <c r="GL15" s="3">
        <v>0.18</v>
      </c>
      <c r="GM15" s="3">
        <v>0.18</v>
      </c>
      <c r="GN15" s="3">
        <v>0.18</v>
      </c>
      <c r="GO15" s="3">
        <v>0.18</v>
      </c>
      <c r="GP15" s="3">
        <v>0.77</v>
      </c>
      <c r="GQ15" s="3">
        <v>1.31</v>
      </c>
      <c r="GR15" s="3">
        <v>0.3</v>
      </c>
      <c r="GS15" s="3">
        <v>0.3</v>
      </c>
      <c r="GT15" s="3">
        <v>0.67</v>
      </c>
      <c r="GU15" s="3">
        <v>0.68</v>
      </c>
      <c r="GV15" s="3">
        <v>0.38</v>
      </c>
      <c r="GW15" s="3">
        <v>0.22</v>
      </c>
      <c r="GX15" s="3">
        <f t="shared" si="13"/>
        <v>8.6700000000000017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224</v>
      </c>
      <c r="C16" s="6" t="str">
        <f>TEXT(VLOOKUP(LEFT(B16,FIND("月",B16)),基本シート!$E$6:$F$17,2,FALSE)&amp;B16,"aaaa")</f>
        <v>木曜日</v>
      </c>
      <c r="D16" s="6"/>
      <c r="E16" s="6" t="str">
        <f t="shared" si="9"/>
        <v/>
      </c>
      <c r="F16" s="6" t="s">
        <v>296</v>
      </c>
      <c r="G16" s="6" t="s">
        <v>296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0.39</v>
      </c>
      <c r="Q16" s="3">
        <f>IF($E16="〇",P16*基本シート!$E$2,P16*VLOOKUP(LEFT(Q$6,FIND("(",Q$6)-1),基本シート!$B$6:$C$29,2,FALSE))</f>
        <v>11.6454</v>
      </c>
      <c r="R16" s="3">
        <v>0.3</v>
      </c>
      <c r="S16" s="3">
        <f>IF($E16="〇",R16*基本シート!$E$2,R16*VLOOKUP(LEFT(S$6,FIND("(",S$6)-1),基本シート!$B$6:$C$29,2,FALSE))</f>
        <v>8.9580000000000002</v>
      </c>
      <c r="T16" s="3">
        <v>0.06</v>
      </c>
      <c r="U16" s="3">
        <f>IF($E16="〇",T16*基本シート!$E$2,T16*VLOOKUP(LEFT(U$6,FIND("(",U$6)-1),基本シート!$B$6:$C$29,2,FALSE))</f>
        <v>1.7915999999999999</v>
      </c>
      <c r="V16" s="3">
        <v>0.01</v>
      </c>
      <c r="W16" s="3">
        <f>IF($E16="〇",V16*基本シート!$E$2,V16*VLOOKUP(LEFT(W$6,FIND("(",W$6)-1),基本シート!$B$6:$C$29,2,FALSE))</f>
        <v>0.36859999999999998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0.01</v>
      </c>
      <c r="AU16" s="3">
        <f>IF($E16="〇",AT16*基本シート!$E$2,AT16*VLOOKUP(LEFT(AU$6,FIND("(",AU$6)-1),基本シート!$B$6:$C$29,2,FALSE))</f>
        <v>0.36859999999999998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0.59719999999999995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</v>
      </c>
      <c r="BE16" s="3">
        <f t="shared" si="8"/>
        <v>24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0.33</v>
      </c>
      <c r="BM16" s="3">
        <v>2.06</v>
      </c>
      <c r="BN16" s="3">
        <v>2.63</v>
      </c>
      <c r="BO16" s="3">
        <v>6.07</v>
      </c>
      <c r="BP16" s="3">
        <v>3.63</v>
      </c>
      <c r="BQ16" s="3">
        <v>3.59</v>
      </c>
      <c r="BR16" s="3">
        <v>4.58</v>
      </c>
      <c r="BS16" s="3">
        <v>2.87</v>
      </c>
      <c r="BT16" s="3">
        <v>1.83</v>
      </c>
      <c r="BU16" s="3">
        <v>1.18</v>
      </c>
      <c r="BV16" s="3">
        <v>0.67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0.01</v>
      </c>
      <c r="CI16" s="3">
        <f>CH16*基本シート!$C$3</f>
        <v>0.16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0.06</v>
      </c>
      <c r="CU16" s="3">
        <f>CT16*基本シート!$C$3</f>
        <v>0.96</v>
      </c>
      <c r="CV16" s="3">
        <v>3.32</v>
      </c>
      <c r="CW16" s="3">
        <f>CV16*基本シート!$C$3</f>
        <v>53.12</v>
      </c>
      <c r="CX16" s="3">
        <v>3.45</v>
      </c>
      <c r="CY16" s="3">
        <f>CX16*基本シート!$C$3</f>
        <v>55.2</v>
      </c>
      <c r="CZ16" s="3">
        <v>3.41</v>
      </c>
      <c r="DA16" s="3">
        <f>CZ16*基本シート!$C$3</f>
        <v>54.56</v>
      </c>
      <c r="DB16" s="3">
        <v>4.4000000000000004</v>
      </c>
      <c r="DC16" s="3">
        <f>DB16*基本シート!$C$3</f>
        <v>70.400000000000006</v>
      </c>
      <c r="DD16" s="3">
        <v>2.7</v>
      </c>
      <c r="DE16" s="3">
        <f>DD16*基本シート!$C$3</f>
        <v>43.2</v>
      </c>
      <c r="DF16" s="3">
        <v>1.66</v>
      </c>
      <c r="DG16" s="3">
        <f>DF16*基本シート!$C$3</f>
        <v>26.56</v>
      </c>
      <c r="DH16" s="3">
        <v>1</v>
      </c>
      <c r="DI16" s="3">
        <f>DH16*基本シート!$C$3</f>
        <v>16</v>
      </c>
      <c r="DJ16" s="3">
        <v>0.51</v>
      </c>
      <c r="DK16" s="3">
        <f>DJ16*基本シート!$C$3</f>
        <v>8.16</v>
      </c>
      <c r="DL16" s="3">
        <v>0</v>
      </c>
      <c r="DM16" s="3">
        <f>DL16*基本シート!$C$3</f>
        <v>0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0"/>
        <v>20.580000000000009</v>
      </c>
      <c r="EA16" s="3">
        <f>ROUND(DZ16*基本シート!$C$3,0)</f>
        <v>329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0.01</v>
      </c>
      <c r="EH16" s="3">
        <v>0.13</v>
      </c>
      <c r="EI16" s="3">
        <v>1.8</v>
      </c>
      <c r="EJ16" s="3">
        <v>2.36</v>
      </c>
      <c r="EK16" s="3">
        <v>2.56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1"/>
        <v>6.8800000000000008</v>
      </c>
      <c r="FA16" s="3">
        <v>0.2</v>
      </c>
      <c r="FB16" s="3">
        <v>0.18</v>
      </c>
      <c r="FC16" s="3">
        <v>0.21</v>
      </c>
      <c r="FD16" s="3">
        <v>0.19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</v>
      </c>
      <c r="FO16" s="3">
        <v>0.01</v>
      </c>
      <c r="FP16" s="3">
        <v>0</v>
      </c>
      <c r="FQ16" s="3">
        <v>0.63</v>
      </c>
      <c r="FR16" s="3">
        <v>1.62</v>
      </c>
      <c r="FS16" s="3">
        <v>0.55000000000000004</v>
      </c>
      <c r="FT16" s="3">
        <v>0.67</v>
      </c>
      <c r="FU16" s="3">
        <v>0.67</v>
      </c>
      <c r="FV16" s="3">
        <v>0.62</v>
      </c>
      <c r="FW16" s="3">
        <v>0.44</v>
      </c>
      <c r="FX16" s="3">
        <v>0.27</v>
      </c>
      <c r="FY16" s="3">
        <f t="shared" si="12"/>
        <v>6.2700000000000014</v>
      </c>
      <c r="FZ16" s="3">
        <v>0.2</v>
      </c>
      <c r="GA16" s="3">
        <v>0.18</v>
      </c>
      <c r="GB16" s="3">
        <v>0.2</v>
      </c>
      <c r="GC16" s="3">
        <v>0.19</v>
      </c>
      <c r="GD16" s="3">
        <v>0.37</v>
      </c>
      <c r="GE16" s="3">
        <v>0.28999999999999998</v>
      </c>
      <c r="GF16" s="3">
        <v>0.26</v>
      </c>
      <c r="GG16" s="3">
        <v>0.26</v>
      </c>
      <c r="GH16" s="3">
        <v>0.21</v>
      </c>
      <c r="GI16" s="3">
        <v>0.19</v>
      </c>
      <c r="GJ16" s="3">
        <v>0.18</v>
      </c>
      <c r="GK16" s="3">
        <v>0.19</v>
      </c>
      <c r="GL16" s="3">
        <v>0.18</v>
      </c>
      <c r="GM16" s="3">
        <v>0.17</v>
      </c>
      <c r="GN16" s="3">
        <v>0.18</v>
      </c>
      <c r="GO16" s="3">
        <v>0.18</v>
      </c>
      <c r="GP16" s="3">
        <v>0.79</v>
      </c>
      <c r="GQ16" s="3">
        <v>1.62</v>
      </c>
      <c r="GR16" s="3">
        <v>0.55000000000000004</v>
      </c>
      <c r="GS16" s="3">
        <v>0.67</v>
      </c>
      <c r="GT16" s="3">
        <v>0.67</v>
      </c>
      <c r="GU16" s="3">
        <v>0.61</v>
      </c>
      <c r="GV16" s="3">
        <v>0.45</v>
      </c>
      <c r="GW16" s="3">
        <v>0.26</v>
      </c>
      <c r="GX16" s="3">
        <f t="shared" si="13"/>
        <v>9.0499999999999989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225</v>
      </c>
      <c r="C17" s="6" t="str">
        <f>TEXT(VLOOKUP(LEFT(B17,FIND("月",B17)),基本シート!$E$6:$F$17,2,FALSE)&amp;B17,"aaaa")</f>
        <v>金曜日</v>
      </c>
      <c r="D17" s="6"/>
      <c r="E17" s="6" t="str">
        <f t="shared" si="9"/>
        <v/>
      </c>
      <c r="F17" s="6" t="s">
        <v>298</v>
      </c>
      <c r="G17" s="6" t="s">
        <v>298</v>
      </c>
      <c r="H17" s="3">
        <v>0.2</v>
      </c>
      <c r="I17" s="3">
        <f>IF($E17="〇",H17*基本シート!$E$2,H17*VLOOKUP(LEFT(I$6,FIND("(",I$6)-1),基本シート!$B$6:$C$29,2,FALSE))</f>
        <v>5.9720000000000004</v>
      </c>
      <c r="J17" s="3">
        <v>0.24</v>
      </c>
      <c r="K17" s="3">
        <f>IF($E17="〇",J17*基本シート!$E$2,J17*VLOOKUP(LEFT(K$6,FIND("(",K$6)-1),基本シート!$B$6:$C$29,2,FALSE))</f>
        <v>7.1663999999999994</v>
      </c>
      <c r="L17" s="3">
        <v>0.22</v>
      </c>
      <c r="M17" s="3">
        <f>IF($E17="〇",L17*基本シート!$E$2,L17*VLOOKUP(LEFT(M$6,FIND("(",M$6)-1),基本シート!$B$6:$C$29,2,FALSE))</f>
        <v>6.5691999999999995</v>
      </c>
      <c r="N17" s="3">
        <v>0.23</v>
      </c>
      <c r="O17" s="3">
        <f>IF($E17="〇",N17*基本シート!$E$2,N17*VLOOKUP(LEFT(O$6,FIND("(",O$6)-1),基本シート!$B$6:$C$29,2,FALSE))</f>
        <v>6.8677999999999999</v>
      </c>
      <c r="P17" s="3">
        <v>0.46</v>
      </c>
      <c r="Q17" s="3">
        <f>IF($E17="〇",P17*基本シート!$E$2,P17*VLOOKUP(LEFT(Q$6,FIND("(",Q$6)-1),基本シート!$B$6:$C$29,2,FALSE))</f>
        <v>13.7356</v>
      </c>
      <c r="R17" s="3">
        <v>0.48</v>
      </c>
      <c r="S17" s="3">
        <f>IF($E17="〇",R17*基本シート!$E$2,R17*VLOOKUP(LEFT(S$6,FIND("(",S$6)-1),基本シート!$B$6:$C$29,2,FALSE))</f>
        <v>14.332799999999999</v>
      </c>
      <c r="T17" s="3">
        <v>0.05</v>
      </c>
      <c r="U17" s="3">
        <f>IF($E17="〇",T17*基本シート!$E$2,T17*VLOOKUP(LEFT(U$6,FIND("(",U$6)-1),基本シート!$B$6:$C$29,2,FALSE))</f>
        <v>1.4930000000000001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0.36859999999999998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1.8900000000000001</v>
      </c>
      <c r="BE17" s="3">
        <f t="shared" si="8"/>
        <v>57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0.61</v>
      </c>
      <c r="BM17" s="3">
        <v>1.47</v>
      </c>
      <c r="BN17" s="3">
        <v>4.62</v>
      </c>
      <c r="BO17" s="3">
        <v>6.31</v>
      </c>
      <c r="BP17" s="3">
        <v>5.68</v>
      </c>
      <c r="BQ17" s="3">
        <v>7.33</v>
      </c>
      <c r="BR17" s="3">
        <v>4.21</v>
      </c>
      <c r="BS17" s="3">
        <v>2.98</v>
      </c>
      <c r="BT17" s="3">
        <v>0.93</v>
      </c>
      <c r="BU17" s="3">
        <v>0.39</v>
      </c>
      <c r="BV17" s="3">
        <v>0.08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0.19</v>
      </c>
      <c r="CU17" s="3">
        <f>CT17*基本シート!$C$3</f>
        <v>3.04</v>
      </c>
      <c r="CV17" s="3">
        <v>5</v>
      </c>
      <c r="CW17" s="3">
        <f>CV17*基本シート!$C$3</f>
        <v>80</v>
      </c>
      <c r="CX17" s="3">
        <v>5.46</v>
      </c>
      <c r="CY17" s="3">
        <f>CX17*基本シート!$C$3</f>
        <v>87.36</v>
      </c>
      <c r="CZ17" s="3">
        <v>7.12</v>
      </c>
      <c r="DA17" s="3">
        <f>CZ17*基本シート!$C$3</f>
        <v>113.92</v>
      </c>
      <c r="DB17" s="3">
        <v>4.0199999999999996</v>
      </c>
      <c r="DC17" s="3">
        <f>DB17*基本シート!$C$3</f>
        <v>64.319999999999993</v>
      </c>
      <c r="DD17" s="3">
        <v>2.82</v>
      </c>
      <c r="DE17" s="3">
        <f>DD17*基本シート!$C$3</f>
        <v>45.12</v>
      </c>
      <c r="DF17" s="3">
        <v>0.75</v>
      </c>
      <c r="DG17" s="3">
        <f>DF17*基本シート!$C$3</f>
        <v>12</v>
      </c>
      <c r="DH17" s="3">
        <v>0.21</v>
      </c>
      <c r="DI17" s="3">
        <f>DH17*基本シート!$C$3</f>
        <v>3.36</v>
      </c>
      <c r="DJ17" s="3">
        <v>0.02</v>
      </c>
      <c r="DK17" s="3">
        <f>DJ17*基本シート!$C$3</f>
        <v>0.32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0"/>
        <v>25.650000000000009</v>
      </c>
      <c r="EA17" s="3">
        <f>ROUND(DZ17*基本シート!$C$3,0)</f>
        <v>410</v>
      </c>
      <c r="EB17" s="3">
        <v>0</v>
      </c>
      <c r="EC17" s="3">
        <v>0.03</v>
      </c>
      <c r="ED17" s="3">
        <v>0.02</v>
      </c>
      <c r="EE17" s="3">
        <v>0.02</v>
      </c>
      <c r="EF17" s="3">
        <v>0.03</v>
      </c>
      <c r="EG17" s="3">
        <v>0.01</v>
      </c>
      <c r="EH17" s="3">
        <v>0.38</v>
      </c>
      <c r="EI17" s="3">
        <v>1.25</v>
      </c>
      <c r="EJ17" s="3">
        <v>4.24</v>
      </c>
      <c r="EK17" s="3">
        <v>1.07</v>
      </c>
      <c r="EL17" s="3">
        <v>0</v>
      </c>
      <c r="EM17" s="3">
        <v>0.01</v>
      </c>
      <c r="EN17" s="3">
        <v>0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7.07</v>
      </c>
      <c r="FA17" s="3">
        <v>0.02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0.01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0.75</v>
      </c>
      <c r="FR17" s="3">
        <v>1.52</v>
      </c>
      <c r="FS17" s="3">
        <v>0.18</v>
      </c>
      <c r="FT17" s="3">
        <v>0.28999999999999998</v>
      </c>
      <c r="FU17" s="3">
        <v>0.24</v>
      </c>
      <c r="FV17" s="3">
        <v>0.25</v>
      </c>
      <c r="FW17" s="3">
        <v>0.24</v>
      </c>
      <c r="FX17" s="3">
        <v>0.22</v>
      </c>
      <c r="FY17" s="3">
        <f t="shared" si="12"/>
        <v>3.7300000000000009</v>
      </c>
      <c r="FZ17" s="3">
        <v>0.22</v>
      </c>
      <c r="GA17" s="3">
        <v>0.21</v>
      </c>
      <c r="GB17" s="3">
        <v>0.2</v>
      </c>
      <c r="GC17" s="3">
        <v>0.21</v>
      </c>
      <c r="GD17" s="3">
        <v>0.43</v>
      </c>
      <c r="GE17" s="3">
        <v>0.47</v>
      </c>
      <c r="GF17" s="3">
        <v>0.28000000000000003</v>
      </c>
      <c r="GG17" s="3">
        <v>0.22</v>
      </c>
      <c r="GH17" s="3">
        <v>0.19</v>
      </c>
      <c r="GI17" s="3">
        <v>0.24</v>
      </c>
      <c r="GJ17" s="3">
        <v>0.23</v>
      </c>
      <c r="GK17" s="3">
        <v>0.2</v>
      </c>
      <c r="GL17" s="3">
        <v>0.19</v>
      </c>
      <c r="GM17" s="3">
        <v>0.17</v>
      </c>
      <c r="GN17" s="3">
        <v>0.17</v>
      </c>
      <c r="GO17" s="3">
        <v>0.18</v>
      </c>
      <c r="GP17" s="3">
        <v>0.81</v>
      </c>
      <c r="GQ17" s="3">
        <v>1.52</v>
      </c>
      <c r="GR17" s="3">
        <v>0.17</v>
      </c>
      <c r="GS17" s="3">
        <v>0.28999999999999998</v>
      </c>
      <c r="GT17" s="3">
        <v>0.23</v>
      </c>
      <c r="GU17" s="3">
        <v>0.24</v>
      </c>
      <c r="GV17" s="3">
        <v>0.23</v>
      </c>
      <c r="GW17" s="3">
        <v>0.21</v>
      </c>
      <c r="GX17" s="3">
        <f t="shared" si="13"/>
        <v>7.5100000000000016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226</v>
      </c>
      <c r="C18" s="6" t="str">
        <f>TEXT(VLOOKUP(LEFT(B18,FIND("月",B18)),基本シート!$E$6:$F$17,2,FALSE)&amp;B18,"aaaa")</f>
        <v>土曜日</v>
      </c>
      <c r="D18" s="6"/>
      <c r="E18" s="6" t="str">
        <f t="shared" si="9"/>
        <v>〇</v>
      </c>
      <c r="F18" s="6" t="s">
        <v>298</v>
      </c>
      <c r="G18" s="6" t="s">
        <v>298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0.29859999999999998</v>
      </c>
      <c r="X18" s="3">
        <v>0.01</v>
      </c>
      <c r="Y18" s="3">
        <f>IF($E18="〇",X18*基本シート!$E$2,X18*VLOOKUP(LEFT(Y$6,FIND("(",Y$6)-1),基本シート!$B$6:$C$29,2,FALSE))</f>
        <v>0.29859999999999998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0.05</v>
      </c>
      <c r="AQ18" s="3">
        <f>IF($E18="〇",AP18*基本シート!$E$2,AP18*VLOOKUP(LEFT(AQ$6,FIND("(",AQ$6)-1),基本シート!$B$6:$C$29,2,FALSE))</f>
        <v>1.4930000000000001</v>
      </c>
      <c r="AR18" s="3">
        <v>0.11</v>
      </c>
      <c r="AS18" s="3">
        <f>IF($E18="〇",AR18*基本シート!$E$2,AR18*VLOOKUP(LEFT(AS$6,FIND("(",AS$6)-1),基本シート!$B$6:$C$29,2,FALSE))</f>
        <v>3.2845999999999997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0.18</v>
      </c>
      <c r="BE18" s="3">
        <f t="shared" si="8"/>
        <v>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0.42</v>
      </c>
      <c r="BM18" s="3">
        <v>2.79</v>
      </c>
      <c r="BN18" s="3">
        <v>5.28</v>
      </c>
      <c r="BO18" s="3">
        <v>6.4</v>
      </c>
      <c r="BP18" s="3">
        <v>7.05</v>
      </c>
      <c r="BQ18" s="3">
        <v>7.18</v>
      </c>
      <c r="BR18" s="3">
        <v>6.79</v>
      </c>
      <c r="BS18" s="3">
        <v>5.89</v>
      </c>
      <c r="BT18" s="3">
        <v>4.3899999999999997</v>
      </c>
      <c r="BU18" s="3">
        <v>2.34</v>
      </c>
      <c r="BV18" s="3">
        <v>0.41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0.85</v>
      </c>
      <c r="CU18" s="3">
        <f>CT18*基本シート!$C$3</f>
        <v>13.6</v>
      </c>
      <c r="CV18" s="3">
        <v>5.75</v>
      </c>
      <c r="CW18" s="3">
        <f>CV18*基本シート!$C$3</f>
        <v>92</v>
      </c>
      <c r="CX18" s="3">
        <v>6.53</v>
      </c>
      <c r="CY18" s="3">
        <f>CX18*基本シート!$C$3</f>
        <v>104.48</v>
      </c>
      <c r="CZ18" s="3">
        <v>6.94</v>
      </c>
      <c r="DA18" s="3">
        <f>CZ18*基本シート!$C$3</f>
        <v>111.04</v>
      </c>
      <c r="DB18" s="3">
        <v>6.58</v>
      </c>
      <c r="DC18" s="3">
        <f>DB18*基本シート!$C$3</f>
        <v>105.28</v>
      </c>
      <c r="DD18" s="3">
        <v>5.69</v>
      </c>
      <c r="DE18" s="3">
        <f>DD18*基本シート!$C$3</f>
        <v>91.04</v>
      </c>
      <c r="DF18" s="3">
        <v>4.2</v>
      </c>
      <c r="DG18" s="3">
        <f>DF18*基本シート!$C$3</f>
        <v>67.2</v>
      </c>
      <c r="DH18" s="3">
        <v>2.15</v>
      </c>
      <c r="DI18" s="3">
        <f>DH18*基本シート!$C$3</f>
        <v>34.4</v>
      </c>
      <c r="DJ18" s="3">
        <v>0.28000000000000003</v>
      </c>
      <c r="DK18" s="3">
        <f>DJ18*基本シート!$C$3</f>
        <v>4.4800000000000004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0"/>
        <v>39.059999999999995</v>
      </c>
      <c r="EA18" s="3">
        <f>ROUND(DZ18*基本シート!$C$3,0)</f>
        <v>625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0.17</v>
      </c>
      <c r="EI18" s="3">
        <v>2.4700000000000002</v>
      </c>
      <c r="EJ18" s="3">
        <v>3.91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6.5500000000000007</v>
      </c>
      <c r="FA18" s="3">
        <v>0.21</v>
      </c>
      <c r="FB18" s="3">
        <v>0.21</v>
      </c>
      <c r="FC18" s="3">
        <v>0.2</v>
      </c>
      <c r="FD18" s="3">
        <v>0.21</v>
      </c>
      <c r="FE18" s="3">
        <v>0.19</v>
      </c>
      <c r="FF18" s="3">
        <v>0.25</v>
      </c>
      <c r="FG18" s="3">
        <v>0</v>
      </c>
      <c r="FH18" s="3">
        <v>0</v>
      </c>
      <c r="FI18" s="3">
        <v>0</v>
      </c>
      <c r="FJ18" s="3">
        <v>0</v>
      </c>
      <c r="FK18" s="3">
        <v>0.01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0.63</v>
      </c>
      <c r="FR18" s="3">
        <v>1.8</v>
      </c>
      <c r="FS18" s="3">
        <v>0.62</v>
      </c>
      <c r="FT18" s="3">
        <v>0.28999999999999998</v>
      </c>
      <c r="FU18" s="3">
        <v>0.56000000000000005</v>
      </c>
      <c r="FV18" s="3">
        <v>0.24</v>
      </c>
      <c r="FW18" s="3">
        <v>0.23</v>
      </c>
      <c r="FX18" s="3">
        <v>0.21</v>
      </c>
      <c r="FY18" s="3">
        <f t="shared" si="12"/>
        <v>5.86</v>
      </c>
      <c r="FZ18" s="3">
        <v>0.2</v>
      </c>
      <c r="GA18" s="3">
        <v>0.2</v>
      </c>
      <c r="GB18" s="3">
        <v>0.19</v>
      </c>
      <c r="GC18" s="3">
        <v>0.2</v>
      </c>
      <c r="GD18" s="3">
        <v>0.19</v>
      </c>
      <c r="GE18" s="3">
        <v>0.25</v>
      </c>
      <c r="GF18" s="3">
        <v>0.24</v>
      </c>
      <c r="GG18" s="3">
        <v>0.32</v>
      </c>
      <c r="GH18" s="3">
        <v>0.53</v>
      </c>
      <c r="GI18" s="3">
        <v>0.65</v>
      </c>
      <c r="GJ18" s="3">
        <v>0.53</v>
      </c>
      <c r="GK18" s="3">
        <v>0.24</v>
      </c>
      <c r="GL18" s="3">
        <v>0.21</v>
      </c>
      <c r="GM18" s="3">
        <v>0.2</v>
      </c>
      <c r="GN18" s="3">
        <v>0.19</v>
      </c>
      <c r="GO18" s="3">
        <v>0.19</v>
      </c>
      <c r="GP18" s="3">
        <v>0.76</v>
      </c>
      <c r="GQ18" s="3">
        <v>1.84</v>
      </c>
      <c r="GR18" s="3">
        <v>0.72</v>
      </c>
      <c r="GS18" s="3">
        <v>0.28999999999999998</v>
      </c>
      <c r="GT18" s="3">
        <v>0.56000000000000005</v>
      </c>
      <c r="GU18" s="3">
        <v>0.24</v>
      </c>
      <c r="GV18" s="3">
        <v>0.22</v>
      </c>
      <c r="GW18" s="3">
        <v>0.21</v>
      </c>
      <c r="GX18" s="3">
        <f t="shared" si="13"/>
        <v>9.3700000000000028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227</v>
      </c>
      <c r="C19" s="6" t="str">
        <f>TEXT(VLOOKUP(LEFT(B19,FIND("月",B19)),基本シート!$E$6:$F$17,2,FALSE)&amp;B19,"aaaa")</f>
        <v>日曜日</v>
      </c>
      <c r="D19" s="6"/>
      <c r="E19" s="6" t="str">
        <f t="shared" si="9"/>
        <v>〇</v>
      </c>
      <c r="F19" s="6" t="s">
        <v>298</v>
      </c>
      <c r="G19" s="6" t="s">
        <v>298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0.11</v>
      </c>
      <c r="O19" s="3">
        <f>IF($E19="〇",N19*基本シート!$E$2,N19*VLOOKUP(LEFT(O$6,FIND("(",O$6)-1),基本シート!$B$6:$C$29,2,FALSE))</f>
        <v>3.2845999999999997</v>
      </c>
      <c r="P19" s="3">
        <v>0.24</v>
      </c>
      <c r="Q19" s="3">
        <f>IF($E19="〇",P19*基本シート!$E$2,P19*VLOOKUP(LEFT(Q$6,FIND("(",Q$6)-1),基本シート!$B$6:$C$29,2,FALSE))</f>
        <v>7.1663999999999994</v>
      </c>
      <c r="R19" s="3">
        <v>0.23</v>
      </c>
      <c r="S19" s="3">
        <f>IF($E19="〇",R19*基本シート!$E$2,R19*VLOOKUP(LEFT(S$6,FIND("(",S$6)-1),基本シート!$B$6:$C$29,2,FALSE))</f>
        <v>6.8677999999999999</v>
      </c>
      <c r="T19" s="3">
        <v>7.0000000000000007E-2</v>
      </c>
      <c r="U19" s="3">
        <f>IF($E19="〇",T19*基本シート!$E$2,T19*VLOOKUP(LEFT(U$6,FIND("(",U$6)-1),基本シート!$B$6:$C$29,2,FALSE))</f>
        <v>2.0902000000000003</v>
      </c>
      <c r="V19" s="3">
        <v>0.01</v>
      </c>
      <c r="W19" s="3">
        <f>IF($E19="〇",V19*基本シート!$E$2,V19*VLOOKUP(LEFT(W$6,FIND("(",W$6)-1),基本シート!$B$6:$C$29,2,FALSE))</f>
        <v>0.29859999999999998</v>
      </c>
      <c r="X19" s="3">
        <v>0.01</v>
      </c>
      <c r="Y19" s="3">
        <f>IF($E19="〇",X19*基本シート!$E$2,X19*VLOOKUP(LEFT(Y$6,FIND("(",Y$6)-1),基本シート!$B$6:$C$29,2,FALSE))</f>
        <v>0.29859999999999998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0.29859999999999998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0.69</v>
      </c>
      <c r="BE19" s="3">
        <f t="shared" si="8"/>
        <v>21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0.41</v>
      </c>
      <c r="BM19" s="3">
        <v>2.69</v>
      </c>
      <c r="BN19" s="3">
        <v>5.0599999999999996</v>
      </c>
      <c r="BO19" s="3">
        <v>6</v>
      </c>
      <c r="BP19" s="3">
        <v>6.79</v>
      </c>
      <c r="BQ19" s="3">
        <v>6.43</v>
      </c>
      <c r="BR19" s="3">
        <v>5.35</v>
      </c>
      <c r="BS19" s="3">
        <v>4.5999999999999996</v>
      </c>
      <c r="BT19" s="3">
        <v>3.96</v>
      </c>
      <c r="BU19" s="3">
        <v>2.3199999999999998</v>
      </c>
      <c r="BV19" s="3">
        <v>0.3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0.01</v>
      </c>
      <c r="CG19" s="3">
        <f>CF19*基本シート!$C$3</f>
        <v>0.16</v>
      </c>
      <c r="CH19" s="3">
        <v>0.01</v>
      </c>
      <c r="CI19" s="3">
        <f>CH19*基本シート!$C$3</f>
        <v>0.16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0.43</v>
      </c>
      <c r="CU19" s="3">
        <f>CT19*基本シート!$C$3</f>
        <v>6.88</v>
      </c>
      <c r="CV19" s="3">
        <v>5.4</v>
      </c>
      <c r="CW19" s="3">
        <f>CV19*基本シート!$C$3</f>
        <v>86.4</v>
      </c>
      <c r="CX19" s="3">
        <v>6.3</v>
      </c>
      <c r="CY19" s="3">
        <f>CX19*基本シート!$C$3</f>
        <v>100.8</v>
      </c>
      <c r="CZ19" s="3">
        <v>6.14</v>
      </c>
      <c r="DA19" s="3">
        <f>CZ19*基本シート!$C$3</f>
        <v>98.24</v>
      </c>
      <c r="DB19" s="3">
        <v>4.92</v>
      </c>
      <c r="DC19" s="3">
        <f>DB19*基本シート!$C$3</f>
        <v>78.72</v>
      </c>
      <c r="DD19" s="3">
        <v>4.4000000000000004</v>
      </c>
      <c r="DE19" s="3">
        <f>DD19*基本シート!$C$3</f>
        <v>70.400000000000006</v>
      </c>
      <c r="DF19" s="3">
        <v>3.76</v>
      </c>
      <c r="DG19" s="3">
        <f>DF19*基本シート!$C$3</f>
        <v>60.16</v>
      </c>
      <c r="DH19" s="3">
        <v>1.99</v>
      </c>
      <c r="DI19" s="3">
        <f>DH19*基本シート!$C$3</f>
        <v>31.84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0"/>
        <v>33.429999999999986</v>
      </c>
      <c r="EA19" s="3">
        <f>ROUND(DZ19*基本シート!$C$3,0)</f>
        <v>535</v>
      </c>
      <c r="EB19" s="3">
        <v>0</v>
      </c>
      <c r="EC19" s="3">
        <v>0</v>
      </c>
      <c r="ED19" s="3">
        <v>0</v>
      </c>
      <c r="EE19" s="3">
        <v>0</v>
      </c>
      <c r="EF19" s="3">
        <v>0.04</v>
      </c>
      <c r="EG19" s="3">
        <v>0.02</v>
      </c>
      <c r="EH19" s="3">
        <v>0.23</v>
      </c>
      <c r="EI19" s="3">
        <v>2.37</v>
      </c>
      <c r="EJ19" s="3">
        <v>4.22</v>
      </c>
      <c r="EK19" s="3">
        <v>0.05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6.93</v>
      </c>
      <c r="FA19" s="3">
        <v>0.21</v>
      </c>
      <c r="FB19" s="3">
        <v>0.21</v>
      </c>
      <c r="FC19" s="3">
        <v>0.21</v>
      </c>
      <c r="FD19" s="3">
        <v>0.09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</v>
      </c>
      <c r="FP19" s="3">
        <v>0.09</v>
      </c>
      <c r="FQ19" s="3">
        <v>1.35</v>
      </c>
      <c r="FR19" s="3">
        <v>1.26</v>
      </c>
      <c r="FS19" s="3">
        <v>0.2</v>
      </c>
      <c r="FT19" s="3">
        <v>0.25</v>
      </c>
      <c r="FU19" s="3">
        <v>0.39</v>
      </c>
      <c r="FV19" s="3">
        <v>0.44</v>
      </c>
      <c r="FW19" s="3">
        <v>0.24</v>
      </c>
      <c r="FX19" s="3">
        <v>0.22</v>
      </c>
      <c r="FY19" s="3">
        <f t="shared" si="12"/>
        <v>5.17</v>
      </c>
      <c r="FZ19" s="3">
        <v>0.2</v>
      </c>
      <c r="GA19" s="3">
        <v>0.2</v>
      </c>
      <c r="GB19" s="3">
        <v>0.2</v>
      </c>
      <c r="GC19" s="3">
        <v>0.2</v>
      </c>
      <c r="GD19" s="3">
        <v>0.2</v>
      </c>
      <c r="GE19" s="3">
        <v>0.21</v>
      </c>
      <c r="GF19" s="3">
        <v>0.25</v>
      </c>
      <c r="GG19" s="3">
        <v>0.32</v>
      </c>
      <c r="GH19" s="3">
        <v>0.42</v>
      </c>
      <c r="GI19" s="3">
        <v>0.55000000000000004</v>
      </c>
      <c r="GJ19" s="3">
        <v>0.5</v>
      </c>
      <c r="GK19" s="3">
        <v>0.28999999999999998</v>
      </c>
      <c r="GL19" s="3">
        <v>0.43</v>
      </c>
      <c r="GM19" s="3">
        <v>0.2</v>
      </c>
      <c r="GN19" s="3">
        <v>0.2</v>
      </c>
      <c r="GO19" s="3">
        <v>0.42</v>
      </c>
      <c r="GP19" s="3">
        <v>1.66</v>
      </c>
      <c r="GQ19" s="3">
        <v>1.26</v>
      </c>
      <c r="GR19" s="3">
        <v>0.19</v>
      </c>
      <c r="GS19" s="3">
        <v>0.24</v>
      </c>
      <c r="GT19" s="3">
        <v>0.39</v>
      </c>
      <c r="GU19" s="3">
        <v>0.43</v>
      </c>
      <c r="GV19" s="3">
        <v>0.24</v>
      </c>
      <c r="GW19" s="3">
        <v>0.21</v>
      </c>
      <c r="GX19" s="3">
        <f t="shared" si="13"/>
        <v>9.4100000000000019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228</v>
      </c>
      <c r="C20" s="6" t="str">
        <f>TEXT(VLOOKUP(LEFT(B20,FIND("月",B20)),基本シート!$E$6:$F$17,2,FALSE)&amp;B20,"aaaa")</f>
        <v>月曜日</v>
      </c>
      <c r="D20" s="6" t="s">
        <v>82</v>
      </c>
      <c r="E20" s="6" t="str">
        <f t="shared" si="9"/>
        <v>〇</v>
      </c>
      <c r="F20" s="6" t="s">
        <v>298</v>
      </c>
      <c r="G20" s="6" t="s">
        <v>296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0.03</v>
      </c>
      <c r="O20" s="3">
        <f>IF($E20="〇",N20*基本シート!$E$2,N20*VLOOKUP(LEFT(O$6,FIND("(",O$6)-1),基本シート!$B$6:$C$29,2,FALSE))</f>
        <v>0.89579999999999993</v>
      </c>
      <c r="P20" s="3">
        <v>0.27</v>
      </c>
      <c r="Q20" s="3">
        <f>IF($E20="〇",P20*基本シート!$E$2,P20*VLOOKUP(LEFT(Q$6,FIND("(",Q$6)-1),基本シート!$B$6:$C$29,2,FALSE))</f>
        <v>8.0622000000000007</v>
      </c>
      <c r="R20" s="3">
        <v>0.23</v>
      </c>
      <c r="S20" s="3">
        <f>IF($E20="〇",R20*基本シート!$E$2,R20*VLOOKUP(LEFT(S$6,FIND("(",S$6)-1),基本シート!$B$6:$C$29,2,FALSE))</f>
        <v>6.8677999999999999</v>
      </c>
      <c r="T20" s="3">
        <v>0.05</v>
      </c>
      <c r="U20" s="3">
        <f>IF($E20="〇",T20*基本シート!$E$2,T20*VLOOKUP(LEFT(U$6,FIND("(",U$6)-1),基本シート!$B$6:$C$29,2,FALSE))</f>
        <v>1.4930000000000001</v>
      </c>
      <c r="V20" s="3">
        <v>0.01</v>
      </c>
      <c r="W20" s="3">
        <f>IF($E20="〇",V20*基本シート!$E$2,V20*VLOOKUP(LEFT(W$6,FIND("(",W$6)-1),基本シート!$B$6:$C$29,2,FALSE))</f>
        <v>0.29859999999999998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0.29859999999999998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0.29859999999999998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0.01</v>
      </c>
      <c r="BA20" s="3">
        <f>IF($E20="〇",AZ20*基本シート!$E$2,AZ20*VLOOKUP(LEFT(BA$6,FIND("(",BA$6)-1),基本シート!$B$6:$C$29,2,FALSE))</f>
        <v>0.29859999999999998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0.63000000000000012</v>
      </c>
      <c r="BE20" s="3">
        <f t="shared" si="8"/>
        <v>19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0.43</v>
      </c>
      <c r="BM20" s="3">
        <v>2.78</v>
      </c>
      <c r="BN20" s="3">
        <v>5.23</v>
      </c>
      <c r="BO20" s="3">
        <v>6.17</v>
      </c>
      <c r="BP20" s="3">
        <v>6.96</v>
      </c>
      <c r="BQ20" s="3">
        <v>7.18</v>
      </c>
      <c r="BR20" s="3">
        <v>6.7</v>
      </c>
      <c r="BS20" s="3">
        <v>5.81</v>
      </c>
      <c r="BT20" s="3">
        <v>4.22</v>
      </c>
      <c r="BU20" s="3">
        <v>2.15</v>
      </c>
      <c r="BV20" s="3">
        <v>0.25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0.76</v>
      </c>
      <c r="CU20" s="3">
        <f>CT20*基本シート!$C$3</f>
        <v>12.16</v>
      </c>
      <c r="CV20" s="3">
        <v>5.78</v>
      </c>
      <c r="CW20" s="3">
        <f>CV20*基本シート!$C$3</f>
        <v>92.48</v>
      </c>
      <c r="CX20" s="3">
        <v>6.75</v>
      </c>
      <c r="CY20" s="3">
        <f>CX20*基本シート!$C$3</f>
        <v>108</v>
      </c>
      <c r="CZ20" s="3">
        <v>6.86</v>
      </c>
      <c r="DA20" s="3">
        <f>CZ20*基本シート!$C$3</f>
        <v>109.76</v>
      </c>
      <c r="DB20" s="3">
        <v>6.41</v>
      </c>
      <c r="DC20" s="3">
        <f>DB20*基本シート!$C$3</f>
        <v>102.56</v>
      </c>
      <c r="DD20" s="3">
        <v>5.6</v>
      </c>
      <c r="DE20" s="3">
        <f>DD20*基本シート!$C$3</f>
        <v>89.6</v>
      </c>
      <c r="DF20" s="3">
        <v>4.04</v>
      </c>
      <c r="DG20" s="3">
        <f>DF20*基本シート!$C$3</f>
        <v>64.64</v>
      </c>
      <c r="DH20" s="3">
        <v>1.96</v>
      </c>
      <c r="DI20" s="3">
        <f>DH20*基本シート!$C$3</f>
        <v>31.36</v>
      </c>
      <c r="DJ20" s="3">
        <v>0.1</v>
      </c>
      <c r="DK20" s="3">
        <f>DJ20*基本シート!$C$3</f>
        <v>1.6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0"/>
        <v>38.319999999999993</v>
      </c>
      <c r="EA20" s="3">
        <f>ROUND(DZ20*基本シート!$C$3,0)</f>
        <v>613</v>
      </c>
      <c r="EB20" s="3">
        <v>0</v>
      </c>
      <c r="EC20" s="3">
        <v>0</v>
      </c>
      <c r="ED20" s="3">
        <v>0</v>
      </c>
      <c r="EE20" s="3">
        <v>0</v>
      </c>
      <c r="EF20" s="3">
        <v>0.04</v>
      </c>
      <c r="EG20" s="3">
        <v>0.03</v>
      </c>
      <c r="EH20" s="3">
        <v>0.3</v>
      </c>
      <c r="EI20" s="3">
        <v>2.41</v>
      </c>
      <c r="EJ20" s="3">
        <v>4.13</v>
      </c>
      <c r="EK20" s="3">
        <v>0.03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6.94</v>
      </c>
      <c r="FA20" s="3">
        <v>0.21</v>
      </c>
      <c r="FB20" s="3">
        <v>0.2</v>
      </c>
      <c r="FC20" s="3">
        <v>0.21</v>
      </c>
      <c r="FD20" s="3">
        <v>0.22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</v>
      </c>
      <c r="FQ20" s="3">
        <v>0.69</v>
      </c>
      <c r="FR20" s="3">
        <v>1.7</v>
      </c>
      <c r="FS20" s="3">
        <v>0.26</v>
      </c>
      <c r="FT20" s="3">
        <v>0.36</v>
      </c>
      <c r="FU20" s="3">
        <v>0.62</v>
      </c>
      <c r="FV20" s="3">
        <v>0.5</v>
      </c>
      <c r="FW20" s="3">
        <v>0.28999999999999998</v>
      </c>
      <c r="FX20" s="3">
        <v>0.21</v>
      </c>
      <c r="FY20" s="3">
        <f t="shared" si="12"/>
        <v>5.4899999999999993</v>
      </c>
      <c r="FZ20" s="3">
        <v>0.21</v>
      </c>
      <c r="GA20" s="3">
        <v>0.2</v>
      </c>
      <c r="GB20" s="3">
        <v>0.21</v>
      </c>
      <c r="GC20" s="3">
        <v>0.25</v>
      </c>
      <c r="GD20" s="3">
        <v>0.23</v>
      </c>
      <c r="GE20" s="3">
        <v>0.2</v>
      </c>
      <c r="GF20" s="3">
        <v>0.18</v>
      </c>
      <c r="GG20" s="3">
        <v>0.37</v>
      </c>
      <c r="GH20" s="3">
        <v>0.34</v>
      </c>
      <c r="GI20" s="3">
        <v>0.36</v>
      </c>
      <c r="GJ20" s="3">
        <v>0.21</v>
      </c>
      <c r="GK20" s="3">
        <v>0.32</v>
      </c>
      <c r="GL20" s="3">
        <v>0.3</v>
      </c>
      <c r="GM20" s="3">
        <v>0.22</v>
      </c>
      <c r="GN20" s="3">
        <v>0.18</v>
      </c>
      <c r="GO20" s="3">
        <v>0.19</v>
      </c>
      <c r="GP20" s="3">
        <v>0.84</v>
      </c>
      <c r="GQ20" s="3">
        <v>1.7</v>
      </c>
      <c r="GR20" s="3">
        <v>0.26</v>
      </c>
      <c r="GS20" s="3">
        <v>0.35</v>
      </c>
      <c r="GT20" s="3">
        <v>0.62</v>
      </c>
      <c r="GU20" s="3">
        <v>0.5</v>
      </c>
      <c r="GV20" s="3">
        <v>0.28999999999999998</v>
      </c>
      <c r="GW20" s="3">
        <v>0.21</v>
      </c>
      <c r="GX20" s="3">
        <f t="shared" si="13"/>
        <v>8.7399999999999984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229</v>
      </c>
      <c r="C21" s="6" t="str">
        <f>TEXT(VLOOKUP(LEFT(B21,FIND("月",B21)),基本シート!$E$6:$F$17,2,FALSE)&amp;B21,"aaaa")</f>
        <v>火曜日</v>
      </c>
      <c r="D21" s="6"/>
      <c r="E21" s="6" t="str">
        <f t="shared" si="9"/>
        <v/>
      </c>
      <c r="F21" s="6" t="s">
        <v>296</v>
      </c>
      <c r="G21" s="6" t="s">
        <v>297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0.17</v>
      </c>
      <c r="O21" s="3">
        <f>IF($E21="〇",N21*基本シート!$E$2,N21*VLOOKUP(LEFT(O$6,FIND("(",O$6)-1),基本シート!$B$6:$C$29,2,FALSE))</f>
        <v>5.0762</v>
      </c>
      <c r="P21" s="3">
        <v>0.41</v>
      </c>
      <c r="Q21" s="3">
        <f>IF($E21="〇",P21*基本シート!$E$2,P21*VLOOKUP(LEFT(Q$6,FIND("(",Q$6)-1),基本シート!$B$6:$C$29,2,FALSE))</f>
        <v>12.242599999999999</v>
      </c>
      <c r="R21" s="3">
        <v>0.56000000000000005</v>
      </c>
      <c r="S21" s="3">
        <f>IF($E21="〇",R21*基本シート!$E$2,R21*VLOOKUP(LEFT(S$6,FIND("(",S$6)-1),基本シート!$B$6:$C$29,2,FALSE))</f>
        <v>16.721600000000002</v>
      </c>
      <c r="T21" s="3">
        <v>0.28000000000000003</v>
      </c>
      <c r="U21" s="3">
        <f>IF($E21="〇",T21*基本シート!$E$2,T21*VLOOKUP(LEFT(U$6,FIND("(",U$6)-1),基本シート!$B$6:$C$29,2,FALSE))</f>
        <v>8.3608000000000011</v>
      </c>
      <c r="V21" s="3">
        <v>0.38</v>
      </c>
      <c r="W21" s="3">
        <f>IF($E21="〇",V21*基本シート!$E$2,V21*VLOOKUP(LEFT(W$6,FIND("(",W$6)-1),基本シート!$B$6:$C$29,2,FALSE))</f>
        <v>14.0068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0.01</v>
      </c>
      <c r="AS21" s="3">
        <f>IF($E21="〇",AR21*基本シート!$E$2,AR21*VLOOKUP(LEFT(AS$6,FIND("(",AS$6)-1),基本シート!$B$6:$C$29,2,FALSE))</f>
        <v>0.36859999999999998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0.36859999999999998</v>
      </c>
      <c r="AX21" s="3">
        <v>0.02</v>
      </c>
      <c r="AY21" s="3">
        <f>IF($E21="〇",AX21*基本シート!$E$2,AX21*VLOOKUP(LEFT(AY$6,FIND("(",AY$6)-1),基本シート!$B$6:$C$29,2,FALSE))</f>
        <v>0.59719999999999995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1.8500000000000003</v>
      </c>
      <c r="BE21" s="3">
        <f t="shared" si="8"/>
        <v>58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1.0900000000000001</v>
      </c>
      <c r="BN21" s="3">
        <v>3.14</v>
      </c>
      <c r="BO21" s="3">
        <v>4.76</v>
      </c>
      <c r="BP21" s="3">
        <v>5.17</v>
      </c>
      <c r="BQ21" s="3">
        <v>4.99</v>
      </c>
      <c r="BR21" s="3">
        <v>2.62</v>
      </c>
      <c r="BS21" s="3">
        <v>2.44</v>
      </c>
      <c r="BT21" s="3">
        <v>1.71</v>
      </c>
      <c r="BU21" s="3">
        <v>0.61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0.13</v>
      </c>
      <c r="CU21" s="3">
        <f>CT21*基本シート!$C$3</f>
        <v>2.08</v>
      </c>
      <c r="CV21" s="3">
        <v>0.94</v>
      </c>
      <c r="CW21" s="3">
        <f>CV21*基本シート!$C$3</f>
        <v>15.04</v>
      </c>
      <c r="CX21" s="3">
        <v>4.99</v>
      </c>
      <c r="CY21" s="3">
        <f>CX21*基本シート!$C$3</f>
        <v>79.84</v>
      </c>
      <c r="CZ21" s="3">
        <v>4.8099999999999996</v>
      </c>
      <c r="DA21" s="3">
        <f>CZ21*基本シート!$C$3</f>
        <v>76.959999999999994</v>
      </c>
      <c r="DB21" s="3">
        <v>2.4500000000000002</v>
      </c>
      <c r="DC21" s="3">
        <f>DB21*基本シート!$C$3</f>
        <v>39.200000000000003</v>
      </c>
      <c r="DD21" s="3">
        <v>2.2599999999999998</v>
      </c>
      <c r="DE21" s="3">
        <f>DD21*基本シート!$C$3</f>
        <v>36.159999999999997</v>
      </c>
      <c r="DF21" s="3">
        <v>1.53</v>
      </c>
      <c r="DG21" s="3">
        <f>DF21*基本シート!$C$3</f>
        <v>24.48</v>
      </c>
      <c r="DH21" s="3">
        <v>0.34</v>
      </c>
      <c r="DI21" s="3">
        <f>DH21*基本シート!$C$3</f>
        <v>5.44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0.01</v>
      </c>
      <c r="DY21" s="3">
        <f>DX21*基本シート!$C$3</f>
        <v>0.16</v>
      </c>
      <c r="DZ21" s="3">
        <f t="shared" si="10"/>
        <v>17.480000000000004</v>
      </c>
      <c r="EA21" s="3">
        <f>ROUND(DZ21*基本シート!$C$3,0)</f>
        <v>280</v>
      </c>
      <c r="EB21" s="3">
        <v>0</v>
      </c>
      <c r="EC21" s="3">
        <v>0</v>
      </c>
      <c r="ED21" s="3">
        <v>0</v>
      </c>
      <c r="EE21" s="3">
        <v>0</v>
      </c>
      <c r="EF21" s="3">
        <v>0.04</v>
      </c>
      <c r="EG21" s="3">
        <v>0.04</v>
      </c>
      <c r="EH21" s="3">
        <v>0.01</v>
      </c>
      <c r="EI21" s="3">
        <v>0.45</v>
      </c>
      <c r="EJ21" s="3">
        <v>2.79</v>
      </c>
      <c r="EK21" s="3">
        <v>3.63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6.97</v>
      </c>
      <c r="FA21" s="3">
        <v>0.22</v>
      </c>
      <c r="FB21" s="3">
        <v>0.23</v>
      </c>
      <c r="FC21" s="3">
        <v>0.2</v>
      </c>
      <c r="FD21" s="3">
        <v>0.03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0.43</v>
      </c>
      <c r="FQ21" s="3">
        <v>0.72</v>
      </c>
      <c r="FR21" s="3">
        <v>1.19</v>
      </c>
      <c r="FS21" s="3">
        <v>0.6</v>
      </c>
      <c r="FT21" s="3">
        <v>0.55000000000000004</v>
      </c>
      <c r="FU21" s="3">
        <v>0.66</v>
      </c>
      <c r="FV21" s="3">
        <v>0.37</v>
      </c>
      <c r="FW21" s="3">
        <v>0.2</v>
      </c>
      <c r="FX21" s="3">
        <v>0.19</v>
      </c>
      <c r="FY21" s="3">
        <f t="shared" si="12"/>
        <v>5.6000000000000014</v>
      </c>
      <c r="FZ21" s="3">
        <v>0.22</v>
      </c>
      <c r="GA21" s="3">
        <v>0.23</v>
      </c>
      <c r="GB21" s="3">
        <v>0.2</v>
      </c>
      <c r="GC21" s="3">
        <v>0.2</v>
      </c>
      <c r="GD21" s="3">
        <v>0.37</v>
      </c>
      <c r="GE21" s="3">
        <v>0.52</v>
      </c>
      <c r="GF21" s="3">
        <v>0.31</v>
      </c>
      <c r="GG21" s="3">
        <v>1.02</v>
      </c>
      <c r="GH21" s="3">
        <v>0.22</v>
      </c>
      <c r="GI21" s="3">
        <v>0.19</v>
      </c>
      <c r="GJ21" s="3">
        <v>0.17</v>
      </c>
      <c r="GK21" s="3">
        <v>0.18</v>
      </c>
      <c r="GL21" s="3">
        <v>0.18</v>
      </c>
      <c r="GM21" s="3">
        <v>0.18</v>
      </c>
      <c r="GN21" s="3">
        <v>0.18</v>
      </c>
      <c r="GO21" s="3">
        <v>0.7</v>
      </c>
      <c r="GP21" s="3">
        <v>0.73</v>
      </c>
      <c r="GQ21" s="3">
        <v>1.2</v>
      </c>
      <c r="GR21" s="3">
        <v>0.6</v>
      </c>
      <c r="GS21" s="3">
        <v>0.55000000000000004</v>
      </c>
      <c r="GT21" s="3">
        <v>0.67</v>
      </c>
      <c r="GU21" s="3">
        <v>0.38</v>
      </c>
      <c r="GV21" s="3">
        <v>0.2</v>
      </c>
      <c r="GW21" s="3">
        <v>0.18</v>
      </c>
      <c r="GX21" s="3">
        <f t="shared" si="13"/>
        <v>9.58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230</v>
      </c>
      <c r="C22" s="6" t="str">
        <f>TEXT(VLOOKUP(LEFT(B22,FIND("月",B22)),基本シート!$E$6:$F$17,2,FALSE)&amp;B22,"aaaa")</f>
        <v>水曜日</v>
      </c>
      <c r="D22" s="6"/>
      <c r="E22" s="6" t="str">
        <f t="shared" si="9"/>
        <v/>
      </c>
      <c r="F22" s="6" t="s">
        <v>297</v>
      </c>
      <c r="G22" s="6" t="s">
        <v>298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0.11</v>
      </c>
      <c r="M22" s="3">
        <f>IF($E22="〇",L22*基本シート!$E$2,L22*VLOOKUP(LEFT(M$6,FIND("(",M$6)-1),基本シート!$B$6:$C$29,2,FALSE))</f>
        <v>3.2845999999999997</v>
      </c>
      <c r="N22" s="3">
        <v>0.23</v>
      </c>
      <c r="O22" s="3">
        <f>IF($E22="〇",N22*基本シート!$E$2,N22*VLOOKUP(LEFT(O$6,FIND("(",O$6)-1),基本シート!$B$6:$C$29,2,FALSE))</f>
        <v>6.8677999999999999</v>
      </c>
      <c r="P22" s="3">
        <v>0.41</v>
      </c>
      <c r="Q22" s="3">
        <f>IF($E22="〇",P22*基本シート!$E$2,P22*VLOOKUP(LEFT(Q$6,FIND("(",Q$6)-1),基本シート!$B$6:$C$29,2,FALSE))</f>
        <v>12.242599999999999</v>
      </c>
      <c r="R22" s="3">
        <v>0.4</v>
      </c>
      <c r="S22" s="3">
        <f>IF($E22="〇",R22*基本シート!$E$2,R22*VLOOKUP(LEFT(S$6,FIND("(",S$6)-1),基本シート!$B$6:$C$29,2,FALSE))</f>
        <v>11.944000000000001</v>
      </c>
      <c r="T22" s="3">
        <v>0.26</v>
      </c>
      <c r="U22" s="3">
        <f>IF($E22="〇",T22*基本シート!$E$2,T22*VLOOKUP(LEFT(U$6,FIND("(",U$6)-1),基本シート!$B$6:$C$29,2,FALSE))</f>
        <v>7.7636000000000003</v>
      </c>
      <c r="V22" s="3">
        <v>0.1</v>
      </c>
      <c r="W22" s="3">
        <f>IF($E22="〇",V22*基本シート!$E$2,V22*VLOOKUP(LEFT(W$6,FIND("(",W$6)-1),基本シート!$B$6:$C$29,2,FALSE))</f>
        <v>3.6859999999999999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0.01</v>
      </c>
      <c r="AS22" s="3">
        <f>IF($E22="〇",AR22*基本シート!$E$2,AR22*VLOOKUP(LEFT(AS$6,FIND("(",AS$6)-1),基本シート!$B$6:$C$29,2,FALSE))</f>
        <v>0.36859999999999998</v>
      </c>
      <c r="AT22" s="3">
        <v>0.01</v>
      </c>
      <c r="AU22" s="3">
        <f>IF($E22="〇",AT22*基本シート!$E$2,AT22*VLOOKUP(LEFT(AU$6,FIND("(",AU$6)-1),基本シート!$B$6:$C$29,2,FALSE))</f>
        <v>0.36859999999999998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0.29859999999999998</v>
      </c>
      <c r="AZ22" s="3">
        <v>0.02</v>
      </c>
      <c r="BA22" s="3">
        <f>IF($E22="〇",AZ22*基本シート!$E$2,AZ22*VLOOKUP(LEFT(BA$6,FIND("(",BA$6)-1),基本シート!$B$6:$C$29,2,FALSE))</f>
        <v>0.59719999999999995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1.57</v>
      </c>
      <c r="BE22" s="3">
        <f t="shared" si="8"/>
        <v>48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0.03</v>
      </c>
      <c r="BM22" s="3">
        <v>0.22</v>
      </c>
      <c r="BN22" s="3">
        <v>0.75</v>
      </c>
      <c r="BO22" s="3">
        <v>0.76</v>
      </c>
      <c r="BP22" s="3">
        <v>1.41</v>
      </c>
      <c r="BQ22" s="3">
        <v>1.54</v>
      </c>
      <c r="BR22" s="3">
        <v>2.08</v>
      </c>
      <c r="BS22" s="3">
        <v>2.0699999999999998</v>
      </c>
      <c r="BT22" s="3">
        <v>3.14</v>
      </c>
      <c r="BU22" s="3">
        <v>2.11</v>
      </c>
      <c r="BV22" s="3">
        <v>0.27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0.76</v>
      </c>
      <c r="DE22" s="3">
        <f>DD22*基本シート!$C$3</f>
        <v>12.16</v>
      </c>
      <c r="DF22" s="3">
        <v>2.95</v>
      </c>
      <c r="DG22" s="3">
        <f>DF22*基本シート!$C$3</f>
        <v>47.2</v>
      </c>
      <c r="DH22" s="3">
        <v>1.92</v>
      </c>
      <c r="DI22" s="3">
        <f>DH22*基本シート!$C$3</f>
        <v>30.72</v>
      </c>
      <c r="DJ22" s="3">
        <v>0.12</v>
      </c>
      <c r="DK22" s="3">
        <f>DJ22*基本シート!$C$3</f>
        <v>1.92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0"/>
        <v>5.8199999999999985</v>
      </c>
      <c r="EA22" s="3">
        <f>ROUND(DZ22*基本シート!$C$3,0)</f>
        <v>93</v>
      </c>
      <c r="EB22" s="3">
        <v>0</v>
      </c>
      <c r="EC22" s="3">
        <v>0</v>
      </c>
      <c r="ED22" s="3">
        <v>0</v>
      </c>
      <c r="EE22" s="3">
        <v>0.04</v>
      </c>
      <c r="EF22" s="3">
        <v>0.04</v>
      </c>
      <c r="EG22" s="3">
        <v>0.04</v>
      </c>
      <c r="EH22" s="3">
        <v>0.02</v>
      </c>
      <c r="EI22" s="3">
        <v>0.05</v>
      </c>
      <c r="EJ22" s="3">
        <v>0.55000000000000004</v>
      </c>
      <c r="EK22" s="3">
        <v>0.57999999999999996</v>
      </c>
      <c r="EL22" s="3">
        <v>1.23</v>
      </c>
      <c r="EM22" s="3">
        <v>1.34</v>
      </c>
      <c r="EN22" s="3">
        <v>1.89</v>
      </c>
      <c r="EO22" s="3">
        <v>1.1399999999999999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6.919999999999999</v>
      </c>
      <c r="FA22" s="3">
        <v>0.19</v>
      </c>
      <c r="FB22" s="3">
        <v>0.18</v>
      </c>
      <c r="FC22" s="3">
        <v>7.0000000000000007E-2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0.56999999999999995</v>
      </c>
      <c r="FR22" s="3">
        <v>1.21</v>
      </c>
      <c r="FS22" s="3">
        <v>0.71</v>
      </c>
      <c r="FT22" s="3">
        <v>0.42</v>
      </c>
      <c r="FU22" s="3">
        <v>0.54</v>
      </c>
      <c r="FV22" s="3">
        <v>0.78</v>
      </c>
      <c r="FW22" s="3">
        <v>0.39</v>
      </c>
      <c r="FX22" s="3">
        <v>0.25</v>
      </c>
      <c r="FY22" s="3">
        <f t="shared" si="12"/>
        <v>5.31</v>
      </c>
      <c r="FZ22" s="3">
        <v>0.19</v>
      </c>
      <c r="GA22" s="3">
        <v>0.18</v>
      </c>
      <c r="GB22" s="3">
        <v>0.18</v>
      </c>
      <c r="GC22" s="3">
        <v>0.19</v>
      </c>
      <c r="GD22" s="3">
        <v>0.37</v>
      </c>
      <c r="GE22" s="3">
        <v>0.36</v>
      </c>
      <c r="GF22" s="3">
        <v>0.27</v>
      </c>
      <c r="GG22" s="3">
        <v>0.27</v>
      </c>
      <c r="GH22" s="3">
        <v>0.2</v>
      </c>
      <c r="GI22" s="3">
        <v>0.18</v>
      </c>
      <c r="GJ22" s="3">
        <v>0.18</v>
      </c>
      <c r="GK22" s="3">
        <v>0.2</v>
      </c>
      <c r="GL22" s="3">
        <v>0.19</v>
      </c>
      <c r="GM22" s="3">
        <v>0.17</v>
      </c>
      <c r="GN22" s="3">
        <v>0.19</v>
      </c>
      <c r="GO22" s="3">
        <v>0.19</v>
      </c>
      <c r="GP22" s="3">
        <v>0.72</v>
      </c>
      <c r="GQ22" s="3">
        <v>1.21</v>
      </c>
      <c r="GR22" s="3">
        <v>0.71</v>
      </c>
      <c r="GS22" s="3">
        <v>0.42</v>
      </c>
      <c r="GT22" s="3">
        <v>0.53</v>
      </c>
      <c r="GU22" s="3">
        <v>0.78</v>
      </c>
      <c r="GV22" s="3">
        <v>0.4</v>
      </c>
      <c r="GW22" s="3">
        <v>0.24</v>
      </c>
      <c r="GX22" s="3">
        <f t="shared" si="13"/>
        <v>8.5200000000000014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231</v>
      </c>
      <c r="C23" s="6" t="str">
        <f>TEXT(VLOOKUP(LEFT(B23,FIND("月",B23)),基本シート!$E$6:$F$17,2,FALSE)&amp;B23,"aaaa")</f>
        <v>木曜日</v>
      </c>
      <c r="D23" s="6"/>
      <c r="E23" s="6" t="str">
        <f t="shared" si="9"/>
        <v/>
      </c>
      <c r="F23" s="6" t="s">
        <v>298</v>
      </c>
      <c r="G23" s="6" t="s">
        <v>296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0.04</v>
      </c>
      <c r="M23" s="3">
        <f>IF($E23="〇",L23*基本シート!$E$2,L23*VLOOKUP(LEFT(M$6,FIND("(",M$6)-1),基本シート!$B$6:$C$29,2,FALSE))</f>
        <v>1.1943999999999999</v>
      </c>
      <c r="N23" s="3">
        <v>0.24</v>
      </c>
      <c r="O23" s="3">
        <f>IF($E23="〇",N23*基本シート!$E$2,N23*VLOOKUP(LEFT(O$6,FIND("(",O$6)-1),基本シート!$B$6:$C$29,2,FALSE))</f>
        <v>7.1663999999999994</v>
      </c>
      <c r="P23" s="3">
        <v>0.4</v>
      </c>
      <c r="Q23" s="3">
        <f>IF($E23="〇",P23*基本シート!$E$2,P23*VLOOKUP(LEFT(Q$6,FIND("(",Q$6)-1),基本シート!$B$6:$C$29,2,FALSE))</f>
        <v>11.944000000000001</v>
      </c>
      <c r="R23" s="3">
        <v>0.26</v>
      </c>
      <c r="S23" s="3">
        <f>IF($E23="〇",R23*基本シート!$E$2,R23*VLOOKUP(LEFT(S$6,FIND("(",S$6)-1),基本シート!$B$6:$C$29,2,FALSE))</f>
        <v>7.7636000000000003</v>
      </c>
      <c r="T23" s="3">
        <v>0.11</v>
      </c>
      <c r="U23" s="3">
        <f>IF($E23="〇",T23*基本シート!$E$2,T23*VLOOKUP(LEFT(U$6,FIND("(",U$6)-1),基本シート!$B$6:$C$29,2,FALSE))</f>
        <v>3.2845999999999997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0.36859999999999998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0.02</v>
      </c>
      <c r="AS23" s="3">
        <f>IF($E23="〇",AR23*基本シート!$E$2,AR23*VLOOKUP(LEFT(AS$6,FIND("(",AS$6)-1),基本シート!$B$6:$C$29,2,FALSE))</f>
        <v>0.73719999999999997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0.29859999999999998</v>
      </c>
      <c r="AZ23" s="3">
        <v>0.01</v>
      </c>
      <c r="BA23" s="3">
        <f>IF($E23="〇",AZ23*基本シート!$E$2,AZ23*VLOOKUP(LEFT(BA$6,FIND("(",BA$6)-1),基本シート!$B$6:$C$29,2,FALSE))</f>
        <v>0.29859999999999998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1.1000000000000001</v>
      </c>
      <c r="BE23" s="3">
        <f t="shared" si="8"/>
        <v>33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0.27</v>
      </c>
      <c r="BM23" s="3">
        <v>1.31</v>
      </c>
      <c r="BN23" s="3">
        <v>3.79</v>
      </c>
      <c r="BO23" s="3">
        <v>6.29</v>
      </c>
      <c r="BP23" s="3">
        <v>6.79</v>
      </c>
      <c r="BQ23" s="3">
        <v>6.98</v>
      </c>
      <c r="BR23" s="3">
        <v>6.12</v>
      </c>
      <c r="BS23" s="3">
        <v>5.56</v>
      </c>
      <c r="BT23" s="3">
        <v>4.0599999999999996</v>
      </c>
      <c r="BU23" s="3">
        <v>2.04</v>
      </c>
      <c r="BV23" s="3">
        <v>0.18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0.08</v>
      </c>
      <c r="CU23" s="3">
        <f>CT23*基本シート!$C$3</f>
        <v>1.28</v>
      </c>
      <c r="CV23" s="3">
        <v>3.79</v>
      </c>
      <c r="CW23" s="3">
        <f>CV23*基本シート!$C$3</f>
        <v>60.64</v>
      </c>
      <c r="CX23" s="3">
        <v>6.6</v>
      </c>
      <c r="CY23" s="3">
        <f>CX23*基本シート!$C$3</f>
        <v>105.6</v>
      </c>
      <c r="CZ23" s="3">
        <v>6.79</v>
      </c>
      <c r="DA23" s="3">
        <f>CZ23*基本シート!$C$3</f>
        <v>108.64</v>
      </c>
      <c r="DB23" s="3">
        <v>5.94</v>
      </c>
      <c r="DC23" s="3">
        <f>DB23*基本シート!$C$3</f>
        <v>95.04</v>
      </c>
      <c r="DD23" s="3">
        <v>5.39</v>
      </c>
      <c r="DE23" s="3">
        <f>DD23*基本シート!$C$3</f>
        <v>86.24</v>
      </c>
      <c r="DF23" s="3">
        <v>3.88</v>
      </c>
      <c r="DG23" s="3">
        <f>DF23*基本シート!$C$3</f>
        <v>62.08</v>
      </c>
      <c r="DH23" s="3">
        <v>1.85</v>
      </c>
      <c r="DI23" s="3">
        <f>DH23*基本シート!$C$3</f>
        <v>29.6</v>
      </c>
      <c r="DJ23" s="3">
        <v>0.1</v>
      </c>
      <c r="DK23" s="3">
        <f>DJ23*基本シート!$C$3</f>
        <v>1.6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0"/>
        <v>34.489999999999988</v>
      </c>
      <c r="EA23" s="3">
        <f>ROUND(DZ23*基本シート!$C$3,0)</f>
        <v>552</v>
      </c>
      <c r="EB23" s="3">
        <v>0</v>
      </c>
      <c r="EC23" s="3">
        <v>0</v>
      </c>
      <c r="ED23" s="3">
        <v>0</v>
      </c>
      <c r="EE23" s="3">
        <v>0.03</v>
      </c>
      <c r="EF23" s="3">
        <v>0.04</v>
      </c>
      <c r="EG23" s="3">
        <v>0.04</v>
      </c>
      <c r="EH23" s="3">
        <v>0.1</v>
      </c>
      <c r="EI23" s="3">
        <v>1.04</v>
      </c>
      <c r="EJ23" s="3">
        <v>3.5</v>
      </c>
      <c r="EK23" s="3">
        <v>2.2999999999999998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7.0799999999999992</v>
      </c>
      <c r="FA23" s="3">
        <v>0.21</v>
      </c>
      <c r="FB23" s="3">
        <v>0.2</v>
      </c>
      <c r="FC23" s="3">
        <v>0.15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0.68</v>
      </c>
      <c r="FR23" s="3">
        <v>1.39</v>
      </c>
      <c r="FS23" s="3">
        <v>0.65</v>
      </c>
      <c r="FT23" s="3">
        <v>0.45</v>
      </c>
      <c r="FU23" s="3">
        <v>0.56000000000000005</v>
      </c>
      <c r="FV23" s="3">
        <v>0.49</v>
      </c>
      <c r="FW23" s="3">
        <v>0.26</v>
      </c>
      <c r="FX23" s="3">
        <v>0.22</v>
      </c>
      <c r="FY23" s="3">
        <f t="shared" si="12"/>
        <v>5.26</v>
      </c>
      <c r="FZ23" s="3">
        <v>0.21</v>
      </c>
      <c r="GA23" s="3">
        <v>0.2</v>
      </c>
      <c r="GB23" s="3">
        <v>0.19</v>
      </c>
      <c r="GC23" s="3">
        <v>0.21</v>
      </c>
      <c r="GD23" s="3">
        <v>0.36</v>
      </c>
      <c r="GE23" s="3">
        <v>0.22</v>
      </c>
      <c r="GF23" s="3">
        <v>0.28000000000000003</v>
      </c>
      <c r="GG23" s="3">
        <v>0.27</v>
      </c>
      <c r="GH23" s="3">
        <v>0.22</v>
      </c>
      <c r="GI23" s="3">
        <v>0.2</v>
      </c>
      <c r="GJ23" s="3">
        <v>0.19</v>
      </c>
      <c r="GK23" s="3">
        <v>0.19</v>
      </c>
      <c r="GL23" s="3">
        <v>0.17</v>
      </c>
      <c r="GM23" s="3">
        <v>0.16</v>
      </c>
      <c r="GN23" s="3">
        <v>0.18</v>
      </c>
      <c r="GO23" s="3">
        <v>0.18</v>
      </c>
      <c r="GP23" s="3">
        <v>0.76</v>
      </c>
      <c r="GQ23" s="3">
        <v>1.38</v>
      </c>
      <c r="GR23" s="3">
        <v>0.66</v>
      </c>
      <c r="GS23" s="3">
        <v>0.44</v>
      </c>
      <c r="GT23" s="3">
        <v>0.55000000000000004</v>
      </c>
      <c r="GU23" s="3">
        <v>0.49</v>
      </c>
      <c r="GV23" s="3">
        <v>0.26</v>
      </c>
      <c r="GW23" s="3">
        <v>0.21</v>
      </c>
      <c r="GX23" s="3">
        <f t="shared" si="13"/>
        <v>8.1800000000000015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232</v>
      </c>
      <c r="C24" s="6" t="str">
        <f>TEXT(VLOOKUP(LEFT(B24,FIND("月",B24)),基本シート!$E$6:$F$17,2,FALSE)&amp;B24,"aaaa")</f>
        <v>金曜日</v>
      </c>
      <c r="D24" s="6"/>
      <c r="E24" s="6" t="str">
        <f t="shared" si="9"/>
        <v/>
      </c>
      <c r="F24" s="6" t="s">
        <v>296</v>
      </c>
      <c r="G24" s="6" t="s">
        <v>297</v>
      </c>
      <c r="H24" s="3">
        <v>0.01</v>
      </c>
      <c r="I24" s="3">
        <f>IF($E24="〇",H24*基本シート!$E$2,H24*VLOOKUP(LEFT(I$6,FIND("(",I$6)-1),基本シート!$B$6:$C$29,2,FALSE))</f>
        <v>0.29859999999999998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0.22</v>
      </c>
      <c r="O24" s="3">
        <f>IF($E24="〇",N24*基本シート!$E$2,N24*VLOOKUP(LEFT(O$6,FIND("(",O$6)-1),基本シート!$B$6:$C$29,2,FALSE))</f>
        <v>6.5691999999999995</v>
      </c>
      <c r="P24" s="3">
        <v>0.41</v>
      </c>
      <c r="Q24" s="3">
        <f>IF($E24="〇",P24*基本シート!$E$2,P24*VLOOKUP(LEFT(Q$6,FIND("(",Q$6)-1),基本シート!$B$6:$C$29,2,FALSE))</f>
        <v>12.242599999999999</v>
      </c>
      <c r="R24" s="3">
        <v>0.31</v>
      </c>
      <c r="S24" s="3">
        <f>IF($E24="〇",R24*基本シート!$E$2,R24*VLOOKUP(LEFT(S$6,FIND("(",S$6)-1),基本シート!$B$6:$C$29,2,FALSE))</f>
        <v>9.2566000000000006</v>
      </c>
      <c r="T24" s="3">
        <v>0.18</v>
      </c>
      <c r="U24" s="3">
        <f>IF($E24="〇",T24*基本シート!$E$2,T24*VLOOKUP(LEFT(U$6,FIND("(",U$6)-1),基本シート!$B$6:$C$29,2,FALSE))</f>
        <v>5.3747999999999996</v>
      </c>
      <c r="V24" s="3">
        <v>0.03</v>
      </c>
      <c r="W24" s="3">
        <f>IF($E24="〇",V24*基本シート!$E$2,V24*VLOOKUP(LEFT(W$6,FIND("(",W$6)-1),基本シート!$B$6:$C$29,2,FALSE))</f>
        <v>1.1057999999999999</v>
      </c>
      <c r="X24" s="3">
        <v>0.01</v>
      </c>
      <c r="Y24" s="3">
        <f>IF($E24="〇",X24*基本シート!$E$2,X24*VLOOKUP(LEFT(Y$6,FIND("(",Y$6)-1),基本シート!$B$6:$C$29,2,FALSE))</f>
        <v>0.36859999999999998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</v>
      </c>
      <c r="AS24" s="3">
        <f>IF($E24="〇",AR24*基本シート!$E$2,AR24*VLOOKUP(LEFT(AS$6,FIND("(",AS$6)-1),基本シート!$B$6:$C$29,2,FALSE))</f>
        <v>0</v>
      </c>
      <c r="AT24" s="3">
        <v>0.01</v>
      </c>
      <c r="AU24" s="3">
        <f>IF($E24="〇",AT24*基本シート!$E$2,AT24*VLOOKUP(LEFT(AU$6,FIND("(",AU$6)-1),基本シート!$B$6:$C$29,2,FALSE))</f>
        <v>0.36859999999999998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1.19</v>
      </c>
      <c r="BE24" s="3">
        <f t="shared" si="8"/>
        <v>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0.08</v>
      </c>
      <c r="BM24" s="3">
        <v>1.21</v>
      </c>
      <c r="BN24" s="3">
        <v>2.31</v>
      </c>
      <c r="BO24" s="3">
        <v>3.62</v>
      </c>
      <c r="BP24" s="3">
        <v>2.2000000000000002</v>
      </c>
      <c r="BQ24" s="3">
        <v>1.94</v>
      </c>
      <c r="BR24" s="3">
        <v>1.48</v>
      </c>
      <c r="BS24" s="3">
        <v>1.2</v>
      </c>
      <c r="BT24" s="3">
        <v>0.87</v>
      </c>
      <c r="BU24" s="3">
        <v>0.31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0.01</v>
      </c>
      <c r="CE24" s="3">
        <f>CD24*基本シート!$C$3</f>
        <v>0.16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0.03</v>
      </c>
      <c r="CU24" s="3">
        <f>CT24*基本シート!$C$3</f>
        <v>0.48</v>
      </c>
      <c r="CV24" s="3">
        <v>0.16</v>
      </c>
      <c r="CW24" s="3">
        <f>CV24*基本シート!$C$3</f>
        <v>2.56</v>
      </c>
      <c r="CX24" s="3">
        <v>1.51</v>
      </c>
      <c r="CY24" s="3">
        <f>CX24*基本シート!$C$3</f>
        <v>24.16</v>
      </c>
      <c r="CZ24" s="3">
        <v>1.76</v>
      </c>
      <c r="DA24" s="3">
        <f>CZ24*基本シート!$C$3</f>
        <v>28.16</v>
      </c>
      <c r="DB24" s="3">
        <v>1.31</v>
      </c>
      <c r="DC24" s="3">
        <f>DB24*基本シート!$C$3</f>
        <v>20.96</v>
      </c>
      <c r="DD24" s="3">
        <v>1.03</v>
      </c>
      <c r="DE24" s="3">
        <f>DD24*基本シート!$C$3</f>
        <v>16.48</v>
      </c>
      <c r="DF24" s="3">
        <v>0.69</v>
      </c>
      <c r="DG24" s="3">
        <f>DF24*基本シート!$C$3</f>
        <v>11.04</v>
      </c>
      <c r="DH24" s="3">
        <v>0.15</v>
      </c>
      <c r="DI24" s="3">
        <f>DH24*基本シート!$C$3</f>
        <v>2.4</v>
      </c>
      <c r="DJ24" s="3">
        <v>0</v>
      </c>
      <c r="DK24" s="3">
        <f>DJ24*基本シート!$C$3</f>
        <v>0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0"/>
        <v>6.74</v>
      </c>
      <c r="EA24" s="3">
        <f>ROUND(DZ24*基本シート!$C$3,0)</f>
        <v>108</v>
      </c>
      <c r="EB24" s="3">
        <v>0</v>
      </c>
      <c r="EC24" s="3">
        <v>0</v>
      </c>
      <c r="ED24" s="3">
        <v>0</v>
      </c>
      <c r="EE24" s="3">
        <v>0.01</v>
      </c>
      <c r="EF24" s="3">
        <v>0.03</v>
      </c>
      <c r="EG24" s="3">
        <v>0.03</v>
      </c>
      <c r="EH24" s="3">
        <v>0</v>
      </c>
      <c r="EI24" s="3">
        <v>1</v>
      </c>
      <c r="EJ24" s="3">
        <v>2.09</v>
      </c>
      <c r="EK24" s="3">
        <v>3.28</v>
      </c>
      <c r="EL24" s="3">
        <v>0.49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6.93</v>
      </c>
      <c r="FA24" s="3">
        <v>0.26</v>
      </c>
      <c r="FB24" s="3">
        <v>0.22</v>
      </c>
      <c r="FC24" s="3">
        <v>0.21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0.02</v>
      </c>
      <c r="FQ24" s="3">
        <v>0.83</v>
      </c>
      <c r="FR24" s="3">
        <v>1.41</v>
      </c>
      <c r="FS24" s="3">
        <v>0.19</v>
      </c>
      <c r="FT24" s="3">
        <v>0.27</v>
      </c>
      <c r="FU24" s="3">
        <v>0.22</v>
      </c>
      <c r="FV24" s="3">
        <v>0.23</v>
      </c>
      <c r="FW24" s="3">
        <v>0.21</v>
      </c>
      <c r="FX24" s="3">
        <v>0.21</v>
      </c>
      <c r="FY24" s="3">
        <f t="shared" si="12"/>
        <v>4.28</v>
      </c>
      <c r="FZ24" s="3">
        <v>0.26</v>
      </c>
      <c r="GA24" s="3">
        <v>0.21</v>
      </c>
      <c r="GB24" s="3">
        <v>0.2</v>
      </c>
      <c r="GC24" s="3">
        <v>0.21</v>
      </c>
      <c r="GD24" s="3">
        <v>0.38</v>
      </c>
      <c r="GE24" s="3">
        <v>0.28000000000000003</v>
      </c>
      <c r="GF24" s="3">
        <v>0.26</v>
      </c>
      <c r="GG24" s="3">
        <v>0.23</v>
      </c>
      <c r="GH24" s="3">
        <v>0.2</v>
      </c>
      <c r="GI24" s="3">
        <v>0.18</v>
      </c>
      <c r="GJ24" s="3">
        <v>0.2</v>
      </c>
      <c r="GK24" s="3">
        <v>0.18</v>
      </c>
      <c r="GL24" s="3">
        <v>0.17</v>
      </c>
      <c r="GM24" s="3">
        <v>0.17</v>
      </c>
      <c r="GN24" s="3">
        <v>0.18</v>
      </c>
      <c r="GO24" s="3">
        <v>0.18</v>
      </c>
      <c r="GP24" s="3">
        <v>0.83</v>
      </c>
      <c r="GQ24" s="3">
        <v>1.41</v>
      </c>
      <c r="GR24" s="3">
        <v>0.18</v>
      </c>
      <c r="GS24" s="3">
        <v>0.27</v>
      </c>
      <c r="GT24" s="3">
        <v>0.22</v>
      </c>
      <c r="GU24" s="3">
        <v>0.22</v>
      </c>
      <c r="GV24" s="3">
        <v>0.2</v>
      </c>
      <c r="GW24" s="3">
        <v>0.2</v>
      </c>
      <c r="GX24" s="3">
        <f t="shared" si="13"/>
        <v>7.02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233</v>
      </c>
      <c r="C25" s="6" t="str">
        <f>TEXT(VLOOKUP(LEFT(B25,FIND("月",B25)),基本シート!$E$6:$F$17,2,FALSE)&amp;B25,"aaaa")</f>
        <v>土曜日</v>
      </c>
      <c r="D25" s="6"/>
      <c r="E25" s="6" t="str">
        <f t="shared" si="9"/>
        <v>〇</v>
      </c>
      <c r="F25" s="6" t="s">
        <v>297</v>
      </c>
      <c r="G25" s="6" t="s">
        <v>296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</v>
      </c>
      <c r="S25" s="3">
        <f>IF($E25="〇",R25*基本シート!$E$2,R25*VLOOKUP(LEFT(S$6,FIND("(",S$6)-1),基本シート!$B$6:$C$29,2,FALSE))</f>
        <v>0</v>
      </c>
      <c r="T25" s="3">
        <v>0</v>
      </c>
      <c r="U25" s="3">
        <f>IF($E25="〇",T25*基本シート!$E$2,T25*VLOOKUP(LEFT(U$6,FIND("(",U$6)-1),基本シート!$B$6:$C$29,2,FALSE))</f>
        <v>0</v>
      </c>
      <c r="V25" s="3">
        <v>0.01</v>
      </c>
      <c r="W25" s="3">
        <f>IF($E25="〇",V25*基本シート!$E$2,V25*VLOOKUP(LEFT(W$6,FIND("(",W$6)-1),基本シート!$B$6:$C$29,2,FALSE))</f>
        <v>0.29859999999999998</v>
      </c>
      <c r="X25" s="3">
        <v>0.01</v>
      </c>
      <c r="Y25" s="3">
        <f>IF($E25="〇",X25*基本シート!$E$2,X25*VLOOKUP(LEFT(Y$6,FIND("(",Y$6)-1),基本シート!$B$6:$C$29,2,FALSE))</f>
        <v>0.29859999999999998</v>
      </c>
      <c r="Z25" s="3">
        <v>0.01</v>
      </c>
      <c r="AA25" s="3">
        <f>IF($E25="〇",Z25*基本シート!$E$2,Z25*VLOOKUP(LEFT(AA$6,FIND("(",AA$6)-1),基本シート!$B$6:$C$29,2,FALSE))</f>
        <v>0.29859999999999998</v>
      </c>
      <c r="AB25" s="3">
        <v>0.14000000000000001</v>
      </c>
      <c r="AC25" s="3">
        <f>IF($E25="〇",AB25*基本シート!$E$2,AB25*VLOOKUP(LEFT(AC$6,FIND("(",AC$6)-1),基本シート!$B$6:$C$29,2,FALSE))</f>
        <v>4.1804000000000006</v>
      </c>
      <c r="AD25" s="3">
        <v>0.1</v>
      </c>
      <c r="AE25" s="3">
        <f>IF($E25="〇",AD25*基本シート!$E$2,AD25*VLOOKUP(LEFT(AE$6,FIND("(",AE$6)-1),基本シート!$B$6:$C$29,2,FALSE))</f>
        <v>2.9860000000000002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0.29859999999999998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0.19</v>
      </c>
      <c r="AO25" s="3">
        <f>IF($E25="〇",AN25*基本シート!$E$2,AN25*VLOOKUP(LEFT(AO$6,FIND("(",AO$6)-1),基本シート!$B$6:$C$29,2,FALSE))</f>
        <v>5.6734</v>
      </c>
      <c r="AP25" s="3">
        <v>1.41</v>
      </c>
      <c r="AQ25" s="3">
        <f>IF($E25="〇",AP25*基本シート!$E$2,AP25*VLOOKUP(LEFT(AQ$6,FIND("(",AQ$6)-1),基本シート!$B$6:$C$29,2,FALSE))</f>
        <v>42.102599999999995</v>
      </c>
      <c r="AR25" s="3">
        <v>0.34</v>
      </c>
      <c r="AS25" s="3">
        <f>IF($E25="〇",AR25*基本シート!$E$2,AR25*VLOOKUP(LEFT(AS$6,FIND("(",AS$6)-1),基本シート!$B$6:$C$29,2,FALSE))</f>
        <v>10.1524</v>
      </c>
      <c r="AT25" s="3">
        <v>0.28999999999999998</v>
      </c>
      <c r="AU25" s="3">
        <f>IF($E25="〇",AT25*基本シート!$E$2,AT25*VLOOKUP(LEFT(AU$6,FIND("(",AU$6)-1),基本シート!$B$6:$C$29,2,FALSE))</f>
        <v>8.6593999999999998</v>
      </c>
      <c r="AV25" s="3">
        <v>0.55000000000000004</v>
      </c>
      <c r="AW25" s="3">
        <f>IF($E25="〇",AV25*基本シート!$E$2,AV25*VLOOKUP(LEFT(AW$6,FIND("(",AW$6)-1),基本シート!$B$6:$C$29,2,FALSE))</f>
        <v>16.423000000000002</v>
      </c>
      <c r="AX25" s="3">
        <v>0.76</v>
      </c>
      <c r="AY25" s="3">
        <f>IF($E25="〇",AX25*基本シート!$E$2,AX25*VLOOKUP(LEFT(AY$6,FIND("(",AY$6)-1),基本シート!$B$6:$C$29,2,FALSE))</f>
        <v>22.6936</v>
      </c>
      <c r="AZ25" s="3">
        <v>0.45</v>
      </c>
      <c r="BA25" s="3">
        <f>IF($E25="〇",AZ25*基本シート!$E$2,AZ25*VLOOKUP(LEFT(BA$6,FIND("(",BA$6)-1),基本シート!$B$6:$C$29,2,FALSE))</f>
        <v>13.436999999999999</v>
      </c>
      <c r="BB25" s="3">
        <v>0.26</v>
      </c>
      <c r="BC25" s="3">
        <f>IF($E25="〇",BB25*基本シート!$E$2,BB25*VLOOKUP(LEFT(BC$6,FIND("(",BC$6)-1),基本シート!$B$6:$C$29,2,FALSE))</f>
        <v>7.7636000000000003</v>
      </c>
      <c r="BD25" s="3">
        <f t="shared" si="7"/>
        <v>4.5299999999999994</v>
      </c>
      <c r="BE25" s="3">
        <f t="shared" si="8"/>
        <v>135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0.21</v>
      </c>
      <c r="BN25" s="3">
        <v>0.4</v>
      </c>
      <c r="BO25" s="3">
        <v>0.78</v>
      </c>
      <c r="BP25" s="3">
        <v>0.57999999999999996</v>
      </c>
      <c r="BQ25" s="3">
        <v>0.94</v>
      </c>
      <c r="BR25" s="3">
        <v>0.38</v>
      </c>
      <c r="BS25" s="3">
        <v>0.2</v>
      </c>
      <c r="BT25" s="3">
        <v>0.34</v>
      </c>
      <c r="BU25" s="3">
        <v>0.12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</v>
      </c>
      <c r="DE25" s="3">
        <f>DD25*基本シート!$C$3</f>
        <v>0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0.11999999999999998</v>
      </c>
      <c r="EA25" s="3">
        <f>ROUND(DZ25*基本シート!$C$3,0)</f>
        <v>2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0.05</v>
      </c>
      <c r="EK25" s="3">
        <v>0.22</v>
      </c>
      <c r="EL25" s="3">
        <v>0</v>
      </c>
      <c r="EM25" s="3">
        <v>0.57999999999999996</v>
      </c>
      <c r="EN25" s="3">
        <v>0.13</v>
      </c>
      <c r="EO25" s="3">
        <v>0.01</v>
      </c>
      <c r="EP25" s="3">
        <v>0.15</v>
      </c>
      <c r="EQ25" s="3">
        <v>0</v>
      </c>
      <c r="ER25" s="3">
        <v>0</v>
      </c>
      <c r="ES25" s="3">
        <v>0.04</v>
      </c>
      <c r="ET25" s="3">
        <v>0.04</v>
      </c>
      <c r="EU25" s="3">
        <v>0.04</v>
      </c>
      <c r="EV25" s="3">
        <v>0.03</v>
      </c>
      <c r="EW25" s="3">
        <v>0.03</v>
      </c>
      <c r="EX25" s="3">
        <v>0.04</v>
      </c>
      <c r="EY25" s="3">
        <v>0.04</v>
      </c>
      <c r="EZ25" s="3">
        <f t="shared" si="11"/>
        <v>1.4000000000000001</v>
      </c>
      <c r="FA25" s="3">
        <v>0.18</v>
      </c>
      <c r="FB25" s="3">
        <v>0.19</v>
      </c>
      <c r="FC25" s="3">
        <v>0.19</v>
      </c>
      <c r="FD25" s="3">
        <v>0.18</v>
      </c>
      <c r="FE25" s="3">
        <v>0.2</v>
      </c>
      <c r="FF25" s="3">
        <v>0.24</v>
      </c>
      <c r="FG25" s="3">
        <v>0.22</v>
      </c>
      <c r="FH25" s="3">
        <v>0.15</v>
      </c>
      <c r="FI25" s="3">
        <v>0</v>
      </c>
      <c r="FJ25" s="3">
        <v>0</v>
      </c>
      <c r="FK25" s="3">
        <v>0.2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0.62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2.4499999999999997</v>
      </c>
      <c r="FZ25" s="3">
        <v>0.18</v>
      </c>
      <c r="GA25" s="3">
        <v>0.18</v>
      </c>
      <c r="GB25" s="3">
        <v>0.18</v>
      </c>
      <c r="GC25" s="3">
        <v>0.18</v>
      </c>
      <c r="GD25" s="3">
        <v>0.19</v>
      </c>
      <c r="GE25" s="3">
        <v>0.24</v>
      </c>
      <c r="GF25" s="3">
        <v>0.21</v>
      </c>
      <c r="GG25" s="3">
        <v>0.36</v>
      </c>
      <c r="GH25" s="3">
        <v>0.35</v>
      </c>
      <c r="GI25" s="3">
        <v>0.56000000000000005</v>
      </c>
      <c r="GJ25" s="3">
        <v>0.91</v>
      </c>
      <c r="GK25" s="3">
        <v>0.45</v>
      </c>
      <c r="GL25" s="3">
        <v>0.24</v>
      </c>
      <c r="GM25" s="3">
        <v>0.19</v>
      </c>
      <c r="GN25" s="3">
        <v>0.19</v>
      </c>
      <c r="GO25" s="3">
        <v>0.19</v>
      </c>
      <c r="GP25" s="3">
        <v>0.81</v>
      </c>
      <c r="GQ25" s="3">
        <v>1.37</v>
      </c>
      <c r="GR25" s="3">
        <v>0.3</v>
      </c>
      <c r="GS25" s="3">
        <v>0.25</v>
      </c>
      <c r="GT25" s="3">
        <v>0.52</v>
      </c>
      <c r="GU25" s="3">
        <v>0.73</v>
      </c>
      <c r="GV25" s="3">
        <v>0.41</v>
      </c>
      <c r="GW25" s="3">
        <v>0.22</v>
      </c>
      <c r="GX25" s="3">
        <f t="shared" si="13"/>
        <v>9.4100000000000019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234</v>
      </c>
      <c r="C26" s="6" t="str">
        <f>TEXT(VLOOKUP(LEFT(B26,FIND("月",B26)),基本シート!$E$6:$F$17,2,FALSE)&amp;B26,"aaaa")</f>
        <v>日曜日</v>
      </c>
      <c r="D26" s="6"/>
      <c r="E26" s="6" t="str">
        <f t="shared" si="9"/>
        <v>〇</v>
      </c>
      <c r="F26" s="6" t="s">
        <v>298</v>
      </c>
      <c r="G26" s="6" t="s">
        <v>298</v>
      </c>
      <c r="H26" s="3">
        <v>0.25</v>
      </c>
      <c r="I26" s="3">
        <f>IF($E26="〇",H26*基本シート!$E$2,H26*VLOOKUP(LEFT(I$6,FIND("(",I$6)-1),基本シート!$B$6:$C$29,2,FALSE))</f>
        <v>7.4649999999999999</v>
      </c>
      <c r="J26" s="3">
        <v>0.24</v>
      </c>
      <c r="K26" s="3">
        <f>IF($E26="〇",J26*基本シート!$E$2,J26*VLOOKUP(LEFT(K$6,FIND("(",K$6)-1),基本シート!$B$6:$C$29,2,FALSE))</f>
        <v>7.1663999999999994</v>
      </c>
      <c r="L26" s="3">
        <v>0.24</v>
      </c>
      <c r="M26" s="3">
        <f>IF($E26="〇",L26*基本シート!$E$2,L26*VLOOKUP(LEFT(M$6,FIND("(",M$6)-1),基本シート!$B$6:$C$29,2,FALSE))</f>
        <v>7.1663999999999994</v>
      </c>
      <c r="N26" s="3">
        <v>0.3</v>
      </c>
      <c r="O26" s="3">
        <f>IF($E26="〇",N26*基本シート!$E$2,N26*VLOOKUP(LEFT(O$6,FIND("(",O$6)-1),基本シート!$B$6:$C$29,2,FALSE))</f>
        <v>8.9580000000000002</v>
      </c>
      <c r="P26" s="3">
        <v>0.26</v>
      </c>
      <c r="Q26" s="3">
        <f>IF($E26="〇",P26*基本シート!$E$2,P26*VLOOKUP(LEFT(Q$6,FIND("(",Q$6)-1),基本シート!$B$6:$C$29,2,FALSE))</f>
        <v>7.7636000000000003</v>
      </c>
      <c r="R26" s="3">
        <v>0.26</v>
      </c>
      <c r="S26" s="3">
        <f>IF($E26="〇",R26*基本シート!$E$2,R26*VLOOKUP(LEFT(S$6,FIND("(",S$6)-1),基本シート!$B$6:$C$29,2,FALSE))</f>
        <v>7.7636000000000003</v>
      </c>
      <c r="T26" s="3">
        <v>0.09</v>
      </c>
      <c r="U26" s="3">
        <f>IF($E26="〇",T26*基本シート!$E$2,T26*VLOOKUP(LEFT(U$6,FIND("(",U$6)-1),基本シート!$B$6:$C$29,2,FALSE))</f>
        <v>2.6873999999999998</v>
      </c>
      <c r="V26" s="3">
        <v>0.01</v>
      </c>
      <c r="W26" s="3">
        <f>IF($E26="〇",V26*基本シート!$E$2,V26*VLOOKUP(LEFT(W$6,FIND("(",W$6)-1),基本シート!$B$6:$C$29,2,FALSE))</f>
        <v>0.29859999999999998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0.29859999999999998</v>
      </c>
      <c r="AP26" s="3">
        <v>0.01</v>
      </c>
      <c r="AQ26" s="3">
        <f>IF($E26="〇",AP26*基本シート!$E$2,AP26*VLOOKUP(LEFT(AQ$6,FIND("(",AQ$6)-1),基本シート!$B$6:$C$29,2,FALSE))</f>
        <v>0.29859999999999998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0.28000000000000003</v>
      </c>
      <c r="AY26" s="3">
        <f>IF($E26="〇",AX26*基本シート!$E$2,AX26*VLOOKUP(LEFT(AY$6,FIND("(",AY$6)-1),基本シート!$B$6:$C$29,2,FALSE))</f>
        <v>8.3608000000000011</v>
      </c>
      <c r="AZ26" s="3">
        <v>0.42</v>
      </c>
      <c r="BA26" s="3">
        <f>IF($E26="〇",AZ26*基本シート!$E$2,AZ26*VLOOKUP(LEFT(BA$6,FIND("(",BA$6)-1),基本シート!$B$6:$C$29,2,FALSE))</f>
        <v>12.5412</v>
      </c>
      <c r="BB26" s="3">
        <v>0.25</v>
      </c>
      <c r="BC26" s="3">
        <f>IF($E26="〇",BB26*基本シート!$E$2,BB26*VLOOKUP(LEFT(BC$6,FIND("(",BC$6)-1),基本シート!$B$6:$C$29,2,FALSE))</f>
        <v>7.4649999999999999</v>
      </c>
      <c r="BD26" s="3">
        <f t="shared" si="7"/>
        <v>2.62</v>
      </c>
      <c r="BE26" s="3">
        <f t="shared" si="8"/>
        <v>78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0.31</v>
      </c>
      <c r="BM26" s="3">
        <v>2.5299999999999998</v>
      </c>
      <c r="BN26" s="3">
        <v>5.22</v>
      </c>
      <c r="BO26" s="3">
        <v>5.64</v>
      </c>
      <c r="BP26" s="3">
        <v>5.61</v>
      </c>
      <c r="BQ26" s="3">
        <v>5.73</v>
      </c>
      <c r="BR26" s="3">
        <v>5.89</v>
      </c>
      <c r="BS26" s="3">
        <v>6.02</v>
      </c>
      <c r="BT26" s="3">
        <v>4.3099999999999996</v>
      </c>
      <c r="BU26" s="3">
        <v>1.98</v>
      </c>
      <c r="BV26" s="3">
        <v>0.28000000000000003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0.71</v>
      </c>
      <c r="CU26" s="3">
        <f>CT26*基本シート!$C$3</f>
        <v>11.36</v>
      </c>
      <c r="CV26" s="3">
        <v>5.28</v>
      </c>
      <c r="CW26" s="3">
        <f>CV26*基本シート!$C$3</f>
        <v>84.48</v>
      </c>
      <c r="CX26" s="3">
        <v>5.38</v>
      </c>
      <c r="CY26" s="3">
        <f>CX26*基本シート!$C$3</f>
        <v>86.08</v>
      </c>
      <c r="CZ26" s="3">
        <v>5.32</v>
      </c>
      <c r="DA26" s="3">
        <f>CZ26*基本シート!$C$3</f>
        <v>85.12</v>
      </c>
      <c r="DB26" s="3">
        <v>5.59</v>
      </c>
      <c r="DC26" s="3">
        <f>DB26*基本シート!$C$3</f>
        <v>89.44</v>
      </c>
      <c r="DD26" s="3">
        <v>5.13</v>
      </c>
      <c r="DE26" s="3">
        <f>DD26*基本シート!$C$3</f>
        <v>82.08</v>
      </c>
      <c r="DF26" s="3">
        <v>3.89</v>
      </c>
      <c r="DG26" s="3">
        <f>DF26*基本シート!$C$3</f>
        <v>62.24</v>
      </c>
      <c r="DH26" s="3">
        <v>1.76</v>
      </c>
      <c r="DI26" s="3">
        <f>DH26*基本シート!$C$3</f>
        <v>28.16</v>
      </c>
      <c r="DJ26" s="3">
        <v>0.05</v>
      </c>
      <c r="DK26" s="3">
        <f>DJ26*基本シート!$C$3</f>
        <v>0.8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33.139999999999993</v>
      </c>
      <c r="EA26" s="3">
        <f>ROUND(DZ26*基本シート!$C$3,0)</f>
        <v>530</v>
      </c>
      <c r="EB26" s="3">
        <v>0.04</v>
      </c>
      <c r="EC26" s="3">
        <v>0.03</v>
      </c>
      <c r="ED26" s="3">
        <v>0.04</v>
      </c>
      <c r="EE26" s="3">
        <v>0.04</v>
      </c>
      <c r="EF26" s="3">
        <v>0.03</v>
      </c>
      <c r="EG26" s="3">
        <v>0.04</v>
      </c>
      <c r="EH26" s="3">
        <v>0.18</v>
      </c>
      <c r="EI26" s="3">
        <v>2.3199999999999998</v>
      </c>
      <c r="EJ26" s="3">
        <v>4.12</v>
      </c>
      <c r="EK26" s="3">
        <v>0.09</v>
      </c>
      <c r="EL26" s="3">
        <v>0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0.04</v>
      </c>
      <c r="EY26" s="3">
        <v>0.04</v>
      </c>
      <c r="EZ26" s="3">
        <f t="shared" si="11"/>
        <v>7.02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0.01</v>
      </c>
      <c r="FQ26" s="3">
        <v>1.46</v>
      </c>
      <c r="FR26" s="3">
        <v>1.74</v>
      </c>
      <c r="FS26" s="3">
        <v>0.85</v>
      </c>
      <c r="FT26" s="3">
        <v>0.27</v>
      </c>
      <c r="FU26" s="3">
        <v>0.68</v>
      </c>
      <c r="FV26" s="3">
        <v>0.49</v>
      </c>
      <c r="FW26" s="3">
        <v>0</v>
      </c>
      <c r="FX26" s="3">
        <v>0</v>
      </c>
      <c r="FY26" s="3">
        <f t="shared" si="12"/>
        <v>5.5</v>
      </c>
      <c r="FZ26" s="3">
        <v>0.21</v>
      </c>
      <c r="GA26" s="3">
        <v>0.21</v>
      </c>
      <c r="GB26" s="3">
        <v>0.2</v>
      </c>
      <c r="GC26" s="3">
        <v>0.26</v>
      </c>
      <c r="GD26" s="3">
        <v>0.23</v>
      </c>
      <c r="GE26" s="3">
        <v>0.22</v>
      </c>
      <c r="GF26" s="3">
        <v>0.22</v>
      </c>
      <c r="GG26" s="3">
        <v>0.21</v>
      </c>
      <c r="GH26" s="3">
        <v>0.39</v>
      </c>
      <c r="GI26" s="3">
        <v>0.27</v>
      </c>
      <c r="GJ26" s="3">
        <v>0.23</v>
      </c>
      <c r="GK26" s="3">
        <v>0.41</v>
      </c>
      <c r="GL26" s="3">
        <v>0.3</v>
      </c>
      <c r="GM26" s="3">
        <v>0.88</v>
      </c>
      <c r="GN26" s="3">
        <v>0.42</v>
      </c>
      <c r="GO26" s="3">
        <v>0.23</v>
      </c>
      <c r="GP26" s="3">
        <v>1.7</v>
      </c>
      <c r="GQ26" s="3">
        <v>1.74</v>
      </c>
      <c r="GR26" s="3">
        <v>0.85</v>
      </c>
      <c r="GS26" s="3">
        <v>0.26</v>
      </c>
      <c r="GT26" s="3">
        <v>0.68</v>
      </c>
      <c r="GU26" s="3">
        <v>0.77</v>
      </c>
      <c r="GV26" s="3">
        <v>0.38</v>
      </c>
      <c r="GW26" s="3">
        <v>0.21</v>
      </c>
      <c r="GX26" s="3">
        <f t="shared" si="13"/>
        <v>11.48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235</v>
      </c>
      <c r="C27" s="6" t="str">
        <f>TEXT(VLOOKUP(LEFT(B27,FIND("月",B27)),基本シート!$E$6:$F$17,2,FALSE)&amp;B27,"aaaa")</f>
        <v>月曜日</v>
      </c>
      <c r="D27" s="6"/>
      <c r="E27" s="6" t="str">
        <f t="shared" si="9"/>
        <v/>
      </c>
      <c r="F27" s="6" t="s">
        <v>298</v>
      </c>
      <c r="G27" s="6" t="s">
        <v>296</v>
      </c>
      <c r="H27" s="3">
        <v>0.25</v>
      </c>
      <c r="I27" s="3">
        <f>IF($E27="〇",H27*基本シート!$E$2,H27*VLOOKUP(LEFT(I$6,FIND("(",I$6)-1),基本シート!$B$6:$C$29,2,FALSE))</f>
        <v>7.4649999999999999</v>
      </c>
      <c r="J27" s="3">
        <v>0.25</v>
      </c>
      <c r="K27" s="3">
        <f>IF($E27="〇",J27*基本シート!$E$2,J27*VLOOKUP(LEFT(K$6,FIND("(",K$6)-1),基本シート!$B$6:$C$29,2,FALSE))</f>
        <v>7.4649999999999999</v>
      </c>
      <c r="L27" s="3">
        <v>0.25</v>
      </c>
      <c r="M27" s="3">
        <f>IF($E27="〇",L27*基本シート!$E$2,L27*VLOOKUP(LEFT(M$6,FIND("(",M$6)-1),基本シート!$B$6:$C$29,2,FALSE))</f>
        <v>7.4649999999999999</v>
      </c>
      <c r="N27" s="3">
        <v>0.24</v>
      </c>
      <c r="O27" s="3">
        <f>IF($E27="〇",N27*基本シート!$E$2,N27*VLOOKUP(LEFT(O$6,FIND("(",O$6)-1),基本シート!$B$6:$C$29,2,FALSE))</f>
        <v>7.1663999999999994</v>
      </c>
      <c r="P27" s="3">
        <v>0.44</v>
      </c>
      <c r="Q27" s="3">
        <f>IF($E27="〇",P27*基本シート!$E$2,P27*VLOOKUP(LEFT(Q$6,FIND("(",Q$6)-1),基本シート!$B$6:$C$29,2,FALSE))</f>
        <v>13.138399999999999</v>
      </c>
      <c r="R27" s="3">
        <v>0.25</v>
      </c>
      <c r="S27" s="3">
        <f>IF($E27="〇",R27*基本シート!$E$2,R27*VLOOKUP(LEFT(S$6,FIND("(",S$6)-1),基本シート!$B$6:$C$29,2,FALSE))</f>
        <v>7.4649999999999999</v>
      </c>
      <c r="T27" s="3">
        <v>0.14000000000000001</v>
      </c>
      <c r="U27" s="3">
        <f>IF($E27="〇",T27*基本シート!$E$2,T27*VLOOKUP(LEFT(U$6,FIND("(",U$6)-1),基本シート!$B$6:$C$29,2,FALSE))</f>
        <v>4.1804000000000006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0.02</v>
      </c>
      <c r="AO27" s="3">
        <f>IF($E27="〇",AN27*基本シート!$E$2,AN27*VLOOKUP(LEFT(AO$6,FIND("(",AO$6)-1),基本シート!$B$6:$C$29,2,FALSE))</f>
        <v>0.73719999999999997</v>
      </c>
      <c r="AP27" s="3">
        <v>0.27</v>
      </c>
      <c r="AQ27" s="3">
        <f>IF($E27="〇",AP27*基本シート!$E$2,AP27*VLOOKUP(LEFT(AQ$6,FIND("(",AQ$6)-1),基本シート!$B$6:$C$29,2,FALSE))</f>
        <v>9.9522000000000013</v>
      </c>
      <c r="AR27" s="3">
        <v>0.04</v>
      </c>
      <c r="AS27" s="3">
        <f>IF($E27="〇",AR27*基本シート!$E$2,AR27*VLOOKUP(LEFT(AS$6,FIND("(",AS$6)-1),基本シート!$B$6:$C$29,2,FALSE))</f>
        <v>1.4743999999999999</v>
      </c>
      <c r="AT27" s="3">
        <v>1.49</v>
      </c>
      <c r="AU27" s="3">
        <f>IF($E27="〇",AT27*基本シート!$E$2,AT27*VLOOKUP(LEFT(AU$6,FIND("(",AU$6)-1),基本シート!$B$6:$C$29,2,FALSE))</f>
        <v>54.921399999999998</v>
      </c>
      <c r="AV27" s="3">
        <v>0.59</v>
      </c>
      <c r="AW27" s="3">
        <f>IF($E27="〇",AV27*基本シート!$E$2,AV27*VLOOKUP(LEFT(AW$6,FIND("(",AW$6)-1),基本シート!$B$6:$C$29,2,FALSE))</f>
        <v>21.747399999999999</v>
      </c>
      <c r="AX27" s="3">
        <v>0.4</v>
      </c>
      <c r="AY27" s="3">
        <f>IF($E27="〇",AX27*基本シート!$E$2,AX27*VLOOKUP(LEFT(AY$6,FIND("(",AY$6)-1),基本シート!$B$6:$C$29,2,FALSE))</f>
        <v>11.944000000000001</v>
      </c>
      <c r="AZ27" s="3">
        <v>0.23</v>
      </c>
      <c r="BA27" s="3">
        <f>IF($E27="〇",AZ27*基本シート!$E$2,AZ27*VLOOKUP(LEFT(BA$6,FIND("(",BA$6)-1),基本シート!$B$6:$C$29,2,FALSE))</f>
        <v>6.8677999999999999</v>
      </c>
      <c r="BB27" s="3">
        <v>0.24</v>
      </c>
      <c r="BC27" s="3">
        <f>IF($E27="〇",BB27*基本シート!$E$2,BB27*VLOOKUP(LEFT(BC$6,FIND("(",BC$6)-1),基本シート!$B$6:$C$29,2,FALSE))</f>
        <v>7.1663999999999994</v>
      </c>
      <c r="BD27" s="3">
        <f t="shared" si="7"/>
        <v>5.1000000000000005</v>
      </c>
      <c r="BE27" s="3">
        <f t="shared" si="8"/>
        <v>169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0.28999999999999998</v>
      </c>
      <c r="BM27" s="3">
        <v>2.5</v>
      </c>
      <c r="BN27" s="3">
        <v>5.03</v>
      </c>
      <c r="BO27" s="3">
        <v>6.16</v>
      </c>
      <c r="BP27" s="3">
        <v>6.84</v>
      </c>
      <c r="BQ27" s="3">
        <v>6.99</v>
      </c>
      <c r="BR27" s="3">
        <v>6.23</v>
      </c>
      <c r="BS27" s="3">
        <v>5.77</v>
      </c>
      <c r="BT27" s="3">
        <v>2.93</v>
      </c>
      <c r="BU27" s="3">
        <v>1.07</v>
      </c>
      <c r="BV27" s="3">
        <v>0.09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0.56999999999999995</v>
      </c>
      <c r="CU27" s="3">
        <f>CT27*基本シート!$C$3</f>
        <v>9.1199999999999992</v>
      </c>
      <c r="CV27" s="3">
        <v>5.76</v>
      </c>
      <c r="CW27" s="3">
        <f>CV27*基本シート!$C$3</f>
        <v>92.16</v>
      </c>
      <c r="CX27" s="3">
        <v>6.63</v>
      </c>
      <c r="CY27" s="3">
        <f>CX27*基本シート!$C$3</f>
        <v>106.08</v>
      </c>
      <c r="CZ27" s="3">
        <v>6.75</v>
      </c>
      <c r="DA27" s="3">
        <f>CZ27*基本シート!$C$3</f>
        <v>108</v>
      </c>
      <c r="DB27" s="3">
        <v>6.03</v>
      </c>
      <c r="DC27" s="3">
        <f>DB27*基本シート!$C$3</f>
        <v>96.48</v>
      </c>
      <c r="DD27" s="3">
        <v>5.5</v>
      </c>
      <c r="DE27" s="3">
        <f>DD27*基本シート!$C$3</f>
        <v>88</v>
      </c>
      <c r="DF27" s="3">
        <v>2.71</v>
      </c>
      <c r="DG27" s="3">
        <f>DF27*基本シート!$C$3</f>
        <v>43.36</v>
      </c>
      <c r="DH27" s="3">
        <v>0.89</v>
      </c>
      <c r="DI27" s="3">
        <f>DH27*基本シート!$C$3</f>
        <v>14.24</v>
      </c>
      <c r="DJ27" s="3">
        <v>0.03</v>
      </c>
      <c r="DK27" s="3">
        <f>DJ27*基本シート!$C$3</f>
        <v>0.48</v>
      </c>
      <c r="DL27" s="3">
        <v>0</v>
      </c>
      <c r="DM27" s="3">
        <f>DL27*基本シート!$C$3</f>
        <v>0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34.89</v>
      </c>
      <c r="EA27" s="3">
        <f>ROUND(DZ27*基本シート!$C$3,0)</f>
        <v>558</v>
      </c>
      <c r="EB27" s="3">
        <v>0.04</v>
      </c>
      <c r="EC27" s="3">
        <v>0.04</v>
      </c>
      <c r="ED27" s="3">
        <v>0.04</v>
      </c>
      <c r="EE27" s="3">
        <v>0.03</v>
      </c>
      <c r="EF27" s="3">
        <v>0.04</v>
      </c>
      <c r="EG27" s="3">
        <v>0.04</v>
      </c>
      <c r="EH27" s="3">
        <v>0.12</v>
      </c>
      <c r="EI27" s="3">
        <v>2.2599999999999998</v>
      </c>
      <c r="EJ27" s="3">
        <v>4.24</v>
      </c>
      <c r="EK27" s="3">
        <v>0.18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7.1800000000000006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</v>
      </c>
      <c r="FP27" s="3">
        <v>0.01</v>
      </c>
      <c r="FQ27" s="3">
        <v>1.1000000000000001</v>
      </c>
      <c r="FR27" s="3">
        <v>2.52</v>
      </c>
      <c r="FS27" s="3">
        <v>1.89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5.53</v>
      </c>
      <c r="FZ27" s="3">
        <v>0.21</v>
      </c>
      <c r="GA27" s="3">
        <v>0.21</v>
      </c>
      <c r="GB27" s="3">
        <v>0.21</v>
      </c>
      <c r="GC27" s="3">
        <v>0.21</v>
      </c>
      <c r="GD27" s="3">
        <v>0.4</v>
      </c>
      <c r="GE27" s="3">
        <v>0.21</v>
      </c>
      <c r="GF27" s="3">
        <v>0.31</v>
      </c>
      <c r="GG27" s="3">
        <v>0.23</v>
      </c>
      <c r="GH27" s="3">
        <v>0.22</v>
      </c>
      <c r="GI27" s="3">
        <v>0.22</v>
      </c>
      <c r="GJ27" s="3">
        <v>0.21</v>
      </c>
      <c r="GK27" s="3">
        <v>0.24</v>
      </c>
      <c r="GL27" s="3">
        <v>0.2</v>
      </c>
      <c r="GM27" s="3">
        <v>0.28000000000000003</v>
      </c>
      <c r="GN27" s="3">
        <v>0.22</v>
      </c>
      <c r="GO27" s="3">
        <v>0.19</v>
      </c>
      <c r="GP27" s="3">
        <v>1.18</v>
      </c>
      <c r="GQ27" s="3">
        <v>2.79</v>
      </c>
      <c r="GR27" s="3">
        <v>1.92</v>
      </c>
      <c r="GS27" s="3">
        <v>1.46</v>
      </c>
      <c r="GT27" s="3">
        <v>0.56000000000000005</v>
      </c>
      <c r="GU27" s="3">
        <v>0.37</v>
      </c>
      <c r="GV27" s="3">
        <v>0.2</v>
      </c>
      <c r="GW27" s="3">
        <v>0.21</v>
      </c>
      <c r="GX27" s="3">
        <f t="shared" si="13"/>
        <v>12.46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236</v>
      </c>
      <c r="C28" s="6" t="str">
        <f>TEXT(VLOOKUP(LEFT(B28,FIND("月",B28)),基本シート!$E$6:$F$17,2,FALSE)&amp;B28,"aaaa")</f>
        <v>火曜日</v>
      </c>
      <c r="D28" s="6"/>
      <c r="E28" s="6" t="str">
        <f t="shared" si="9"/>
        <v/>
      </c>
      <c r="F28" s="6" t="s">
        <v>296</v>
      </c>
      <c r="G28" s="6" t="s">
        <v>297</v>
      </c>
      <c r="H28" s="3">
        <v>0.28000000000000003</v>
      </c>
      <c r="I28" s="3">
        <f>IF($E28="〇",H28*基本シート!$E$2,H28*VLOOKUP(LEFT(I$6,FIND("(",I$6)-1),基本シート!$B$6:$C$29,2,FALSE))</f>
        <v>8.3608000000000011</v>
      </c>
      <c r="J28" s="3">
        <v>0.26</v>
      </c>
      <c r="K28" s="3">
        <f>IF($E28="〇",J28*基本シート!$E$2,J28*VLOOKUP(LEFT(K$6,FIND("(",K$6)-1),基本シート!$B$6:$C$29,2,FALSE))</f>
        <v>7.7636000000000003</v>
      </c>
      <c r="L28" s="3">
        <v>0.23</v>
      </c>
      <c r="M28" s="3">
        <f>IF($E28="〇",L28*基本シート!$E$2,L28*VLOOKUP(LEFT(M$6,FIND("(",M$6)-1),基本シート!$B$6:$C$29,2,FALSE))</f>
        <v>6.8677999999999999</v>
      </c>
      <c r="N28" s="3">
        <v>0.23</v>
      </c>
      <c r="O28" s="3">
        <f>IF($E28="〇",N28*基本シート!$E$2,N28*VLOOKUP(LEFT(O$6,FIND("(",O$6)-1),基本シート!$B$6:$C$29,2,FALSE))</f>
        <v>6.8677999999999999</v>
      </c>
      <c r="P28" s="3">
        <v>0.42</v>
      </c>
      <c r="Q28" s="3">
        <f>IF($E28="〇",P28*基本シート!$E$2,P28*VLOOKUP(LEFT(Q$6,FIND("(",Q$6)-1),基本シート!$B$6:$C$29,2,FALSE))</f>
        <v>12.5412</v>
      </c>
      <c r="R28" s="3">
        <v>0.24</v>
      </c>
      <c r="S28" s="3">
        <f>IF($E28="〇",R28*基本シート!$E$2,R28*VLOOKUP(LEFT(S$6,FIND("(",S$6)-1),基本シート!$B$6:$C$29,2,FALSE))</f>
        <v>7.1663999999999994</v>
      </c>
      <c r="T28" s="3">
        <v>0.5</v>
      </c>
      <c r="U28" s="3">
        <f>IF($E28="〇",T28*基本シート!$E$2,T28*VLOOKUP(LEFT(U$6,FIND("(",U$6)-1),基本シート!$B$6:$C$29,2,FALSE))</f>
        <v>14.93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0.36859999999999998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0.29859999999999998</v>
      </c>
      <c r="AZ28" s="3">
        <v>0.02</v>
      </c>
      <c r="BA28" s="3">
        <f>IF($E28="〇",AZ28*基本シート!$E$2,AZ28*VLOOKUP(LEFT(BA$6,FIND("(",BA$6)-1),基本シート!$B$6:$C$29,2,FALSE))</f>
        <v>0.59719999999999995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2.2099999999999995</v>
      </c>
      <c r="BE28" s="3">
        <f t="shared" si="8"/>
        <v>66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0.24</v>
      </c>
      <c r="BM28" s="3">
        <v>2.0499999999999998</v>
      </c>
      <c r="BN28" s="3">
        <v>4.53</v>
      </c>
      <c r="BO28" s="3">
        <v>5.6</v>
      </c>
      <c r="BP28" s="3">
        <v>5.26</v>
      </c>
      <c r="BQ28" s="3">
        <v>5.63</v>
      </c>
      <c r="BR28" s="3">
        <v>4.7699999999999996</v>
      </c>
      <c r="BS28" s="3">
        <v>2.27</v>
      </c>
      <c r="BT28" s="3">
        <v>1.26</v>
      </c>
      <c r="BU28" s="3">
        <v>0.35</v>
      </c>
      <c r="BV28" s="3">
        <v>0.02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0.02</v>
      </c>
      <c r="CU28" s="3">
        <f>CT28*基本シート!$C$3</f>
        <v>0.32</v>
      </c>
      <c r="CV28" s="3">
        <v>4.79</v>
      </c>
      <c r="CW28" s="3">
        <f>CV28*基本シート!$C$3</f>
        <v>76.64</v>
      </c>
      <c r="CX28" s="3">
        <v>5.08</v>
      </c>
      <c r="CY28" s="3">
        <f>CX28*基本シート!$C$3</f>
        <v>81.28</v>
      </c>
      <c r="CZ28" s="3">
        <v>5.39</v>
      </c>
      <c r="DA28" s="3">
        <f>CZ28*基本シート!$C$3</f>
        <v>86.24</v>
      </c>
      <c r="DB28" s="3">
        <v>4.57</v>
      </c>
      <c r="DC28" s="3">
        <f>DB28*基本シート!$C$3</f>
        <v>73.12</v>
      </c>
      <c r="DD28" s="3">
        <v>2.0699999999999998</v>
      </c>
      <c r="DE28" s="3">
        <f>DD28*基本シート!$C$3</f>
        <v>33.119999999999997</v>
      </c>
      <c r="DF28" s="3">
        <v>1.08</v>
      </c>
      <c r="DG28" s="3">
        <f>DF28*基本シート!$C$3</f>
        <v>17.28</v>
      </c>
      <c r="DH28" s="3">
        <v>0.2</v>
      </c>
      <c r="DI28" s="3">
        <f>DH28*基本シート!$C$3</f>
        <v>3.2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0"/>
        <v>23.29000000000001</v>
      </c>
      <c r="EA28" s="3">
        <f>ROUND(DZ28*基本シート!$C$3,0)</f>
        <v>373</v>
      </c>
      <c r="EB28" s="3">
        <v>0.03</v>
      </c>
      <c r="EC28" s="3">
        <v>0.03</v>
      </c>
      <c r="ED28" s="3">
        <v>0.03</v>
      </c>
      <c r="EE28" s="3">
        <v>0.02</v>
      </c>
      <c r="EF28" s="3">
        <v>0.02</v>
      </c>
      <c r="EG28" s="3">
        <v>0.03</v>
      </c>
      <c r="EH28" s="3">
        <v>0.12</v>
      </c>
      <c r="EI28" s="3">
        <v>1.78</v>
      </c>
      <c r="EJ28" s="3">
        <v>4.32</v>
      </c>
      <c r="EK28" s="3">
        <v>0.61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6.9900000000000011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0.73</v>
      </c>
      <c r="FR28" s="3">
        <v>0.98</v>
      </c>
      <c r="FS28" s="3">
        <v>1.02</v>
      </c>
      <c r="FT28" s="3">
        <v>0.34</v>
      </c>
      <c r="FU28" s="3">
        <v>0.54</v>
      </c>
      <c r="FV28" s="3">
        <v>0.73</v>
      </c>
      <c r="FW28" s="3">
        <v>0.41</v>
      </c>
      <c r="FX28" s="3">
        <v>0.23</v>
      </c>
      <c r="FY28" s="3">
        <f t="shared" si="12"/>
        <v>5</v>
      </c>
      <c r="FZ28" s="3">
        <v>0.25</v>
      </c>
      <c r="GA28" s="3">
        <v>0.23</v>
      </c>
      <c r="GB28" s="3">
        <v>0.2</v>
      </c>
      <c r="GC28" s="3">
        <v>0.21</v>
      </c>
      <c r="GD28" s="3">
        <v>0.4</v>
      </c>
      <c r="GE28" s="3">
        <v>0.21</v>
      </c>
      <c r="GF28" s="3">
        <v>0.62</v>
      </c>
      <c r="GG28" s="3">
        <v>0.26</v>
      </c>
      <c r="GH28" s="3">
        <v>0.19</v>
      </c>
      <c r="GI28" s="3">
        <v>0.2</v>
      </c>
      <c r="GJ28" s="3">
        <v>0.18</v>
      </c>
      <c r="GK28" s="3">
        <v>0.24</v>
      </c>
      <c r="GL28" s="3">
        <v>0.2</v>
      </c>
      <c r="GM28" s="3">
        <v>0.2</v>
      </c>
      <c r="GN28" s="3">
        <v>0.18</v>
      </c>
      <c r="GO28" s="3">
        <v>0.17</v>
      </c>
      <c r="GP28" s="3">
        <v>0.74</v>
      </c>
      <c r="GQ28" s="3">
        <v>0.97</v>
      </c>
      <c r="GR28" s="3">
        <v>1.02</v>
      </c>
      <c r="GS28" s="3">
        <v>0.34</v>
      </c>
      <c r="GT28" s="3">
        <v>0.53</v>
      </c>
      <c r="GU28" s="3">
        <v>0.73</v>
      </c>
      <c r="GV28" s="3">
        <v>0.42</v>
      </c>
      <c r="GW28" s="3">
        <v>0.22</v>
      </c>
      <c r="GX28" s="3">
        <f t="shared" si="13"/>
        <v>8.91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237</v>
      </c>
      <c r="C29" s="6" t="str">
        <f>TEXT(VLOOKUP(LEFT(B29,FIND("月",B29)),基本シート!$E$6:$F$17,2,FALSE)&amp;B29,"aaaa")</f>
        <v>水曜日</v>
      </c>
      <c r="D29" s="6"/>
      <c r="E29" s="6" t="str">
        <f t="shared" si="9"/>
        <v/>
      </c>
      <c r="F29" s="6" t="s">
        <v>297</v>
      </c>
      <c r="G29" s="6" t="s">
        <v>297</v>
      </c>
      <c r="H29" s="3">
        <v>0.01</v>
      </c>
      <c r="I29" s="3">
        <f>IF($E29="〇",H29*基本シート!$E$2,H29*VLOOKUP(LEFT(I$6,FIND("(",I$6)-1),基本シート!$B$6:$C$29,2,FALSE))</f>
        <v>0.29859999999999998</v>
      </c>
      <c r="J29" s="3">
        <v>0.09</v>
      </c>
      <c r="K29" s="3">
        <f>IF($E29="〇",J29*基本シート!$E$2,J29*VLOOKUP(LEFT(K$6,FIND("(",K$6)-1),基本シート!$B$6:$C$29,2,FALSE))</f>
        <v>2.6873999999999998</v>
      </c>
      <c r="L29" s="3">
        <v>0.22</v>
      </c>
      <c r="M29" s="3">
        <f>IF($E29="〇",L29*基本シート!$E$2,L29*VLOOKUP(LEFT(M$6,FIND("(",M$6)-1),基本シート!$B$6:$C$29,2,FALSE))</f>
        <v>6.5691999999999995</v>
      </c>
      <c r="N29" s="3">
        <v>0.23</v>
      </c>
      <c r="O29" s="3">
        <f>IF($E29="〇",N29*基本シート!$E$2,N29*VLOOKUP(LEFT(O$6,FIND("(",O$6)-1),基本シート!$B$6:$C$29,2,FALSE))</f>
        <v>6.8677999999999999</v>
      </c>
      <c r="P29" s="3">
        <v>0.39</v>
      </c>
      <c r="Q29" s="3">
        <f>IF($E29="〇",P29*基本シート!$E$2,P29*VLOOKUP(LEFT(Q$6,FIND("(",Q$6)-1),基本シート!$B$6:$C$29,2,FALSE))</f>
        <v>11.6454</v>
      </c>
      <c r="R29" s="3">
        <v>0.55000000000000004</v>
      </c>
      <c r="S29" s="3">
        <f>IF($E29="〇",R29*基本シート!$E$2,R29*VLOOKUP(LEFT(S$6,FIND("(",S$6)-1),基本シート!$B$6:$C$29,2,FALSE))</f>
        <v>16.423000000000002</v>
      </c>
      <c r="T29" s="3">
        <v>0.18</v>
      </c>
      <c r="U29" s="3">
        <f>IF($E29="〇",T29*基本シート!$E$2,T29*VLOOKUP(LEFT(U$6,FIND("(",U$6)-1),基本シート!$B$6:$C$29,2,FALSE))</f>
        <v>5.3747999999999996</v>
      </c>
      <c r="V29" s="3">
        <v>0.14000000000000001</v>
      </c>
      <c r="W29" s="3">
        <f>IF($E29="〇",V29*基本シート!$E$2,V29*VLOOKUP(LEFT(W$6,FIND("(",W$6)-1),基本シート!$B$6:$C$29,2,FALSE))</f>
        <v>5.1604000000000001</v>
      </c>
      <c r="X29" s="3">
        <v>0.03</v>
      </c>
      <c r="Y29" s="3">
        <f>IF($E29="〇",X29*基本シート!$E$2,X29*VLOOKUP(LEFT(Y$6,FIND("(",Y$6)-1),基本シート!$B$6:$C$29,2,FALSE))</f>
        <v>1.1057999999999999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0.01</v>
      </c>
      <c r="AS29" s="3">
        <f>IF($E29="〇",AR29*基本シート!$E$2,AR29*VLOOKUP(LEFT(AS$6,FIND("(",AS$6)-1),基本シート!$B$6:$C$29,2,FALSE))</f>
        <v>0.36859999999999998</v>
      </c>
      <c r="AT29" s="3">
        <v>0.01</v>
      </c>
      <c r="AU29" s="3">
        <f>IF($E29="〇",AT29*基本シート!$E$2,AT29*VLOOKUP(LEFT(AU$6,FIND("(",AU$6)-1),基本シート!$B$6:$C$29,2,FALSE))</f>
        <v>0.36859999999999998</v>
      </c>
      <c r="AV29" s="3">
        <v>0.3</v>
      </c>
      <c r="AW29" s="3">
        <f>IF($E29="〇",AV29*基本シート!$E$2,AV29*VLOOKUP(LEFT(AW$6,FIND("(",AW$6)-1),基本シート!$B$6:$C$29,2,FALSE))</f>
        <v>11.058</v>
      </c>
      <c r="AX29" s="3">
        <v>0.66</v>
      </c>
      <c r="AY29" s="3">
        <f>IF($E29="〇",AX29*基本シート!$E$2,AX29*VLOOKUP(LEFT(AY$6,FIND("(",AY$6)-1),基本シート!$B$6:$C$29,2,FALSE))</f>
        <v>19.707599999999999</v>
      </c>
      <c r="AZ29" s="3">
        <v>0.39</v>
      </c>
      <c r="BA29" s="3">
        <f>IF($E29="〇",AZ29*基本シート!$E$2,AZ29*VLOOKUP(LEFT(BA$6,FIND("(",BA$6)-1),基本シート!$B$6:$C$29,2,FALSE))</f>
        <v>11.6454</v>
      </c>
      <c r="BB29" s="3">
        <v>0.24</v>
      </c>
      <c r="BC29" s="3">
        <f>IF($E29="〇",BB29*基本シート!$E$2,BB29*VLOOKUP(LEFT(BC$6,FIND("(",BC$6)-1),基本シート!$B$6:$C$29,2,FALSE))</f>
        <v>7.1663999999999994</v>
      </c>
      <c r="BD29" s="3">
        <f t="shared" si="7"/>
        <v>3.46</v>
      </c>
      <c r="BE29" s="3">
        <f t="shared" si="8"/>
        <v>107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0.09</v>
      </c>
      <c r="BM29" s="3">
        <v>7.0000000000000007E-2</v>
      </c>
      <c r="BN29" s="3">
        <v>0.71</v>
      </c>
      <c r="BO29" s="3">
        <v>1.44</v>
      </c>
      <c r="BP29" s="3">
        <v>1.28</v>
      </c>
      <c r="BQ29" s="3">
        <v>0.84</v>
      </c>
      <c r="BR29" s="3">
        <v>0.25</v>
      </c>
      <c r="BS29" s="3">
        <v>0.46</v>
      </c>
      <c r="BT29" s="3">
        <v>0.23</v>
      </c>
      <c r="BU29" s="3">
        <v>0.13</v>
      </c>
      <c r="BV29" s="3">
        <v>0.02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</v>
      </c>
      <c r="DA29" s="3">
        <f>CZ29*基本シート!$C$3</f>
        <v>0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0.09</v>
      </c>
      <c r="EA29" s="3">
        <f>ROUND(DZ29*基本シート!$C$3,0)</f>
        <v>1</v>
      </c>
      <c r="EB29" s="3">
        <v>0</v>
      </c>
      <c r="EC29" s="3">
        <v>0</v>
      </c>
      <c r="ED29" s="3">
        <v>0.03</v>
      </c>
      <c r="EE29" s="3">
        <v>0.03</v>
      </c>
      <c r="EF29" s="3">
        <v>0.03</v>
      </c>
      <c r="EG29" s="3">
        <v>0.04</v>
      </c>
      <c r="EH29" s="3">
        <v>0.02</v>
      </c>
      <c r="EI29" s="3">
        <v>0.01</v>
      </c>
      <c r="EJ29" s="3">
        <v>0.56999999999999995</v>
      </c>
      <c r="EK29" s="3">
        <v>1.26</v>
      </c>
      <c r="EL29" s="3">
        <v>1.0900000000000001</v>
      </c>
      <c r="EM29" s="3">
        <v>0.66</v>
      </c>
      <c r="EN29" s="3">
        <v>0.06</v>
      </c>
      <c r="EO29" s="3">
        <v>0.28000000000000003</v>
      </c>
      <c r="EP29" s="3">
        <v>0.05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0.02</v>
      </c>
      <c r="EX29" s="3">
        <v>0.03</v>
      </c>
      <c r="EY29" s="3">
        <v>0.02</v>
      </c>
      <c r="EZ29" s="3">
        <f t="shared" si="11"/>
        <v>4.1999999999999993</v>
      </c>
      <c r="FA29" s="3">
        <v>0.36</v>
      </c>
      <c r="FB29" s="3">
        <v>0.11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0.05</v>
      </c>
      <c r="FQ29" s="3">
        <v>0.7</v>
      </c>
      <c r="FR29" s="3">
        <v>1.23</v>
      </c>
      <c r="FS29" s="3">
        <v>0.59</v>
      </c>
      <c r="FT29" s="3">
        <v>0.33</v>
      </c>
      <c r="FU29" s="3">
        <v>0.31</v>
      </c>
      <c r="FV29" s="3">
        <v>0</v>
      </c>
      <c r="FW29" s="3">
        <v>0</v>
      </c>
      <c r="FX29" s="3">
        <v>0</v>
      </c>
      <c r="FY29" s="3">
        <f t="shared" si="12"/>
        <v>3.68</v>
      </c>
      <c r="FZ29" s="3">
        <v>0.36</v>
      </c>
      <c r="GA29" s="3">
        <v>0.2</v>
      </c>
      <c r="GB29" s="3">
        <v>0.19</v>
      </c>
      <c r="GC29" s="3">
        <v>0.2</v>
      </c>
      <c r="GD29" s="3">
        <v>0.36</v>
      </c>
      <c r="GE29" s="3">
        <v>0.51</v>
      </c>
      <c r="GF29" s="3">
        <v>0.25</v>
      </c>
      <c r="GG29" s="3">
        <v>0.2</v>
      </c>
      <c r="GH29" s="3">
        <v>0.17</v>
      </c>
      <c r="GI29" s="3">
        <v>0.18</v>
      </c>
      <c r="GJ29" s="3">
        <v>0.18</v>
      </c>
      <c r="GK29" s="3">
        <v>0.18</v>
      </c>
      <c r="GL29" s="3">
        <v>0.18</v>
      </c>
      <c r="GM29" s="3">
        <v>0.17</v>
      </c>
      <c r="GN29" s="3">
        <v>0.18</v>
      </c>
      <c r="GO29" s="3">
        <v>0.17</v>
      </c>
      <c r="GP29" s="3">
        <v>0.71</v>
      </c>
      <c r="GQ29" s="3">
        <v>1.23</v>
      </c>
      <c r="GR29" s="3">
        <v>0.59</v>
      </c>
      <c r="GS29" s="3">
        <v>0.33</v>
      </c>
      <c r="GT29" s="3">
        <v>0.61</v>
      </c>
      <c r="GU29" s="3">
        <v>0.64</v>
      </c>
      <c r="GV29" s="3">
        <v>0.36</v>
      </c>
      <c r="GW29" s="3">
        <v>0.22</v>
      </c>
      <c r="GX29" s="3">
        <f t="shared" si="13"/>
        <v>8.370000000000001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238</v>
      </c>
      <c r="C30" s="6" t="str">
        <f>TEXT(VLOOKUP(LEFT(B30,FIND("月",B30)),基本シート!$E$6:$F$17,2,FALSE)&amp;B30,"aaaa")</f>
        <v>木曜日</v>
      </c>
      <c r="D30" s="6"/>
      <c r="E30" s="6" t="str">
        <f t="shared" si="9"/>
        <v/>
      </c>
      <c r="F30" s="6" t="s">
        <v>298</v>
      </c>
      <c r="G30" s="6" t="s">
        <v>296</v>
      </c>
      <c r="H30" s="3">
        <v>0.22</v>
      </c>
      <c r="I30" s="3">
        <f>IF($E30="〇",H30*基本シート!$E$2,H30*VLOOKUP(LEFT(I$6,FIND("(",I$6)-1),基本シート!$B$6:$C$29,2,FALSE))</f>
        <v>6.5691999999999995</v>
      </c>
      <c r="J30" s="3">
        <v>0.21</v>
      </c>
      <c r="K30" s="3">
        <f>IF($E30="〇",J30*基本シート!$E$2,J30*VLOOKUP(LEFT(K$6,FIND("(",K$6)-1),基本シート!$B$6:$C$29,2,FALSE))</f>
        <v>6.2706</v>
      </c>
      <c r="L30" s="3">
        <v>0.21</v>
      </c>
      <c r="M30" s="3">
        <f>IF($E30="〇",L30*基本シート!$E$2,L30*VLOOKUP(LEFT(M$6,FIND("(",M$6)-1),基本シート!$B$6:$C$29,2,FALSE))</f>
        <v>6.2706</v>
      </c>
      <c r="N30" s="3">
        <v>0.23</v>
      </c>
      <c r="O30" s="3">
        <f>IF($E30="〇",N30*基本シート!$E$2,N30*VLOOKUP(LEFT(O$6,FIND("(",O$6)-1),基本シート!$B$6:$C$29,2,FALSE))</f>
        <v>6.8677999999999999</v>
      </c>
      <c r="P30" s="3">
        <v>0.4</v>
      </c>
      <c r="Q30" s="3">
        <f>IF($E30="〇",P30*基本シート!$E$2,P30*VLOOKUP(LEFT(Q$6,FIND("(",Q$6)-1),基本シート!$B$6:$C$29,2,FALSE))</f>
        <v>11.944000000000001</v>
      </c>
      <c r="R30" s="3">
        <v>0.23</v>
      </c>
      <c r="S30" s="3">
        <f>IF($E30="〇",R30*基本シート!$E$2,R30*VLOOKUP(LEFT(S$6,FIND("(",S$6)-1),基本シート!$B$6:$C$29,2,FALSE))</f>
        <v>6.8677999999999999</v>
      </c>
      <c r="T30" s="3">
        <v>0.43</v>
      </c>
      <c r="U30" s="3">
        <f>IF($E30="〇",T30*基本シート!$E$2,T30*VLOOKUP(LEFT(U$6,FIND("(",U$6)-1),基本シート!$B$6:$C$29,2,FALSE))</f>
        <v>12.8398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0.01</v>
      </c>
      <c r="Y30" s="3">
        <f>IF($E30="〇",X30*基本シート!$E$2,X30*VLOOKUP(LEFT(Y$6,FIND("(",Y$6)-1),基本シート!$B$6:$C$29,2,FALSE))</f>
        <v>0.36859999999999998</v>
      </c>
      <c r="Z30" s="3">
        <v>0.01</v>
      </c>
      <c r="AA30" s="3">
        <f>IF($E30="〇",Z30*基本シート!$E$2,Z30*VLOOKUP(LEFT(AA$6,FIND("(",AA$6)-1),基本シート!$B$6:$C$29,2,FALSE))</f>
        <v>0.36859999999999998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0.02</v>
      </c>
      <c r="AU30" s="3">
        <f>IF($E30="〇",AT30*基本シート!$E$2,AT30*VLOOKUP(LEFT(AU$6,FIND("(",AU$6)-1),基本シート!$B$6:$C$29,2,FALSE))</f>
        <v>0.73719999999999997</v>
      </c>
      <c r="AV30" s="3">
        <v>0.01</v>
      </c>
      <c r="AW30" s="3">
        <f>IF($E30="〇",AV30*基本シート!$E$2,AV30*VLOOKUP(LEFT(AW$6,FIND("(",AW$6)-1),基本シート!$B$6:$C$29,2,FALSE))</f>
        <v>0.36859999999999998</v>
      </c>
      <c r="AX30" s="3">
        <v>0.01</v>
      </c>
      <c r="AY30" s="3">
        <f>IF($E30="〇",AX30*基本シート!$E$2,AX30*VLOOKUP(LEFT(AY$6,FIND("(",AY$6)-1),基本シート!$B$6:$C$29,2,FALSE))</f>
        <v>0.29859999999999998</v>
      </c>
      <c r="AZ30" s="3">
        <v>0.32</v>
      </c>
      <c r="BA30" s="3">
        <f>IF($E30="〇",AZ30*基本シート!$E$2,AZ30*VLOOKUP(LEFT(BA$6,FIND("(",BA$6)-1),基本シート!$B$6:$C$29,2,FALSE))</f>
        <v>9.5551999999999992</v>
      </c>
      <c r="BB30" s="3">
        <v>0.24</v>
      </c>
      <c r="BC30" s="3">
        <f>IF($E30="〇",BB30*基本シート!$E$2,BB30*VLOOKUP(LEFT(BC$6,FIND("(",BC$6)-1),基本シート!$B$6:$C$29,2,FALSE))</f>
        <v>7.1663999999999994</v>
      </c>
      <c r="BD30" s="3">
        <f t="shared" si="7"/>
        <v>2.5699999999999994</v>
      </c>
      <c r="BE30" s="3">
        <f t="shared" si="8"/>
        <v>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0.26</v>
      </c>
      <c r="BM30" s="3">
        <v>0.68</v>
      </c>
      <c r="BN30" s="3">
        <v>5.14</v>
      </c>
      <c r="BO30" s="3">
        <v>3.77</v>
      </c>
      <c r="BP30" s="3">
        <v>6.7</v>
      </c>
      <c r="BQ30" s="3">
        <v>3.99</v>
      </c>
      <c r="BR30" s="3">
        <v>5.68</v>
      </c>
      <c r="BS30" s="3">
        <v>5.42</v>
      </c>
      <c r="BT30" s="3">
        <v>3.31</v>
      </c>
      <c r="BU30" s="3">
        <v>1.8</v>
      </c>
      <c r="BV30" s="3">
        <v>0.18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0.53</v>
      </c>
      <c r="CU30" s="3">
        <f>CT30*基本シート!$C$3</f>
        <v>8.48</v>
      </c>
      <c r="CV30" s="3">
        <v>0.97</v>
      </c>
      <c r="CW30" s="3">
        <f>CV30*基本シート!$C$3</f>
        <v>15.52</v>
      </c>
      <c r="CX30" s="3">
        <v>6.44</v>
      </c>
      <c r="CY30" s="3">
        <f>CX30*基本シート!$C$3</f>
        <v>103.04</v>
      </c>
      <c r="CZ30" s="3">
        <v>3.5</v>
      </c>
      <c r="DA30" s="3">
        <f>CZ30*基本シート!$C$3</f>
        <v>56</v>
      </c>
      <c r="DB30" s="3">
        <v>5.49</v>
      </c>
      <c r="DC30" s="3">
        <f>DB30*基本シート!$C$3</f>
        <v>87.84</v>
      </c>
      <c r="DD30" s="3">
        <v>5.24</v>
      </c>
      <c r="DE30" s="3">
        <f>DD30*基本シート!$C$3</f>
        <v>83.84</v>
      </c>
      <c r="DF30" s="3">
        <v>3.13</v>
      </c>
      <c r="DG30" s="3">
        <f>DF30*基本シート!$C$3</f>
        <v>50.08</v>
      </c>
      <c r="DH30" s="3">
        <v>1.63</v>
      </c>
      <c r="DI30" s="3">
        <f>DH30*基本シート!$C$3</f>
        <v>26.08</v>
      </c>
      <c r="DJ30" s="3">
        <v>7.0000000000000007E-2</v>
      </c>
      <c r="DK30" s="3">
        <f>DJ30*基本シート!$C$3</f>
        <v>1.1200000000000001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27.060000000000006</v>
      </c>
      <c r="EA30" s="3">
        <f>ROUND(DZ30*基本シート!$C$3,0)</f>
        <v>433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0.12</v>
      </c>
      <c r="EI30" s="3">
        <v>0.44</v>
      </c>
      <c r="EJ30" s="3">
        <v>4.37</v>
      </c>
      <c r="EK30" s="3">
        <v>1.93</v>
      </c>
      <c r="EL30" s="3">
        <v>0.01</v>
      </c>
      <c r="EM30" s="3">
        <v>0</v>
      </c>
      <c r="EN30" s="3">
        <v>0</v>
      </c>
      <c r="EO30" s="3">
        <v>0</v>
      </c>
      <c r="EP30" s="3">
        <v>0.01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0.03</v>
      </c>
      <c r="EZ30" s="3">
        <f t="shared" si="11"/>
        <v>7.09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1.4</v>
      </c>
      <c r="FR30" s="3">
        <v>1.57</v>
      </c>
      <c r="FS30" s="3">
        <v>0.35</v>
      </c>
      <c r="FT30" s="3">
        <v>0.9</v>
      </c>
      <c r="FU30" s="3">
        <v>0.48</v>
      </c>
      <c r="FV30" s="3">
        <v>0.75</v>
      </c>
      <c r="FW30" s="3">
        <v>0.06</v>
      </c>
      <c r="FX30" s="3">
        <v>0</v>
      </c>
      <c r="FY30" s="3">
        <f t="shared" si="12"/>
        <v>5.5200000000000005</v>
      </c>
      <c r="FZ30" s="3">
        <v>0.19</v>
      </c>
      <c r="GA30" s="3">
        <v>0.18</v>
      </c>
      <c r="GB30" s="3">
        <v>0.18</v>
      </c>
      <c r="GC30" s="3">
        <v>0.2</v>
      </c>
      <c r="GD30" s="3">
        <v>0.37</v>
      </c>
      <c r="GE30" s="3">
        <v>0.2</v>
      </c>
      <c r="GF30" s="3">
        <v>0.56999999999999995</v>
      </c>
      <c r="GG30" s="3">
        <v>0.23</v>
      </c>
      <c r="GH30" s="3">
        <v>0.25</v>
      </c>
      <c r="GI30" s="3">
        <v>0.88</v>
      </c>
      <c r="GJ30" s="3">
        <v>0.25</v>
      </c>
      <c r="GK30" s="3">
        <v>0.49</v>
      </c>
      <c r="GL30" s="3">
        <v>0.19</v>
      </c>
      <c r="GM30" s="3">
        <v>0.18</v>
      </c>
      <c r="GN30" s="3">
        <v>0.17</v>
      </c>
      <c r="GO30" s="3">
        <v>0.18</v>
      </c>
      <c r="GP30" s="3">
        <v>1.51</v>
      </c>
      <c r="GQ30" s="3">
        <v>1.57</v>
      </c>
      <c r="GR30" s="3">
        <v>0.35</v>
      </c>
      <c r="GS30" s="3">
        <v>0.91</v>
      </c>
      <c r="GT30" s="3">
        <v>0.48</v>
      </c>
      <c r="GU30" s="3">
        <v>0.75</v>
      </c>
      <c r="GV30" s="3">
        <v>0.38</v>
      </c>
      <c r="GW30" s="3">
        <v>0.21</v>
      </c>
      <c r="GX30" s="3">
        <f t="shared" si="13"/>
        <v>10.870000000000003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239</v>
      </c>
      <c r="C31" s="6" t="str">
        <f>TEXT(VLOOKUP(LEFT(B31,FIND("月",B31)),基本シート!$E$6:$F$17,2,FALSE)&amp;B31,"aaaa")</f>
        <v>金曜日</v>
      </c>
      <c r="D31" s="6"/>
      <c r="E31" s="6" t="str">
        <f t="shared" si="9"/>
        <v/>
      </c>
      <c r="F31" s="6" t="s">
        <v>298</v>
      </c>
      <c r="G31" s="6" t="s">
        <v>298</v>
      </c>
      <c r="H31" s="3">
        <v>0.24</v>
      </c>
      <c r="I31" s="3">
        <f>IF($E31="〇",H31*基本シート!$E$2,H31*VLOOKUP(LEFT(I$6,FIND("(",I$6)-1),基本シート!$B$6:$C$29,2,FALSE))</f>
        <v>7.1663999999999994</v>
      </c>
      <c r="J31" s="3">
        <v>0.24</v>
      </c>
      <c r="K31" s="3">
        <f>IF($E31="〇",J31*基本シート!$E$2,J31*VLOOKUP(LEFT(K$6,FIND("(",K$6)-1),基本シート!$B$6:$C$29,2,FALSE))</f>
        <v>7.1663999999999994</v>
      </c>
      <c r="L31" s="3">
        <v>0.22</v>
      </c>
      <c r="M31" s="3">
        <f>IF($E31="〇",L31*基本シート!$E$2,L31*VLOOKUP(LEFT(M$6,FIND("(",M$6)-1),基本シート!$B$6:$C$29,2,FALSE))</f>
        <v>6.5691999999999995</v>
      </c>
      <c r="N31" s="3">
        <v>0.24</v>
      </c>
      <c r="O31" s="3">
        <f>IF($E31="〇",N31*基本シート!$E$2,N31*VLOOKUP(LEFT(O$6,FIND("(",O$6)-1),基本シート!$B$6:$C$29,2,FALSE))</f>
        <v>7.1663999999999994</v>
      </c>
      <c r="P31" s="3">
        <v>0.39</v>
      </c>
      <c r="Q31" s="3">
        <f>IF($E31="〇",P31*基本シート!$E$2,P31*VLOOKUP(LEFT(Q$6,FIND("(",Q$6)-1),基本シート!$B$6:$C$29,2,FALSE))</f>
        <v>11.6454</v>
      </c>
      <c r="R31" s="3">
        <v>0.25</v>
      </c>
      <c r="S31" s="3">
        <f>IF($E31="〇",R31*基本シート!$E$2,R31*VLOOKUP(LEFT(S$6,FIND("(",S$6)-1),基本シート!$B$6:$C$29,2,FALSE))</f>
        <v>7.4649999999999999</v>
      </c>
      <c r="T31" s="3">
        <v>0.34</v>
      </c>
      <c r="U31" s="3">
        <f>IF($E31="〇",T31*基本シート!$E$2,T31*VLOOKUP(LEFT(U$6,FIND("(",U$6)-1),基本シート!$B$6:$C$29,2,FALSE))</f>
        <v>10.1524</v>
      </c>
      <c r="V31" s="3">
        <v>0.01</v>
      </c>
      <c r="W31" s="3">
        <f>IF($E31="〇",V31*基本シート!$E$2,V31*VLOOKUP(LEFT(W$6,FIND("(",W$6)-1),基本シート!$B$6:$C$29,2,FALSE))</f>
        <v>0.36859999999999998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0.01</v>
      </c>
      <c r="AS31" s="3">
        <f>IF($E31="〇",AR31*基本シート!$E$2,AR31*VLOOKUP(LEFT(AS$6,FIND("(",AS$6)-1),基本シート!$B$6:$C$29,2,FALSE))</f>
        <v>0.36859999999999998</v>
      </c>
      <c r="AT31" s="3">
        <v>0.01</v>
      </c>
      <c r="AU31" s="3">
        <f>IF($E31="〇",AT31*基本シート!$E$2,AT31*VLOOKUP(LEFT(AU$6,FIND("(",AU$6)-1),基本シート!$B$6:$C$29,2,FALSE))</f>
        <v>0.36859999999999998</v>
      </c>
      <c r="AV31" s="3">
        <v>0.01</v>
      </c>
      <c r="AW31" s="3">
        <f>IF($E31="〇",AV31*基本シート!$E$2,AV31*VLOOKUP(LEFT(AW$6,FIND("(",AW$6)-1),基本シート!$B$6:$C$29,2,FALSE))</f>
        <v>0.36859999999999998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1.9700000000000002</v>
      </c>
      <c r="BE31" s="3">
        <f t="shared" si="8"/>
        <v>59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0.21</v>
      </c>
      <c r="BM31" s="3">
        <v>2.2000000000000002</v>
      </c>
      <c r="BN31" s="3">
        <v>4.74</v>
      </c>
      <c r="BO31" s="3">
        <v>5.91</v>
      </c>
      <c r="BP31" s="3">
        <v>6.67</v>
      </c>
      <c r="BQ31" s="3">
        <v>6.84</v>
      </c>
      <c r="BR31" s="3">
        <v>6.13</v>
      </c>
      <c r="BS31" s="3">
        <v>5.37</v>
      </c>
      <c r="BT31" s="3">
        <v>3.71</v>
      </c>
      <c r="BU31" s="3">
        <v>1.63</v>
      </c>
      <c r="BV31" s="3">
        <v>0.15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0.02</v>
      </c>
      <c r="CU31" s="3">
        <f>CT31*基本シート!$C$3</f>
        <v>0.32</v>
      </c>
      <c r="CV31" s="3">
        <v>5.3</v>
      </c>
      <c r="CW31" s="3">
        <f>CV31*基本シート!$C$3</f>
        <v>84.8</v>
      </c>
      <c r="CX31" s="3">
        <v>6.44</v>
      </c>
      <c r="CY31" s="3">
        <f>CX31*基本シート!$C$3</f>
        <v>103.04</v>
      </c>
      <c r="CZ31" s="3">
        <v>6.65</v>
      </c>
      <c r="DA31" s="3">
        <f>CZ31*基本シート!$C$3</f>
        <v>106.4</v>
      </c>
      <c r="DB31" s="3">
        <v>5.96</v>
      </c>
      <c r="DC31" s="3">
        <f>DB31*基本シート!$C$3</f>
        <v>95.36</v>
      </c>
      <c r="DD31" s="3">
        <v>5.19</v>
      </c>
      <c r="DE31" s="3">
        <f>DD31*基本シート!$C$3</f>
        <v>83.04</v>
      </c>
      <c r="DF31" s="3">
        <v>3.53</v>
      </c>
      <c r="DG31" s="3">
        <f>DF31*基本シート!$C$3</f>
        <v>56.48</v>
      </c>
      <c r="DH31" s="3">
        <v>1.46</v>
      </c>
      <c r="DI31" s="3">
        <f>DH31*基本シート!$C$3</f>
        <v>23.36</v>
      </c>
      <c r="DJ31" s="3">
        <v>0.08</v>
      </c>
      <c r="DK31" s="3">
        <f>DJ31*基本シート!$C$3</f>
        <v>1.28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0"/>
        <v>34.709999999999987</v>
      </c>
      <c r="EA31" s="3">
        <f>ROUND(DZ31*基本シート!$C$3,0)</f>
        <v>555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0.03</v>
      </c>
      <c r="EH31" s="3">
        <v>0.08</v>
      </c>
      <c r="EI31" s="3">
        <v>1.97</v>
      </c>
      <c r="EJ31" s="3">
        <v>4.51</v>
      </c>
      <c r="EK31" s="3">
        <v>0.35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7.09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1.02</v>
      </c>
      <c r="FR31" s="3">
        <v>1.79</v>
      </c>
      <c r="FS31" s="3">
        <v>0.72</v>
      </c>
      <c r="FT31" s="3">
        <v>0.44</v>
      </c>
      <c r="FU31" s="3">
        <v>0.53</v>
      </c>
      <c r="FV31" s="3">
        <v>0.26</v>
      </c>
      <c r="FW31" s="3">
        <v>0.23</v>
      </c>
      <c r="FX31" s="3">
        <v>0.21</v>
      </c>
      <c r="FY31" s="3">
        <f t="shared" si="12"/>
        <v>5.2</v>
      </c>
      <c r="FZ31" s="3">
        <v>0.21</v>
      </c>
      <c r="GA31" s="3">
        <v>0.21</v>
      </c>
      <c r="GB31" s="3">
        <v>0.19</v>
      </c>
      <c r="GC31" s="3">
        <v>0.21</v>
      </c>
      <c r="GD31" s="3">
        <v>0.36</v>
      </c>
      <c r="GE31" s="3">
        <v>0.22</v>
      </c>
      <c r="GF31" s="3">
        <v>0.47</v>
      </c>
      <c r="GG31" s="3">
        <v>0.23</v>
      </c>
      <c r="GH31" s="3">
        <v>0.21</v>
      </c>
      <c r="GI31" s="3">
        <v>0.26</v>
      </c>
      <c r="GJ31" s="3">
        <v>0.23</v>
      </c>
      <c r="GK31" s="3">
        <v>0.19</v>
      </c>
      <c r="GL31" s="3">
        <v>0.17</v>
      </c>
      <c r="GM31" s="3">
        <v>0.18</v>
      </c>
      <c r="GN31" s="3">
        <v>0.18</v>
      </c>
      <c r="GO31" s="3">
        <v>0.17</v>
      </c>
      <c r="GP31" s="3">
        <v>1.0900000000000001</v>
      </c>
      <c r="GQ31" s="3">
        <v>1.79</v>
      </c>
      <c r="GR31" s="3">
        <v>0.72</v>
      </c>
      <c r="GS31" s="3">
        <v>0.44</v>
      </c>
      <c r="GT31" s="3">
        <v>0.53</v>
      </c>
      <c r="GU31" s="3">
        <v>0.25</v>
      </c>
      <c r="GV31" s="3">
        <v>0.22</v>
      </c>
      <c r="GW31" s="3">
        <v>0.2</v>
      </c>
      <c r="GX31" s="3">
        <f t="shared" si="13"/>
        <v>8.93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240</v>
      </c>
      <c r="C32" s="6" t="str">
        <f>TEXT(VLOOKUP(LEFT(B32,FIND("月",B32)),基本シート!$E$6:$F$17,2,FALSE)&amp;B32,"aaaa")</f>
        <v>土曜日</v>
      </c>
      <c r="D32" s="6"/>
      <c r="E32" s="6" t="str">
        <f t="shared" si="9"/>
        <v>〇</v>
      </c>
      <c r="F32" s="6" t="s">
        <v>298</v>
      </c>
      <c r="G32" s="6" t="s">
        <v>298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0.15</v>
      </c>
      <c r="K32" s="3">
        <f>IF($E32="〇",J32*基本シート!$E$2,J32*VLOOKUP(LEFT(K$6,FIND("(",K$6)-1),基本シート!$B$6:$C$29,2,FALSE))</f>
        <v>4.4790000000000001</v>
      </c>
      <c r="L32" s="3">
        <v>0.24</v>
      </c>
      <c r="M32" s="3">
        <f>IF($E32="〇",L32*基本シート!$E$2,L32*VLOOKUP(LEFT(M$6,FIND("(",M$6)-1),基本シート!$B$6:$C$29,2,FALSE))</f>
        <v>7.1663999999999994</v>
      </c>
      <c r="N32" s="3">
        <v>0.25</v>
      </c>
      <c r="O32" s="3">
        <f>IF($E32="〇",N32*基本シート!$E$2,N32*VLOOKUP(LEFT(O$6,FIND("(",O$6)-1),基本シート!$B$6:$C$29,2,FALSE))</f>
        <v>7.4649999999999999</v>
      </c>
      <c r="P32" s="3">
        <v>0.25</v>
      </c>
      <c r="Q32" s="3">
        <f>IF($E32="〇",P32*基本シート!$E$2,P32*VLOOKUP(LEFT(Q$6,FIND("(",Q$6)-1),基本シート!$B$6:$C$29,2,FALSE))</f>
        <v>7.4649999999999999</v>
      </c>
      <c r="R32" s="3">
        <v>0.25</v>
      </c>
      <c r="S32" s="3">
        <f>IF($E32="〇",R32*基本シート!$E$2,R32*VLOOKUP(LEFT(S$6,FIND("(",S$6)-1),基本シート!$B$6:$C$29,2,FALSE))</f>
        <v>7.4649999999999999</v>
      </c>
      <c r="T32" s="3">
        <v>0.06</v>
      </c>
      <c r="U32" s="3">
        <f>IF($E32="〇",T32*基本シート!$E$2,T32*VLOOKUP(LEFT(U$6,FIND("(",U$6)-1),基本シート!$B$6:$C$29,2,FALSE))</f>
        <v>1.7915999999999999</v>
      </c>
      <c r="V32" s="3">
        <v>0.01</v>
      </c>
      <c r="W32" s="3">
        <f>IF($E32="〇",V32*基本シート!$E$2,V32*VLOOKUP(LEFT(W$6,FIND("(",W$6)-1),基本シート!$B$6:$C$29,2,FALSE))</f>
        <v>0.29859999999999998</v>
      </c>
      <c r="X32" s="3">
        <v>0.01</v>
      </c>
      <c r="Y32" s="3">
        <f>IF($E32="〇",X32*基本シート!$E$2,X32*VLOOKUP(LEFT(Y$6,FIND("(",Y$6)-1),基本シート!$B$6:$C$29,2,FALSE))</f>
        <v>0.29859999999999998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0.29859999999999998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0.29859999999999998</v>
      </c>
      <c r="AX32" s="3">
        <v>0.01</v>
      </c>
      <c r="AY32" s="3">
        <f>IF($E32="〇",AX32*基本シート!$E$2,AX32*VLOOKUP(LEFT(AY$6,FIND("(",AY$6)-1),基本シート!$B$6:$C$29,2,FALSE))</f>
        <v>0.29859999999999998</v>
      </c>
      <c r="AZ32" s="3">
        <v>0.02</v>
      </c>
      <c r="BA32" s="3">
        <f>IF($E32="〇",AZ32*基本シート!$E$2,AZ32*VLOOKUP(LEFT(BA$6,FIND("(",BA$6)-1),基本シート!$B$6:$C$29,2,FALSE))</f>
        <v>0.59719999999999995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1.2700000000000002</v>
      </c>
      <c r="BE32" s="3">
        <f t="shared" si="8"/>
        <v>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0.26</v>
      </c>
      <c r="BM32" s="3">
        <v>1.94</v>
      </c>
      <c r="BN32" s="3">
        <v>4.51</v>
      </c>
      <c r="BO32" s="3">
        <v>5.45</v>
      </c>
      <c r="BP32" s="3">
        <v>6.81</v>
      </c>
      <c r="BQ32" s="3">
        <v>6.83</v>
      </c>
      <c r="BR32" s="3">
        <v>6.27</v>
      </c>
      <c r="BS32" s="3">
        <v>5.23</v>
      </c>
      <c r="BT32" s="3">
        <v>3.7</v>
      </c>
      <c r="BU32" s="3">
        <v>1.59</v>
      </c>
      <c r="BV32" s="3">
        <v>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0.01</v>
      </c>
      <c r="CU32" s="3">
        <f>CT32*基本シート!$C$3</f>
        <v>0.16</v>
      </c>
      <c r="CV32" s="3">
        <v>3.96</v>
      </c>
      <c r="CW32" s="3">
        <f>CV32*基本シート!$C$3</f>
        <v>63.36</v>
      </c>
      <c r="CX32" s="3">
        <v>6.14</v>
      </c>
      <c r="CY32" s="3">
        <f>CX32*基本シート!$C$3</f>
        <v>98.24</v>
      </c>
      <c r="CZ32" s="3">
        <v>6.49</v>
      </c>
      <c r="DA32" s="3">
        <f>CZ32*基本シート!$C$3</f>
        <v>103.84</v>
      </c>
      <c r="DB32" s="3">
        <v>5.79</v>
      </c>
      <c r="DC32" s="3">
        <f>DB32*基本シート!$C$3</f>
        <v>92.64</v>
      </c>
      <c r="DD32" s="3">
        <v>5</v>
      </c>
      <c r="DE32" s="3">
        <f>DD32*基本シート!$C$3</f>
        <v>80</v>
      </c>
      <c r="DF32" s="3">
        <v>3.42</v>
      </c>
      <c r="DG32" s="3">
        <f>DF32*基本シート!$C$3</f>
        <v>54.72</v>
      </c>
      <c r="DH32" s="3">
        <v>1.36</v>
      </c>
      <c r="DI32" s="3">
        <f>DH32*基本シート!$C$3</f>
        <v>21.76</v>
      </c>
      <c r="DJ32" s="3">
        <v>0.06</v>
      </c>
      <c r="DK32" s="3">
        <f>DJ32*基本シート!$C$3</f>
        <v>0.96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0"/>
        <v>32.319999999999986</v>
      </c>
      <c r="EA32" s="3">
        <f>ROUND(DZ32*基本シート!$C$3,0)</f>
        <v>517</v>
      </c>
      <c r="EB32" s="3">
        <v>0</v>
      </c>
      <c r="EC32" s="3">
        <v>0</v>
      </c>
      <c r="ED32" s="3">
        <v>0.04</v>
      </c>
      <c r="EE32" s="3">
        <v>0.04</v>
      </c>
      <c r="EF32" s="3">
        <v>0.04</v>
      </c>
      <c r="EG32" s="3">
        <v>0.04</v>
      </c>
      <c r="EH32" s="3">
        <v>0.11</v>
      </c>
      <c r="EI32" s="3">
        <v>1.58</v>
      </c>
      <c r="EJ32" s="3">
        <v>4.2</v>
      </c>
      <c r="EK32" s="3">
        <v>1.01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7.07</v>
      </c>
      <c r="FA32" s="3">
        <v>0.2</v>
      </c>
      <c r="FB32" s="3">
        <v>0.04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0.8</v>
      </c>
      <c r="FR32" s="3">
        <v>1.98</v>
      </c>
      <c r="FS32" s="3">
        <v>0.56999999999999995</v>
      </c>
      <c r="FT32" s="3">
        <v>0.3</v>
      </c>
      <c r="FU32" s="3">
        <v>0.53</v>
      </c>
      <c r="FV32" s="3">
        <v>0.67</v>
      </c>
      <c r="FW32" s="3">
        <v>0.37</v>
      </c>
      <c r="FX32" s="3">
        <v>0.22</v>
      </c>
      <c r="FY32" s="3">
        <f t="shared" si="12"/>
        <v>5.68</v>
      </c>
      <c r="FZ32" s="3">
        <v>0.19</v>
      </c>
      <c r="GA32" s="3">
        <v>0.19</v>
      </c>
      <c r="GB32" s="3">
        <v>0.2</v>
      </c>
      <c r="GC32" s="3">
        <v>0.21</v>
      </c>
      <c r="GD32" s="3">
        <v>0.21</v>
      </c>
      <c r="GE32" s="3">
        <v>0.21</v>
      </c>
      <c r="GF32" s="3">
        <v>0.21</v>
      </c>
      <c r="GG32" s="3">
        <v>0.36</v>
      </c>
      <c r="GH32" s="3">
        <v>0.31</v>
      </c>
      <c r="GI32" s="3">
        <v>0.48</v>
      </c>
      <c r="GJ32" s="3">
        <v>0.66</v>
      </c>
      <c r="GK32" s="3">
        <v>0.34</v>
      </c>
      <c r="GL32" s="3">
        <v>0.48</v>
      </c>
      <c r="GM32" s="3">
        <v>0.23</v>
      </c>
      <c r="GN32" s="3">
        <v>0.28000000000000003</v>
      </c>
      <c r="GO32" s="3">
        <v>0.23</v>
      </c>
      <c r="GP32" s="3">
        <v>0.87</v>
      </c>
      <c r="GQ32" s="3">
        <v>1.98</v>
      </c>
      <c r="GR32" s="3">
        <v>0.56000000000000005</v>
      </c>
      <c r="GS32" s="3">
        <v>0.28999999999999998</v>
      </c>
      <c r="GT32" s="3">
        <v>0.53</v>
      </c>
      <c r="GU32" s="3">
        <v>0.67</v>
      </c>
      <c r="GV32" s="3">
        <v>0.38</v>
      </c>
      <c r="GW32" s="3">
        <v>0.21</v>
      </c>
      <c r="GX32" s="3">
        <f t="shared" si="13"/>
        <v>10.280000000000001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241</v>
      </c>
      <c r="C33" s="6" t="str">
        <f>TEXT(VLOOKUP(LEFT(B33,FIND("月",B33)),基本シート!$E$6:$F$17,2,FALSE)&amp;B33,"aaaa")</f>
        <v>日曜日</v>
      </c>
      <c r="D33" s="6"/>
      <c r="E33" s="6" t="str">
        <f t="shared" si="9"/>
        <v>〇</v>
      </c>
      <c r="F33" s="6" t="s">
        <v>296</v>
      </c>
      <c r="G33" s="6" t="s">
        <v>296</v>
      </c>
      <c r="H33" s="3">
        <v>0.16</v>
      </c>
      <c r="I33" s="3">
        <f>IF($E33="〇",H33*基本シート!$E$2,H33*VLOOKUP(LEFT(I$6,FIND("(",I$6)-1),基本シート!$B$6:$C$29,2,FALSE))</f>
        <v>4.7775999999999996</v>
      </c>
      <c r="J33" s="3">
        <v>0.28000000000000003</v>
      </c>
      <c r="K33" s="3">
        <f>IF($E33="〇",J33*基本シート!$E$2,J33*VLOOKUP(LEFT(K$6,FIND("(",K$6)-1),基本シート!$B$6:$C$29,2,FALSE))</f>
        <v>8.3608000000000011</v>
      </c>
      <c r="L33" s="3">
        <v>0.26</v>
      </c>
      <c r="M33" s="3">
        <f>IF($E33="〇",L33*基本シート!$E$2,L33*VLOOKUP(LEFT(M$6,FIND("(",M$6)-1),基本シート!$B$6:$C$29,2,FALSE))</f>
        <v>7.7636000000000003</v>
      </c>
      <c r="N33" s="3">
        <v>0.26</v>
      </c>
      <c r="O33" s="3">
        <f>IF($E33="〇",N33*基本シート!$E$2,N33*VLOOKUP(LEFT(O$6,FIND("(",O$6)-1),基本シート!$B$6:$C$29,2,FALSE))</f>
        <v>7.7636000000000003</v>
      </c>
      <c r="P33" s="3">
        <v>0.24</v>
      </c>
      <c r="Q33" s="3">
        <f>IF($E33="〇",P33*基本シート!$E$2,P33*VLOOKUP(LEFT(Q$6,FIND("(",Q$6)-1),基本シート!$B$6:$C$29,2,FALSE))</f>
        <v>7.1663999999999994</v>
      </c>
      <c r="R33" s="3">
        <v>0.24</v>
      </c>
      <c r="S33" s="3">
        <f>IF($E33="〇",R33*基本シート!$E$2,R33*VLOOKUP(LEFT(S$6,FIND("(",S$6)-1),基本シート!$B$6:$C$29,2,FALSE))</f>
        <v>7.1663999999999994</v>
      </c>
      <c r="T33" s="3">
        <v>0.53</v>
      </c>
      <c r="U33" s="3">
        <f>IF($E33="〇",T33*基本シート!$E$2,T33*VLOOKUP(LEFT(U$6,FIND("(",U$6)-1),基本シート!$B$6:$C$29,2,FALSE))</f>
        <v>15.825800000000001</v>
      </c>
      <c r="V33" s="3">
        <v>0.61</v>
      </c>
      <c r="W33" s="3">
        <f>IF($E33="〇",V33*基本シート!$E$2,V33*VLOOKUP(LEFT(W$6,FIND("(",W$6)-1),基本シート!$B$6:$C$29,2,FALSE))</f>
        <v>18.214600000000001</v>
      </c>
      <c r="X33" s="3">
        <v>0.01</v>
      </c>
      <c r="Y33" s="3">
        <f>IF($E33="〇",X33*基本シート!$E$2,X33*VLOOKUP(LEFT(Y$6,FIND("(",Y$6)-1),基本シート!$B$6:$C$29,2,FALSE))</f>
        <v>0.29859999999999998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0.29859999999999998</v>
      </c>
      <c r="AP33" s="3">
        <v>7.0000000000000007E-2</v>
      </c>
      <c r="AQ33" s="3">
        <f>IF($E33="〇",AP33*基本シート!$E$2,AP33*VLOOKUP(LEFT(AQ$6,FIND("(",AQ$6)-1),基本シート!$B$6:$C$29,2,FALSE))</f>
        <v>2.0902000000000003</v>
      </c>
      <c r="AR33" s="3">
        <v>0.01</v>
      </c>
      <c r="AS33" s="3">
        <f>IF($E33="〇",AR33*基本シート!$E$2,AR33*VLOOKUP(LEFT(AS$6,FIND("(",AS$6)-1),基本シート!$B$6:$C$29,2,FALSE))</f>
        <v>0.29859999999999998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0.01</v>
      </c>
      <c r="AW33" s="3">
        <f>IF($E33="〇",AV33*基本シート!$E$2,AV33*VLOOKUP(LEFT(AW$6,FIND("(",AW$6)-1),基本シート!$B$6:$C$29,2,FALSE))</f>
        <v>0.29859999999999998</v>
      </c>
      <c r="AX33" s="3">
        <v>0.03</v>
      </c>
      <c r="AY33" s="3">
        <f>IF($E33="〇",AX33*基本シート!$E$2,AX33*VLOOKUP(LEFT(AY$6,FIND("(",AY$6)-1),基本シート!$B$6:$C$29,2,FALSE))</f>
        <v>0.89579999999999993</v>
      </c>
      <c r="AZ33" s="3">
        <v>0.01</v>
      </c>
      <c r="BA33" s="3">
        <f>IF($E33="〇",AZ33*基本シート!$E$2,AZ33*VLOOKUP(LEFT(BA$6,FIND("(",BA$6)-1),基本シート!$B$6:$C$29,2,FALSE))</f>
        <v>0.29859999999999998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2.7299999999999986</v>
      </c>
      <c r="BE33" s="3">
        <f t="shared" si="8"/>
        <v>82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0.13</v>
      </c>
      <c r="BM33" s="3">
        <v>1.05</v>
      </c>
      <c r="BN33" s="3">
        <v>3.72</v>
      </c>
      <c r="BO33" s="3">
        <v>2.59</v>
      </c>
      <c r="BP33" s="3">
        <v>5.62</v>
      </c>
      <c r="BQ33" s="3">
        <v>5.66</v>
      </c>
      <c r="BR33" s="3">
        <v>4.3600000000000003</v>
      </c>
      <c r="BS33" s="3">
        <v>4.84</v>
      </c>
      <c r="BT33" s="3">
        <v>2.4300000000000002</v>
      </c>
      <c r="BU33" s="3">
        <v>1.29</v>
      </c>
      <c r="BV33" s="3">
        <v>0.08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0.06</v>
      </c>
      <c r="CU33" s="3">
        <f>CT33*基本シート!$C$3</f>
        <v>0.96</v>
      </c>
      <c r="CV33" s="3">
        <v>0.01</v>
      </c>
      <c r="CW33" s="3">
        <f>CV33*基本シート!$C$3</f>
        <v>0.16</v>
      </c>
      <c r="CX33" s="3">
        <v>5.15</v>
      </c>
      <c r="CY33" s="3">
        <f>CX33*基本シート!$C$3</f>
        <v>82.4</v>
      </c>
      <c r="CZ33" s="3">
        <v>5.45</v>
      </c>
      <c r="DA33" s="3">
        <f>CZ33*基本シート!$C$3</f>
        <v>87.2</v>
      </c>
      <c r="DB33" s="3">
        <v>4.16</v>
      </c>
      <c r="DC33" s="3">
        <f>DB33*基本シート!$C$3</f>
        <v>66.56</v>
      </c>
      <c r="DD33" s="3">
        <v>4.6100000000000003</v>
      </c>
      <c r="DE33" s="3">
        <f>DD33*基本シート!$C$3</f>
        <v>73.760000000000005</v>
      </c>
      <c r="DF33" s="3">
        <v>2.2400000000000002</v>
      </c>
      <c r="DG33" s="3">
        <f>DF33*基本シート!$C$3</f>
        <v>35.840000000000003</v>
      </c>
      <c r="DH33" s="3">
        <v>0.69</v>
      </c>
      <c r="DI33" s="3">
        <f>DH33*基本シート!$C$3</f>
        <v>11.04</v>
      </c>
      <c r="DJ33" s="3">
        <v>0.02</v>
      </c>
      <c r="DK33" s="3">
        <f>DJ33*基本シート!$C$3</f>
        <v>0.32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0"/>
        <v>22.450000000000006</v>
      </c>
      <c r="EA33" s="3">
        <f>ROUND(DZ33*基本シート!$C$3,0)</f>
        <v>359</v>
      </c>
      <c r="EB33" s="3">
        <v>0</v>
      </c>
      <c r="EC33" s="3">
        <v>0.03</v>
      </c>
      <c r="ED33" s="3">
        <v>0.03</v>
      </c>
      <c r="EE33" s="3">
        <v>0.03</v>
      </c>
      <c r="EF33" s="3">
        <v>0.04</v>
      </c>
      <c r="EG33" s="3">
        <v>0.03</v>
      </c>
      <c r="EH33" s="3">
        <v>0.01</v>
      </c>
      <c r="EI33" s="3">
        <v>0.73</v>
      </c>
      <c r="EJ33" s="3">
        <v>3.47</v>
      </c>
      <c r="EK33" s="3">
        <v>2.39</v>
      </c>
      <c r="EL33" s="3">
        <v>0.28000000000000003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7.05</v>
      </c>
      <c r="FA33" s="3">
        <v>0.04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0.19</v>
      </c>
      <c r="FQ33" s="3">
        <v>0.74</v>
      </c>
      <c r="FR33" s="3">
        <v>1.5</v>
      </c>
      <c r="FS33" s="3">
        <v>0.25</v>
      </c>
      <c r="FT33" s="3">
        <v>0.42</v>
      </c>
      <c r="FU33" s="3">
        <v>0.71</v>
      </c>
      <c r="FV33" s="3">
        <v>0.5</v>
      </c>
      <c r="FW33" s="3">
        <v>0.25</v>
      </c>
      <c r="FX33" s="3">
        <v>0.24</v>
      </c>
      <c r="FY33" s="3">
        <f t="shared" si="12"/>
        <v>4.84</v>
      </c>
      <c r="FZ33" s="3">
        <v>0.2</v>
      </c>
      <c r="GA33" s="3">
        <v>0.25</v>
      </c>
      <c r="GB33" s="3">
        <v>0.23</v>
      </c>
      <c r="GC33" s="3">
        <v>0.23</v>
      </c>
      <c r="GD33" s="3">
        <v>0.2</v>
      </c>
      <c r="GE33" s="3">
        <v>0.21</v>
      </c>
      <c r="GF33" s="3">
        <v>0.65</v>
      </c>
      <c r="GG33" s="3">
        <v>0.92</v>
      </c>
      <c r="GH33" s="3">
        <v>0.2</v>
      </c>
      <c r="GI33" s="3">
        <v>0.19</v>
      </c>
      <c r="GJ33" s="3">
        <v>0.19</v>
      </c>
      <c r="GK33" s="3">
        <v>0.2</v>
      </c>
      <c r="GL33" s="3">
        <v>0.2</v>
      </c>
      <c r="GM33" s="3">
        <v>0.23</v>
      </c>
      <c r="GN33" s="3">
        <v>0.19</v>
      </c>
      <c r="GO33" s="3">
        <v>0.79</v>
      </c>
      <c r="GP33" s="3">
        <v>0.81</v>
      </c>
      <c r="GQ33" s="3">
        <v>1.56</v>
      </c>
      <c r="GR33" s="3">
        <v>0.25</v>
      </c>
      <c r="GS33" s="3">
        <v>0.42</v>
      </c>
      <c r="GT33" s="3">
        <v>0.71</v>
      </c>
      <c r="GU33" s="3">
        <v>0.52</v>
      </c>
      <c r="GV33" s="3">
        <v>0.25</v>
      </c>
      <c r="GW33" s="3">
        <v>0.24</v>
      </c>
      <c r="GX33" s="3">
        <f t="shared" si="13"/>
        <v>9.8400000000000016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242</v>
      </c>
      <c r="C34" s="6" t="str">
        <f>TEXT(VLOOKUP(LEFT(B34,FIND("月",B34)),基本シート!$E$6:$F$17,2,FALSE)&amp;B34,"aaaa")</f>
        <v>月曜日</v>
      </c>
      <c r="D34" s="6"/>
      <c r="E34" s="6" t="str">
        <f t="shared" si="9"/>
        <v/>
      </c>
      <c r="F34" s="6" t="s">
        <v>296</v>
      </c>
      <c r="G34" s="6" t="s">
        <v>298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0.14000000000000001</v>
      </c>
      <c r="M34" s="3">
        <f>IF($E34="〇",L34*基本シート!$E$2,L34*VLOOKUP(LEFT(M$6,FIND("(",M$6)-1),基本シート!$B$6:$C$29,2,FALSE))</f>
        <v>4.1804000000000006</v>
      </c>
      <c r="N34" s="3">
        <v>0.22</v>
      </c>
      <c r="O34" s="3">
        <f>IF($E34="〇",N34*基本シート!$E$2,N34*VLOOKUP(LEFT(O$6,FIND("(",O$6)-1),基本シート!$B$6:$C$29,2,FALSE))</f>
        <v>6.5691999999999995</v>
      </c>
      <c r="P34" s="3">
        <v>0.4</v>
      </c>
      <c r="Q34" s="3">
        <f>IF($E34="〇",P34*基本シート!$E$2,P34*VLOOKUP(LEFT(Q$6,FIND("(",Q$6)-1),基本シート!$B$6:$C$29,2,FALSE))</f>
        <v>11.944000000000001</v>
      </c>
      <c r="R34" s="3">
        <v>0.26</v>
      </c>
      <c r="S34" s="3">
        <f>IF($E34="〇",R34*基本シート!$E$2,R34*VLOOKUP(LEFT(S$6,FIND("(",S$6)-1),基本シート!$B$6:$C$29,2,FALSE))</f>
        <v>7.7636000000000003</v>
      </c>
      <c r="T34" s="3">
        <v>0.34</v>
      </c>
      <c r="U34" s="3">
        <f>IF($E34="〇",T34*基本シート!$E$2,T34*VLOOKUP(LEFT(U$6,FIND("(",U$6)-1),基本シート!$B$6:$C$29,2,FALSE))</f>
        <v>10.1524</v>
      </c>
      <c r="V34" s="3">
        <v>0.02</v>
      </c>
      <c r="W34" s="3">
        <f>IF($E34="〇",V34*基本シート!$E$2,V34*VLOOKUP(LEFT(W$6,FIND("(",W$6)-1),基本シート!$B$6:$C$29,2,FALSE))</f>
        <v>0.73719999999999997</v>
      </c>
      <c r="X34" s="3">
        <v>0.16</v>
      </c>
      <c r="Y34" s="3">
        <f>IF($E34="〇",X34*基本シート!$E$2,X34*VLOOKUP(LEFT(Y$6,FIND("(",Y$6)-1),基本シート!$B$6:$C$29,2,FALSE))</f>
        <v>5.8975999999999997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0.36859999999999998</v>
      </c>
      <c r="AJ34" s="3">
        <v>0.01</v>
      </c>
      <c r="AK34" s="3">
        <f>IF($E34="〇",AJ34*基本シート!$E$2,AJ34*VLOOKUP(LEFT(AK$6,FIND("(",AK$6)-1),基本シート!$B$6:$C$29,2,FALSE))</f>
        <v>0.36859999999999998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0.01</v>
      </c>
      <c r="AS34" s="3">
        <f>IF($E34="〇",AR34*基本シート!$E$2,AR34*VLOOKUP(LEFT(AS$6,FIND("(",AS$6)-1),基本シート!$B$6:$C$29,2,FALSE))</f>
        <v>0.36859999999999998</v>
      </c>
      <c r="AT34" s="3">
        <v>0.53</v>
      </c>
      <c r="AU34" s="3">
        <f>IF($E34="〇",AT34*基本シート!$E$2,AT34*VLOOKUP(LEFT(AU$6,FIND("(",AU$6)-1),基本シート!$B$6:$C$29,2,FALSE))</f>
        <v>19.535800000000002</v>
      </c>
      <c r="AV34" s="3">
        <v>0.67</v>
      </c>
      <c r="AW34" s="3">
        <f>IF($E34="〇",AV34*基本シート!$E$2,AV34*VLOOKUP(LEFT(AW$6,FIND("(",AW$6)-1),基本シート!$B$6:$C$29,2,FALSE))</f>
        <v>24.696200000000001</v>
      </c>
      <c r="AX34" s="3">
        <v>0.34</v>
      </c>
      <c r="AY34" s="3">
        <f>IF($E34="〇",AX34*基本シート!$E$2,AX34*VLOOKUP(LEFT(AY$6,FIND("(",AY$6)-1),基本シート!$B$6:$C$29,2,FALSE))</f>
        <v>10.1524</v>
      </c>
      <c r="AZ34" s="3">
        <v>0.24</v>
      </c>
      <c r="BA34" s="3">
        <f>IF($E34="〇",AZ34*基本シート!$E$2,AZ34*VLOOKUP(LEFT(BA$6,FIND("(",BA$6)-1),基本シート!$B$6:$C$29,2,FALSE))</f>
        <v>7.1663999999999994</v>
      </c>
      <c r="BB34" s="3">
        <v>0.24</v>
      </c>
      <c r="BC34" s="3">
        <f>IF($E34="〇",BB34*基本シート!$E$2,BB34*VLOOKUP(LEFT(BC$6,FIND("(",BC$6)-1),基本シート!$B$6:$C$29,2,FALSE))</f>
        <v>7.1663999999999994</v>
      </c>
      <c r="BD34" s="3">
        <f t="shared" si="7"/>
        <v>3.6100000000000003</v>
      </c>
      <c r="BE34" s="3">
        <f t="shared" si="8"/>
        <v>118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0.05</v>
      </c>
      <c r="BM34" s="3">
        <v>0.51</v>
      </c>
      <c r="BN34" s="3">
        <v>1.6</v>
      </c>
      <c r="BO34" s="3">
        <v>1.38</v>
      </c>
      <c r="BP34" s="3">
        <v>0.94</v>
      </c>
      <c r="BQ34" s="3">
        <v>1.1499999999999999</v>
      </c>
      <c r="BR34" s="3">
        <v>1.75</v>
      </c>
      <c r="BS34" s="3">
        <v>1.68</v>
      </c>
      <c r="BT34" s="3">
        <v>2.65</v>
      </c>
      <c r="BU34" s="3">
        <v>1.75</v>
      </c>
      <c r="BV34" s="3">
        <v>0.11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0.01</v>
      </c>
      <c r="CG34" s="3">
        <f>CF34*基本シート!$C$3</f>
        <v>0.16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</v>
      </c>
      <c r="DA34" s="3">
        <f>CZ34*基本シート!$C$3</f>
        <v>0</v>
      </c>
      <c r="DB34" s="3">
        <v>0.01</v>
      </c>
      <c r="DC34" s="3">
        <f>DB34*基本シート!$C$3</f>
        <v>0.16</v>
      </c>
      <c r="DD34" s="3">
        <v>0.01</v>
      </c>
      <c r="DE34" s="3">
        <f>DD34*基本シート!$C$3</f>
        <v>0.16</v>
      </c>
      <c r="DF34" s="3">
        <v>1.29</v>
      </c>
      <c r="DG34" s="3">
        <f>DF34*基本シート!$C$3</f>
        <v>20.64</v>
      </c>
      <c r="DH34" s="3">
        <v>1.51</v>
      </c>
      <c r="DI34" s="3">
        <f>DH34*基本シート!$C$3</f>
        <v>24.16</v>
      </c>
      <c r="DJ34" s="3">
        <v>0.04</v>
      </c>
      <c r="DK34" s="3">
        <f>DJ34*基本シート!$C$3</f>
        <v>0.64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2.9</v>
      </c>
      <c r="EA34" s="3">
        <f>ROUND(DZ34*基本シート!$C$3,0)</f>
        <v>46</v>
      </c>
      <c r="EB34" s="3">
        <v>0</v>
      </c>
      <c r="EC34" s="3">
        <v>0</v>
      </c>
      <c r="ED34" s="3">
        <v>0</v>
      </c>
      <c r="EE34" s="3">
        <v>0.03</v>
      </c>
      <c r="EF34" s="3">
        <v>0.04</v>
      </c>
      <c r="EG34" s="3">
        <v>0.04</v>
      </c>
      <c r="EH34" s="3">
        <v>0.01</v>
      </c>
      <c r="EI34" s="3">
        <v>0.21</v>
      </c>
      <c r="EJ34" s="3">
        <v>0.98</v>
      </c>
      <c r="EK34" s="3">
        <v>1.2</v>
      </c>
      <c r="EL34" s="3">
        <v>0.71</v>
      </c>
      <c r="EM34" s="3">
        <v>0.78</v>
      </c>
      <c r="EN34" s="3">
        <v>1.02</v>
      </c>
      <c r="EO34" s="3">
        <v>0.71</v>
      </c>
      <c r="EP34" s="3">
        <v>1.1399999999999999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0.02</v>
      </c>
      <c r="EW34" s="3">
        <v>0.03</v>
      </c>
      <c r="EX34" s="3">
        <v>0.03</v>
      </c>
      <c r="EY34" s="3">
        <v>0.03</v>
      </c>
      <c r="EZ34" s="3">
        <f t="shared" si="11"/>
        <v>6.9799999999999995</v>
      </c>
      <c r="FA34" s="3">
        <v>0.25</v>
      </c>
      <c r="FB34" s="3">
        <v>0.21</v>
      </c>
      <c r="FC34" s="3">
        <v>0.06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1.0900000000000001</v>
      </c>
      <c r="FR34" s="3">
        <v>1.83</v>
      </c>
      <c r="FS34" s="3">
        <v>2.19</v>
      </c>
      <c r="FT34" s="3">
        <v>0.44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6.0700000000000012</v>
      </c>
      <c r="FZ34" s="3">
        <v>0.25</v>
      </c>
      <c r="GA34" s="3">
        <v>0.2</v>
      </c>
      <c r="GB34" s="3">
        <v>0.2</v>
      </c>
      <c r="GC34" s="3">
        <v>0.19</v>
      </c>
      <c r="GD34" s="3">
        <v>0.36</v>
      </c>
      <c r="GE34" s="3">
        <v>0.22</v>
      </c>
      <c r="GF34" s="3">
        <v>0.38</v>
      </c>
      <c r="GG34" s="3">
        <v>0.32</v>
      </c>
      <c r="GH34" s="3">
        <v>0.78</v>
      </c>
      <c r="GI34" s="3">
        <v>0.17</v>
      </c>
      <c r="GJ34" s="3">
        <v>0.22</v>
      </c>
      <c r="GK34" s="3">
        <v>0.37</v>
      </c>
      <c r="GL34" s="3">
        <v>0.72</v>
      </c>
      <c r="GM34" s="3">
        <v>0.97</v>
      </c>
      <c r="GN34" s="3">
        <v>0.23</v>
      </c>
      <c r="GO34" s="3">
        <v>0.24</v>
      </c>
      <c r="GP34" s="3">
        <v>1.17</v>
      </c>
      <c r="GQ34" s="3">
        <v>1.84</v>
      </c>
      <c r="GR34" s="3">
        <v>2.19</v>
      </c>
      <c r="GS34" s="3">
        <v>0.97</v>
      </c>
      <c r="GT34" s="3">
        <v>0.65</v>
      </c>
      <c r="GU34" s="3">
        <v>0.31</v>
      </c>
      <c r="GV34" s="3">
        <v>0.21</v>
      </c>
      <c r="GW34" s="3">
        <v>0.21</v>
      </c>
      <c r="GX34" s="3">
        <f t="shared" si="13"/>
        <v>13.370000000000005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243</v>
      </c>
      <c r="C35" s="6" t="str">
        <f>TEXT(VLOOKUP(LEFT(B35,FIND("月",B35)),基本シート!$E$6:$F$17,2,FALSE)&amp;B35,"aaaa")</f>
        <v>火曜日</v>
      </c>
      <c r="D35" s="6"/>
      <c r="E35" s="6" t="str">
        <f t="shared" si="9"/>
        <v/>
      </c>
      <c r="F35" s="6" t="s">
        <v>298</v>
      </c>
      <c r="G35" s="6" t="s">
        <v>296</v>
      </c>
      <c r="H35" s="3">
        <v>0.23</v>
      </c>
      <c r="I35" s="3">
        <f>IF($E35="〇",H35*基本シート!$E$2,H35*VLOOKUP(LEFT(I$6,FIND("(",I$6)-1),基本シート!$B$6:$C$29,2,FALSE))</f>
        <v>6.8677999999999999</v>
      </c>
      <c r="J35" s="3">
        <v>0.24</v>
      </c>
      <c r="K35" s="3">
        <f>IF($E35="〇",J35*基本シート!$E$2,J35*VLOOKUP(LEFT(K$6,FIND("(",K$6)-1),基本シート!$B$6:$C$29,2,FALSE))</f>
        <v>7.1663999999999994</v>
      </c>
      <c r="L35" s="3">
        <v>0.23</v>
      </c>
      <c r="M35" s="3">
        <f>IF($E35="〇",L35*基本シート!$E$2,L35*VLOOKUP(LEFT(M$6,FIND("(",M$6)-1),基本シート!$B$6:$C$29,2,FALSE))</f>
        <v>6.8677999999999999</v>
      </c>
      <c r="N35" s="3">
        <v>0.25</v>
      </c>
      <c r="O35" s="3">
        <f>IF($E35="〇",N35*基本シート!$E$2,N35*VLOOKUP(LEFT(O$6,FIND("(",O$6)-1),基本シート!$B$6:$C$29,2,FALSE))</f>
        <v>7.4649999999999999</v>
      </c>
      <c r="P35" s="3">
        <v>0.4</v>
      </c>
      <c r="Q35" s="3">
        <f>IF($E35="〇",P35*基本シート!$E$2,P35*VLOOKUP(LEFT(Q$6,FIND("(",Q$6)-1),基本シート!$B$6:$C$29,2,FALSE))</f>
        <v>11.944000000000001</v>
      </c>
      <c r="R35" s="3">
        <v>0.33</v>
      </c>
      <c r="S35" s="3">
        <f>IF($E35="〇",R35*基本シート!$E$2,R35*VLOOKUP(LEFT(S$6,FIND("(",S$6)-1),基本シート!$B$6:$C$29,2,FALSE))</f>
        <v>9.8537999999999997</v>
      </c>
      <c r="T35" s="3">
        <v>0.48</v>
      </c>
      <c r="U35" s="3">
        <f>IF($E35="〇",T35*基本シート!$E$2,T35*VLOOKUP(LEFT(U$6,FIND("(",U$6)-1),基本シート!$B$6:$C$29,2,FALSE))</f>
        <v>14.332799999999999</v>
      </c>
      <c r="V35" s="3">
        <v>0.01</v>
      </c>
      <c r="W35" s="3">
        <f>IF($E35="〇",V35*基本シート!$E$2,V35*VLOOKUP(LEFT(W$6,FIND("(",W$6)-1),基本シート!$B$6:$C$29,2,FALSE))</f>
        <v>0.36859999999999998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0.01</v>
      </c>
      <c r="AS35" s="3">
        <f>IF($E35="〇",AR35*基本シート!$E$2,AR35*VLOOKUP(LEFT(AS$6,FIND("(",AS$6)-1),基本シート!$B$6:$C$29,2,FALSE))</f>
        <v>0.36859999999999998</v>
      </c>
      <c r="AT35" s="3">
        <v>0.01</v>
      </c>
      <c r="AU35" s="3">
        <f>IF($E35="〇",AT35*基本シート!$E$2,AT35*VLOOKUP(LEFT(AU$6,FIND("(",AU$6)-1),基本シート!$B$6:$C$29,2,FALSE))</f>
        <v>0.36859999999999998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2.2099999999999991</v>
      </c>
      <c r="BE35" s="3">
        <f t="shared" si="8"/>
        <v>66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2.04</v>
      </c>
      <c r="BN35" s="3">
        <v>4.79</v>
      </c>
      <c r="BO35" s="3">
        <v>6.03</v>
      </c>
      <c r="BP35" s="3">
        <v>6.77</v>
      </c>
      <c r="BQ35" s="3">
        <v>6.89</v>
      </c>
      <c r="BR35" s="3">
        <v>5.92</v>
      </c>
      <c r="BS35" s="3">
        <v>4.95</v>
      </c>
      <c r="BT35" s="3">
        <v>3.01</v>
      </c>
      <c r="BU35" s="3">
        <v>1.02</v>
      </c>
      <c r="BV35" s="3">
        <v>0.06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5.21</v>
      </c>
      <c r="CW35" s="3">
        <f>CV35*基本シート!$C$3</f>
        <v>83.36</v>
      </c>
      <c r="CX35" s="3">
        <v>6.56</v>
      </c>
      <c r="CY35" s="3">
        <f>CX35*基本シート!$C$3</f>
        <v>104.96</v>
      </c>
      <c r="CZ35" s="3">
        <v>6.71</v>
      </c>
      <c r="DA35" s="3">
        <f>CZ35*基本シート!$C$3</f>
        <v>107.36</v>
      </c>
      <c r="DB35" s="3">
        <v>5.76</v>
      </c>
      <c r="DC35" s="3">
        <f>DB35*基本シート!$C$3</f>
        <v>92.16</v>
      </c>
      <c r="DD35" s="3">
        <v>4.78</v>
      </c>
      <c r="DE35" s="3">
        <f>DD35*基本シート!$C$3</f>
        <v>76.48</v>
      </c>
      <c r="DF35" s="3">
        <v>2.82</v>
      </c>
      <c r="DG35" s="3">
        <f>DF35*基本シート!$C$3</f>
        <v>45.12</v>
      </c>
      <c r="DH35" s="3">
        <v>0.85</v>
      </c>
      <c r="DI35" s="3">
        <f>DH35*基本シート!$C$3</f>
        <v>13.6</v>
      </c>
      <c r="DJ35" s="3">
        <v>0.02</v>
      </c>
      <c r="DK35" s="3">
        <f>DJ35*基本シート!$C$3</f>
        <v>0.32</v>
      </c>
      <c r="DL35" s="3">
        <v>0</v>
      </c>
      <c r="DM35" s="3">
        <f>DL35*基本シート!$C$3</f>
        <v>0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0"/>
        <v>32.769999999999996</v>
      </c>
      <c r="EA35" s="3">
        <f>ROUND(DZ35*基本シート!$C$3,0)</f>
        <v>524</v>
      </c>
      <c r="EB35" s="3">
        <v>0.03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0.05</v>
      </c>
      <c r="EI35" s="3">
        <v>1.66</v>
      </c>
      <c r="EJ35" s="3">
        <v>4.51</v>
      </c>
      <c r="EK35" s="3">
        <v>0.56000000000000005</v>
      </c>
      <c r="EL35" s="3">
        <v>0.01</v>
      </c>
      <c r="EM35" s="3">
        <v>0.01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6.9899999999999984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0.01</v>
      </c>
      <c r="FN35" s="3">
        <v>0</v>
      </c>
      <c r="FO35" s="3">
        <v>0</v>
      </c>
      <c r="FP35" s="3">
        <v>0</v>
      </c>
      <c r="FQ35" s="3">
        <v>0.75</v>
      </c>
      <c r="FR35" s="3">
        <v>1.25</v>
      </c>
      <c r="FS35" s="3">
        <v>0.53</v>
      </c>
      <c r="FT35" s="3">
        <v>0.5</v>
      </c>
      <c r="FU35" s="3">
        <v>0.5</v>
      </c>
      <c r="FV35" s="3">
        <v>1</v>
      </c>
      <c r="FW35" s="3">
        <v>0.3</v>
      </c>
      <c r="FX35" s="3">
        <v>0.22</v>
      </c>
      <c r="FY35" s="3">
        <f t="shared" si="12"/>
        <v>5.0599999999999996</v>
      </c>
      <c r="FZ35" s="3">
        <v>0.2</v>
      </c>
      <c r="GA35" s="3">
        <v>0.21</v>
      </c>
      <c r="GB35" s="3">
        <v>0.2</v>
      </c>
      <c r="GC35" s="3">
        <v>0.22</v>
      </c>
      <c r="GD35" s="3">
        <v>0.37</v>
      </c>
      <c r="GE35" s="3">
        <v>0.3</v>
      </c>
      <c r="GF35" s="3">
        <v>0.6</v>
      </c>
      <c r="GG35" s="3">
        <v>0.38</v>
      </c>
      <c r="GH35" s="3">
        <v>0.27</v>
      </c>
      <c r="GI35" s="3">
        <v>0.26</v>
      </c>
      <c r="GJ35" s="3">
        <v>0.2</v>
      </c>
      <c r="GK35" s="3">
        <v>0.17</v>
      </c>
      <c r="GL35" s="3">
        <v>0.17</v>
      </c>
      <c r="GM35" s="3">
        <v>0.17</v>
      </c>
      <c r="GN35" s="3">
        <v>0.18</v>
      </c>
      <c r="GO35" s="3">
        <v>0.17</v>
      </c>
      <c r="GP35" s="3">
        <v>0.79</v>
      </c>
      <c r="GQ35" s="3">
        <v>1.25</v>
      </c>
      <c r="GR35" s="3">
        <v>0.53</v>
      </c>
      <c r="GS35" s="3">
        <v>0.5</v>
      </c>
      <c r="GT35" s="3">
        <v>0.5</v>
      </c>
      <c r="GU35" s="3">
        <v>1</v>
      </c>
      <c r="GV35" s="3">
        <v>0.3</v>
      </c>
      <c r="GW35" s="3">
        <v>0.22</v>
      </c>
      <c r="GX35" s="3">
        <f t="shared" si="13"/>
        <v>9.1600000000000019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244</v>
      </c>
      <c r="C36" s="6" t="str">
        <f>TEXT(VLOOKUP(LEFT(B36,FIND("月",B36)),基本シート!$E$6:$F$17,2,FALSE)&amp;B36,"aaaa")</f>
        <v>水曜日</v>
      </c>
      <c r="D36" s="6"/>
      <c r="E36" s="6" t="str">
        <f t="shared" si="9"/>
        <v/>
      </c>
      <c r="F36" s="6" t="s">
        <v>297</v>
      </c>
      <c r="G36" s="6" t="s">
        <v>298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7.0000000000000007E-2</v>
      </c>
      <c r="K36" s="3">
        <f>IF($E36="〇",J36*基本シート!$E$2,J36*VLOOKUP(LEFT(K$6,FIND("(",K$6)-1),基本シート!$B$6:$C$29,2,FALSE))</f>
        <v>2.0902000000000003</v>
      </c>
      <c r="L36" s="3">
        <v>0.23</v>
      </c>
      <c r="M36" s="3">
        <f>IF($E36="〇",L36*基本シート!$E$2,L36*VLOOKUP(LEFT(M$6,FIND("(",M$6)-1),基本シート!$B$6:$C$29,2,FALSE))</f>
        <v>6.8677999999999999</v>
      </c>
      <c r="N36" s="3">
        <v>0.23</v>
      </c>
      <c r="O36" s="3">
        <f>IF($E36="〇",N36*基本シート!$E$2,N36*VLOOKUP(LEFT(O$6,FIND("(",O$6)-1),基本シート!$B$6:$C$29,2,FALSE))</f>
        <v>6.8677999999999999</v>
      </c>
      <c r="P36" s="3">
        <v>0.39</v>
      </c>
      <c r="Q36" s="3">
        <f>IF($E36="〇",P36*基本シート!$E$2,P36*VLOOKUP(LEFT(Q$6,FIND("(",Q$6)-1),基本シート!$B$6:$C$29,2,FALSE))</f>
        <v>11.6454</v>
      </c>
      <c r="R36" s="3">
        <v>0.41</v>
      </c>
      <c r="S36" s="3">
        <f>IF($E36="〇",R36*基本シート!$E$2,R36*VLOOKUP(LEFT(S$6,FIND("(",S$6)-1),基本シート!$B$6:$C$29,2,FALSE))</f>
        <v>12.242599999999999</v>
      </c>
      <c r="T36" s="3">
        <v>0.32</v>
      </c>
      <c r="U36" s="3">
        <f>IF($E36="〇",T36*基本シート!$E$2,T36*VLOOKUP(LEFT(U$6,FIND("(",U$6)-1),基本シート!$B$6:$C$29,2,FALSE))</f>
        <v>9.5551999999999992</v>
      </c>
      <c r="V36" s="3">
        <v>0.09</v>
      </c>
      <c r="W36" s="3">
        <f>IF($E36="〇",V36*基本シート!$E$2,V36*VLOOKUP(LEFT(W$6,FIND("(",W$6)-1),基本シート!$B$6:$C$29,2,FALSE))</f>
        <v>3.3173999999999997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0.01</v>
      </c>
      <c r="AG36" s="3">
        <f>IF($E36="〇",AF36*基本シート!$E$2,AF36*VLOOKUP(LEFT(AG$6,FIND("(",AG$6)-1),基本シート!$B$6:$C$29,2,FALSE))</f>
        <v>0.36859999999999998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0.01</v>
      </c>
      <c r="AS36" s="3">
        <f>IF($E36="〇",AR36*基本シート!$E$2,AR36*VLOOKUP(LEFT(AS$6,FIND("(",AS$6)-1),基本シート!$B$6:$C$29,2,FALSE))</f>
        <v>0.36859999999999998</v>
      </c>
      <c r="AT36" s="3">
        <v>0.01</v>
      </c>
      <c r="AU36" s="3">
        <f>IF($E36="〇",AT36*基本シート!$E$2,AT36*VLOOKUP(LEFT(AU$6,FIND("(",AU$6)-1),基本シート!$B$6:$C$29,2,FALSE))</f>
        <v>0.36859999999999998</v>
      </c>
      <c r="AV36" s="3">
        <v>0.01</v>
      </c>
      <c r="AW36" s="3">
        <f>IF($E36="〇",AV36*基本シート!$E$2,AV36*VLOOKUP(LEFT(AW$6,FIND("(",AW$6)-1),基本シート!$B$6:$C$29,2,FALSE))</f>
        <v>0.36859999999999998</v>
      </c>
      <c r="AX36" s="3">
        <v>0.15</v>
      </c>
      <c r="AY36" s="3">
        <f>IF($E36="〇",AX36*基本シート!$E$2,AX36*VLOOKUP(LEFT(AY$6,FIND("(",AY$6)-1),基本シート!$B$6:$C$29,2,FALSE))</f>
        <v>4.4790000000000001</v>
      </c>
      <c r="AZ36" s="3">
        <v>0.25</v>
      </c>
      <c r="BA36" s="3">
        <f>IF($E36="〇",AZ36*基本シート!$E$2,AZ36*VLOOKUP(LEFT(BA$6,FIND("(",BA$6)-1),基本シート!$B$6:$C$29,2,FALSE))</f>
        <v>7.4649999999999999</v>
      </c>
      <c r="BB36" s="3">
        <v>0.31</v>
      </c>
      <c r="BC36" s="3">
        <f>IF($E36="〇",BB36*基本シート!$E$2,BB36*VLOOKUP(LEFT(BC$6,FIND("(",BC$6)-1),基本シート!$B$6:$C$29,2,FALSE))</f>
        <v>9.2566000000000006</v>
      </c>
      <c r="BD36" s="3">
        <f t="shared" si="7"/>
        <v>2.5000000000000004</v>
      </c>
      <c r="BE36" s="3">
        <f t="shared" si="8"/>
        <v>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0.24</v>
      </c>
      <c r="BN36" s="3">
        <v>0.76</v>
      </c>
      <c r="BO36" s="3">
        <v>1.43</v>
      </c>
      <c r="BP36" s="3">
        <v>2.12</v>
      </c>
      <c r="BQ36" s="3">
        <v>1.76</v>
      </c>
      <c r="BR36" s="3">
        <v>1.93</v>
      </c>
      <c r="BS36" s="3">
        <v>2.57</v>
      </c>
      <c r="BT36" s="3">
        <v>3</v>
      </c>
      <c r="BU36" s="3">
        <v>1.41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0.01</v>
      </c>
      <c r="CU36" s="3">
        <f>CT36*基本シート!$C$3</f>
        <v>0.16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0.01</v>
      </c>
      <c r="DC36" s="3">
        <f>DB36*基本シート!$C$3</f>
        <v>0.16</v>
      </c>
      <c r="DD36" s="3">
        <v>1.8</v>
      </c>
      <c r="DE36" s="3">
        <f>DD36*基本シート!$C$3</f>
        <v>28.8</v>
      </c>
      <c r="DF36" s="3">
        <v>2.82</v>
      </c>
      <c r="DG36" s="3">
        <f>DF36*基本シート!$C$3</f>
        <v>45.12</v>
      </c>
      <c r="DH36" s="3">
        <v>0.87</v>
      </c>
      <c r="DI36" s="3">
        <f>DH36*基本シート!$C$3</f>
        <v>13.92</v>
      </c>
      <c r="DJ36" s="3">
        <v>0.04</v>
      </c>
      <c r="DK36" s="3">
        <f>DJ36*基本シート!$C$3</f>
        <v>0.64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5.59</v>
      </c>
      <c r="EA36" s="3">
        <f>ROUND(DZ36*基本シート!$C$3,0)</f>
        <v>89</v>
      </c>
      <c r="EB36" s="3">
        <v>0</v>
      </c>
      <c r="EC36" s="3">
        <v>0</v>
      </c>
      <c r="ED36" s="3">
        <v>0.03</v>
      </c>
      <c r="EE36" s="3">
        <v>0.02</v>
      </c>
      <c r="EF36" s="3">
        <v>0.03</v>
      </c>
      <c r="EG36" s="3">
        <v>0.03</v>
      </c>
      <c r="EH36" s="3">
        <v>0.02</v>
      </c>
      <c r="EI36" s="3">
        <v>0.12</v>
      </c>
      <c r="EJ36" s="3">
        <v>0.53</v>
      </c>
      <c r="EK36" s="3">
        <v>1.1599999999999999</v>
      </c>
      <c r="EL36" s="3">
        <v>1.9</v>
      </c>
      <c r="EM36" s="3">
        <v>1.55</v>
      </c>
      <c r="EN36" s="3">
        <v>0.93</v>
      </c>
      <c r="EO36" s="3">
        <v>0.56999999999999995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0.02</v>
      </c>
      <c r="EY36" s="3">
        <v>0.03</v>
      </c>
      <c r="EZ36" s="3">
        <f t="shared" si="11"/>
        <v>6.9399999999999995</v>
      </c>
      <c r="FA36" s="3">
        <v>0.22</v>
      </c>
      <c r="FB36" s="3">
        <v>0.12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0.32</v>
      </c>
      <c r="FQ36" s="3">
        <v>0.93</v>
      </c>
      <c r="FR36" s="3">
        <v>1.6</v>
      </c>
      <c r="FS36" s="3">
        <v>0.94</v>
      </c>
      <c r="FT36" s="3">
        <v>0.5</v>
      </c>
      <c r="FU36" s="3">
        <v>0.72</v>
      </c>
      <c r="FV36" s="3">
        <v>0.53</v>
      </c>
      <c r="FW36" s="3">
        <v>0</v>
      </c>
      <c r="FX36" s="3">
        <v>0</v>
      </c>
      <c r="FY36" s="3">
        <f t="shared" si="12"/>
        <v>5.8900000000000006</v>
      </c>
      <c r="FZ36" s="3">
        <v>0.21</v>
      </c>
      <c r="GA36" s="3">
        <v>0.19</v>
      </c>
      <c r="GB36" s="3">
        <v>0.2</v>
      </c>
      <c r="GC36" s="3">
        <v>0.21</v>
      </c>
      <c r="GD36" s="3">
        <v>0.36</v>
      </c>
      <c r="GE36" s="3">
        <v>0.38</v>
      </c>
      <c r="GF36" s="3">
        <v>0.3</v>
      </c>
      <c r="GG36" s="3">
        <v>0.21</v>
      </c>
      <c r="GH36" s="3">
        <v>0.22</v>
      </c>
      <c r="GI36" s="3">
        <v>0.27</v>
      </c>
      <c r="GJ36" s="3">
        <v>0.22</v>
      </c>
      <c r="GK36" s="3">
        <v>0.21</v>
      </c>
      <c r="GL36" s="3">
        <v>1</v>
      </c>
      <c r="GM36" s="3">
        <v>0.2</v>
      </c>
      <c r="GN36" s="3">
        <v>0.19</v>
      </c>
      <c r="GO36" s="3">
        <v>0.86</v>
      </c>
      <c r="GP36" s="3">
        <v>0.97</v>
      </c>
      <c r="GQ36" s="3">
        <v>1.61</v>
      </c>
      <c r="GR36" s="3">
        <v>0.94</v>
      </c>
      <c r="GS36" s="3">
        <v>0.5</v>
      </c>
      <c r="GT36" s="3">
        <v>0.72</v>
      </c>
      <c r="GU36" s="3">
        <v>0.68</v>
      </c>
      <c r="GV36" s="3">
        <v>0.23</v>
      </c>
      <c r="GW36" s="3">
        <v>0.28000000000000003</v>
      </c>
      <c r="GX36" s="3">
        <f t="shared" si="13"/>
        <v>11.160000000000002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245</v>
      </c>
      <c r="C37" s="6" t="str">
        <f>TEXT(VLOOKUP(LEFT(B37,FIND("月",B37)),基本シート!$E$6:$F$17,2,FALSE)&amp;B37,"aaaa")</f>
        <v>木曜日</v>
      </c>
      <c r="D37" s="6"/>
      <c r="E37" s="6"/>
      <c r="F37" s="6" t="s">
        <v>298</v>
      </c>
      <c r="G37" s="6" t="s">
        <v>298</v>
      </c>
      <c r="H37" s="3">
        <v>0.25</v>
      </c>
      <c r="I37" s="3">
        <f>IF($E37="〇",H37*基本シート!$E$2,H37*VLOOKUP(LEFT(I$6,FIND("(",I$6)-1),基本シート!$B$6:$C$29,2,FALSE))</f>
        <v>7.4649999999999999</v>
      </c>
      <c r="J37" s="3">
        <v>0.23</v>
      </c>
      <c r="K37" s="3">
        <f>IF($E37="〇",J37*基本シート!$E$2,J37*VLOOKUP(LEFT(K$6,FIND("(",K$6)-1),基本シート!$B$6:$C$29,2,FALSE))</f>
        <v>6.8677999999999999</v>
      </c>
      <c r="L37" s="3">
        <v>0.23</v>
      </c>
      <c r="M37" s="3">
        <f>IF($E37="〇",L37*基本シート!$E$2,L37*VLOOKUP(LEFT(M$6,FIND("(",M$6)-1),基本シート!$B$6:$C$29,2,FALSE))</f>
        <v>6.8677999999999999</v>
      </c>
      <c r="N37" s="3">
        <v>0.24</v>
      </c>
      <c r="O37" s="3">
        <f>IF($E37="〇",N37*基本シート!$E$2,N37*VLOOKUP(LEFT(O$6,FIND("(",O$6)-1),基本シート!$B$6:$C$29,2,FALSE))</f>
        <v>7.1663999999999994</v>
      </c>
      <c r="P37" s="3">
        <v>0.4</v>
      </c>
      <c r="Q37" s="3">
        <f>IF($E37="〇",P37*基本シート!$E$2,P37*VLOOKUP(LEFT(Q$6,FIND("(",Q$6)-1),基本シート!$B$6:$C$29,2,FALSE))</f>
        <v>11.944000000000001</v>
      </c>
      <c r="R37" s="3">
        <v>0.49</v>
      </c>
      <c r="S37" s="3">
        <f>IF($E37="〇",R37*基本シート!$E$2,R37*VLOOKUP(LEFT(S$6,FIND("(",S$6)-1),基本シート!$B$6:$C$29,2,FALSE))</f>
        <v>14.631399999999999</v>
      </c>
      <c r="T37" s="3">
        <v>0.16</v>
      </c>
      <c r="U37" s="3">
        <f>IF($E37="〇",T37*基本シート!$E$2,T37*VLOOKUP(LEFT(U$6,FIND("(",U$6)-1),基本シート!$B$6:$C$29,2,FALSE))</f>
        <v>4.7775999999999996</v>
      </c>
      <c r="V37" s="3">
        <v>0.01</v>
      </c>
      <c r="W37" s="3">
        <f>IF($E37="〇",V37*基本シート!$E$2,V37*VLOOKUP(LEFT(W$6,FIND("(",W$6)-1),基本シート!$B$6:$C$29,2,FALSE))</f>
        <v>0.36859999999999998</v>
      </c>
      <c r="X37" s="3">
        <v>0.01</v>
      </c>
      <c r="Y37" s="3">
        <f>IF($E37="〇",X37*基本シート!$E$2,X37*VLOOKUP(LEFT(Y$6,FIND("(",Y$6)-1),基本シート!$B$6:$C$29,2,FALSE))</f>
        <v>0.36859999999999998</v>
      </c>
      <c r="Z37" s="3">
        <v>0.01</v>
      </c>
      <c r="AA37" s="3">
        <f>IF($E37="〇",Z37*基本シート!$E$2,Z37*VLOOKUP(LEFT(AA$6,FIND("(",AA$6)-1),基本シート!$B$6:$C$29,2,FALSE))</f>
        <v>0.36859999999999998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0.36859999999999998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0.01</v>
      </c>
      <c r="AS37" s="3">
        <f>IF($E37="〇",AR37*基本シート!$E$2,AR37*VLOOKUP(LEFT(AS$6,FIND("(",AS$6)-1),基本シート!$B$6:$C$29,2,FALSE))</f>
        <v>0.36859999999999998</v>
      </c>
      <c r="AT37" s="3">
        <v>0</v>
      </c>
      <c r="AU37" s="3">
        <f>IF($E37="〇",AT37*基本シート!$E$2,AT37*VLOOKUP(LEFT(AU$6,FIND("(",AU$6)-1),基本シート!$B$6:$C$29,2,FALSE))</f>
        <v>0</v>
      </c>
      <c r="AV37" s="3">
        <v>0.01</v>
      </c>
      <c r="AW37" s="3">
        <f>IF($E37="〇",AV37*基本シート!$E$2,AV37*VLOOKUP(LEFT(AW$6,FIND("(",AW$6)-1),基本シート!$B$6:$C$29,2,FALSE))</f>
        <v>0.36859999999999998</v>
      </c>
      <c r="AX37" s="3">
        <v>0.02</v>
      </c>
      <c r="AY37" s="3">
        <f>IF($E37="〇",AX37*基本シート!$E$2,AX37*VLOOKUP(LEFT(AY$6,FIND("(",AY$6)-1),基本シート!$B$6:$C$29,2,FALSE))</f>
        <v>0.59719999999999995</v>
      </c>
      <c r="AZ37" s="3">
        <v>0.28999999999999998</v>
      </c>
      <c r="BA37" s="3">
        <f>IF($E37="〇",AZ37*基本シート!$E$2,AZ37*VLOOKUP(LEFT(BA$6,FIND("(",BA$6)-1),基本シート!$B$6:$C$29,2,FALSE))</f>
        <v>8.6593999999999998</v>
      </c>
      <c r="BB37" s="3">
        <v>0.24</v>
      </c>
      <c r="BC37" s="3">
        <f>IF($E37="〇",BB37*基本シート!$E$2,BB37*VLOOKUP(LEFT(BC$6,FIND("(",BC$6)-1),基本シート!$B$6:$C$29,2,FALSE))</f>
        <v>7.1663999999999994</v>
      </c>
      <c r="BD37" s="3">
        <f t="shared" si="7"/>
        <v>2.6199999999999983</v>
      </c>
      <c r="BE37" s="3">
        <f t="shared" si="8"/>
        <v>79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0.16</v>
      </c>
      <c r="BM37" s="3">
        <v>1.43</v>
      </c>
      <c r="BN37" s="3">
        <v>2.72</v>
      </c>
      <c r="BO37" s="3">
        <v>5.16</v>
      </c>
      <c r="BP37" s="3">
        <v>5.75</v>
      </c>
      <c r="BQ37" s="3">
        <v>6.71</v>
      </c>
      <c r="BR37" s="3">
        <v>5.97</v>
      </c>
      <c r="BS37" s="3">
        <v>4.1500000000000004</v>
      </c>
      <c r="BT37" s="3">
        <v>3.16</v>
      </c>
      <c r="BU37" s="3">
        <v>1.57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0.01</v>
      </c>
      <c r="CS37" s="3">
        <f>CR37*基本シート!$C$3</f>
        <v>0.16</v>
      </c>
      <c r="CT37" s="3">
        <v>0.04</v>
      </c>
      <c r="CU37" s="3">
        <f>CT37*基本シート!$C$3</f>
        <v>0.64</v>
      </c>
      <c r="CV37" s="3">
        <v>1.91</v>
      </c>
      <c r="CW37" s="3">
        <f>CV37*基本シート!$C$3</f>
        <v>30.56</v>
      </c>
      <c r="CX37" s="3">
        <v>5.55</v>
      </c>
      <c r="CY37" s="3">
        <f>CX37*基本シート!$C$3</f>
        <v>88.8</v>
      </c>
      <c r="CZ37" s="3">
        <v>6.52</v>
      </c>
      <c r="DA37" s="3">
        <f>CZ37*基本シート!$C$3</f>
        <v>104.32</v>
      </c>
      <c r="DB37" s="3">
        <v>5.79</v>
      </c>
      <c r="DC37" s="3">
        <f>DB37*基本シート!$C$3</f>
        <v>92.64</v>
      </c>
      <c r="DD37" s="3">
        <v>3.96</v>
      </c>
      <c r="DE37" s="3">
        <f>DD37*基本シート!$C$3</f>
        <v>63.36</v>
      </c>
      <c r="DF37" s="3">
        <v>2.98</v>
      </c>
      <c r="DG37" s="3">
        <f>DF37*基本シート!$C$3</f>
        <v>47.68</v>
      </c>
      <c r="DH37" s="3">
        <v>1.4</v>
      </c>
      <c r="DI37" s="3">
        <f>DH37*基本シート!$C$3</f>
        <v>22.4</v>
      </c>
      <c r="DJ37" s="3">
        <v>0.05</v>
      </c>
      <c r="DK37" s="3">
        <f>DJ37*基本シート!$C$3</f>
        <v>0.8</v>
      </c>
      <c r="DL37" s="3">
        <v>0.01</v>
      </c>
      <c r="DM37" s="3">
        <f>DL37*基本シート!$C$3</f>
        <v>0.16</v>
      </c>
      <c r="DN37" s="3">
        <v>0.01</v>
      </c>
      <c r="DO37" s="3">
        <f>DN37*基本シート!$C$3</f>
        <v>0.16</v>
      </c>
      <c r="DP37" s="3">
        <v>0</v>
      </c>
      <c r="DQ37" s="3">
        <f>DP37*基本シート!$C$3</f>
        <v>0</v>
      </c>
      <c r="DR37" s="3">
        <v>0.01</v>
      </c>
      <c r="DS37" s="3">
        <f>DR37*基本シート!$C$3</f>
        <v>0.16</v>
      </c>
      <c r="DT37" s="3">
        <v>0.01</v>
      </c>
      <c r="DU37" s="3">
        <f>DT37*基本シート!$C$3</f>
        <v>0.16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4">SUM(CD37,CF37,CH37,CJ37,CL37,CN37,CP37,CR37,CT37,CV37,CX37,CZ37,DB37,DD37,DF37,DH37,DJ37,DL37,DN37,DP37,DR37,DT37,DV37,DX37)</f>
        <v>28.250000000000007</v>
      </c>
      <c r="EA37" s="3">
        <f>ROUND(DZ37*基本シート!$C$3,0)</f>
        <v>452</v>
      </c>
      <c r="EB37" s="3">
        <v>0.03</v>
      </c>
      <c r="EC37" s="3">
        <v>0.03</v>
      </c>
      <c r="ED37" s="3">
        <v>0.03</v>
      </c>
      <c r="EE37" s="3">
        <v>0.03</v>
      </c>
      <c r="EF37" s="3">
        <v>0.02</v>
      </c>
      <c r="EG37" s="3">
        <v>0.03</v>
      </c>
      <c r="EH37" s="3">
        <v>0.06</v>
      </c>
      <c r="EI37" s="3">
        <v>1.22</v>
      </c>
      <c r="EJ37" s="3">
        <v>2.4900000000000002</v>
      </c>
      <c r="EK37" s="3">
        <v>3.06</v>
      </c>
      <c r="EL37" s="3">
        <v>0</v>
      </c>
      <c r="EM37" s="3">
        <v>0</v>
      </c>
      <c r="EN37" s="3">
        <v>0.01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0.03</v>
      </c>
      <c r="EY37" s="3">
        <v>0.03</v>
      </c>
      <c r="EZ37" s="3">
        <f t="shared" si="11"/>
        <v>7.07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0.87</v>
      </c>
      <c r="FR37" s="3">
        <v>1.85</v>
      </c>
      <c r="FS37" s="3">
        <v>1.05</v>
      </c>
      <c r="FT37" s="3">
        <v>0.32</v>
      </c>
      <c r="FU37" s="3">
        <v>0.87</v>
      </c>
      <c r="FV37" s="3">
        <v>0.64</v>
      </c>
      <c r="FW37" s="3">
        <v>0</v>
      </c>
      <c r="FX37" s="3">
        <v>0</v>
      </c>
      <c r="FY37" s="3">
        <f t="shared" si="12"/>
        <v>5.61</v>
      </c>
      <c r="FZ37" s="3">
        <v>0.22</v>
      </c>
      <c r="GA37" s="3">
        <v>0.2</v>
      </c>
      <c r="GB37" s="3">
        <v>0.2</v>
      </c>
      <c r="GC37" s="3">
        <v>0.21</v>
      </c>
      <c r="GD37" s="3">
        <v>0.38</v>
      </c>
      <c r="GE37" s="3">
        <v>0.46</v>
      </c>
      <c r="GF37" s="3">
        <v>0.26</v>
      </c>
      <c r="GG37" s="3">
        <v>0.21</v>
      </c>
      <c r="GH37" s="3">
        <v>0.2</v>
      </c>
      <c r="GI37" s="3">
        <v>0.2</v>
      </c>
      <c r="GJ37" s="3">
        <v>0.2</v>
      </c>
      <c r="GK37" s="3">
        <v>0.19</v>
      </c>
      <c r="GL37" s="3">
        <v>0.17</v>
      </c>
      <c r="GM37" s="3">
        <v>0.19</v>
      </c>
      <c r="GN37" s="3">
        <v>0.18</v>
      </c>
      <c r="GO37" s="3">
        <v>0.18</v>
      </c>
      <c r="GP37" s="3">
        <v>0.94</v>
      </c>
      <c r="GQ37" s="3">
        <v>1.85</v>
      </c>
      <c r="GR37" s="3">
        <v>1.05</v>
      </c>
      <c r="GS37" s="3">
        <v>0.32</v>
      </c>
      <c r="GT37" s="3">
        <v>0.87</v>
      </c>
      <c r="GU37" s="3">
        <v>0.65</v>
      </c>
      <c r="GV37" s="3">
        <v>0.26</v>
      </c>
      <c r="GW37" s="3">
        <v>0.21</v>
      </c>
      <c r="GX37" s="3">
        <f t="shared" si="13"/>
        <v>9.8000000000000025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5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2.06</v>
      </c>
      <c r="I38" s="3">
        <f t="shared" ref="I38:BT38" si="16">SUM(I7:I36)</f>
        <v>61.511600000000008</v>
      </c>
      <c r="J38" s="3">
        <f t="shared" si="16"/>
        <v>2.5299999999999998</v>
      </c>
      <c r="K38" s="3">
        <f t="shared" si="16"/>
        <v>75.545799999999986</v>
      </c>
      <c r="L38" s="3">
        <f t="shared" si="16"/>
        <v>3.4600000000000004</v>
      </c>
      <c r="M38" s="3">
        <f t="shared" si="16"/>
        <v>103.31560000000002</v>
      </c>
      <c r="N38" s="3">
        <f t="shared" si="16"/>
        <v>5.0999999999999996</v>
      </c>
      <c r="O38" s="3">
        <f t="shared" si="16"/>
        <v>152.286</v>
      </c>
      <c r="P38" s="3">
        <f t="shared" si="16"/>
        <v>9.5300000000000029</v>
      </c>
      <c r="Q38" s="3">
        <f t="shared" si="16"/>
        <v>284.56580000000002</v>
      </c>
      <c r="R38" s="3">
        <f t="shared" si="16"/>
        <v>8.9600000000000009</v>
      </c>
      <c r="S38" s="3">
        <f t="shared" si="16"/>
        <v>267.54559999999998</v>
      </c>
      <c r="T38" s="3">
        <f t="shared" si="16"/>
        <v>5.8600000000000012</v>
      </c>
      <c r="U38" s="3">
        <f t="shared" si="16"/>
        <v>174.9796</v>
      </c>
      <c r="V38" s="3">
        <f t="shared" si="16"/>
        <v>1.87</v>
      </c>
      <c r="W38" s="3">
        <f t="shared" si="16"/>
        <v>62.978200000000008</v>
      </c>
      <c r="X38" s="3">
        <f t="shared" si="16"/>
        <v>0.29000000000000004</v>
      </c>
      <c r="Y38" s="3">
        <f t="shared" si="16"/>
        <v>10.269400000000001</v>
      </c>
      <c r="Z38" s="3">
        <f t="shared" si="16"/>
        <v>0.03</v>
      </c>
      <c r="AA38" s="3">
        <f t="shared" si="16"/>
        <v>0.96579999999999999</v>
      </c>
      <c r="AB38" s="3">
        <f t="shared" si="16"/>
        <v>0.14000000000000001</v>
      </c>
      <c r="AC38" s="3">
        <f t="shared" si="16"/>
        <v>4.1804000000000006</v>
      </c>
      <c r="AD38" s="3">
        <f t="shared" si="16"/>
        <v>0.11</v>
      </c>
      <c r="AE38" s="3">
        <f t="shared" si="16"/>
        <v>3.2846000000000002</v>
      </c>
      <c r="AF38" s="3">
        <f t="shared" si="16"/>
        <v>0.01</v>
      </c>
      <c r="AG38" s="3">
        <f t="shared" si="16"/>
        <v>0.36859999999999998</v>
      </c>
      <c r="AH38" s="3">
        <f t="shared" si="16"/>
        <v>0.01</v>
      </c>
      <c r="AI38" s="3">
        <f t="shared" si="16"/>
        <v>0.36859999999999998</v>
      </c>
      <c r="AJ38" s="3">
        <f t="shared" si="16"/>
        <v>0.02</v>
      </c>
      <c r="AK38" s="3">
        <f t="shared" si="16"/>
        <v>0.66720000000000002</v>
      </c>
      <c r="AL38" s="3">
        <f t="shared" si="16"/>
        <v>0</v>
      </c>
      <c r="AM38" s="3">
        <f t="shared" si="16"/>
        <v>0</v>
      </c>
      <c r="AN38" s="3">
        <f t="shared" si="16"/>
        <v>0.26</v>
      </c>
      <c r="AO38" s="3">
        <f t="shared" si="16"/>
        <v>7.9736000000000002</v>
      </c>
      <c r="AP38" s="3">
        <f t="shared" si="16"/>
        <v>1.98</v>
      </c>
      <c r="AQ38" s="3">
        <f t="shared" si="16"/>
        <v>61.852800000000002</v>
      </c>
      <c r="AR38" s="3">
        <f t="shared" si="16"/>
        <v>0.7200000000000002</v>
      </c>
      <c r="AS38" s="3">
        <f t="shared" si="16"/>
        <v>23.109200000000005</v>
      </c>
      <c r="AT38" s="3">
        <f t="shared" si="16"/>
        <v>2.4699999999999998</v>
      </c>
      <c r="AU38" s="3">
        <f t="shared" si="16"/>
        <v>88.944199999999995</v>
      </c>
      <c r="AV38" s="3">
        <f t="shared" si="16"/>
        <v>2.21</v>
      </c>
      <c r="AW38" s="3">
        <f t="shared" si="16"/>
        <v>77.260599999999997</v>
      </c>
      <c r="AX38" s="3">
        <f t="shared" si="16"/>
        <v>2.9099999999999988</v>
      </c>
      <c r="AY38" s="3">
        <f t="shared" si="16"/>
        <v>86.892599999999987</v>
      </c>
      <c r="AZ38" s="3">
        <f t="shared" si="16"/>
        <v>2.7499999999999991</v>
      </c>
      <c r="BA38" s="3">
        <f t="shared" si="16"/>
        <v>82.115000000000009</v>
      </c>
      <c r="BB38" s="3">
        <f t="shared" si="16"/>
        <v>2.0299999999999998</v>
      </c>
      <c r="BC38" s="3">
        <f t="shared" si="16"/>
        <v>60.615799999999986</v>
      </c>
      <c r="BD38" s="3">
        <f t="shared" si="16"/>
        <v>55.31</v>
      </c>
      <c r="BE38" s="3">
        <f t="shared" si="16"/>
        <v>1693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6.2299999999999995</v>
      </c>
      <c r="BM38" s="3">
        <f t="shared" si="16"/>
        <v>40.729999999999997</v>
      </c>
      <c r="BN38" s="3">
        <f t="shared" si="16"/>
        <v>91.68</v>
      </c>
      <c r="BO38" s="3">
        <f t="shared" si="16"/>
        <v>117.61999999999999</v>
      </c>
      <c r="BP38" s="3">
        <f t="shared" si="16"/>
        <v>131.14000000000001</v>
      </c>
      <c r="BQ38" s="3">
        <f t="shared" si="16"/>
        <v>126.06</v>
      </c>
      <c r="BR38" s="3">
        <f t="shared" si="16"/>
        <v>111.90999999999998</v>
      </c>
      <c r="BS38" s="3">
        <f t="shared" si="16"/>
        <v>98.690000000000012</v>
      </c>
      <c r="BT38" s="3">
        <f t="shared" si="16"/>
        <v>72.63000000000001</v>
      </c>
      <c r="BU38" s="3">
        <f t="shared" ref="BU38:EF38" si="17">SUM(BU7:BU36)</f>
        <v>35.380000000000003</v>
      </c>
      <c r="BV38" s="3">
        <f t="shared" si="17"/>
        <v>5.5699999999999985</v>
      </c>
      <c r="BW38" s="3">
        <f t="shared" si="17"/>
        <v>0.03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si="17"/>
        <v>0</v>
      </c>
      <c r="CB38" s="3">
        <f t="shared" si="17"/>
        <v>0</v>
      </c>
      <c r="CC38" s="3">
        <f t="shared" si="17"/>
        <v>0</v>
      </c>
      <c r="CD38" s="3">
        <f t="shared" si="17"/>
        <v>0.10999999999999999</v>
      </c>
      <c r="CE38" s="3">
        <f t="shared" si="17"/>
        <v>1.7599999999999998</v>
      </c>
      <c r="CF38" s="3">
        <f t="shared" si="17"/>
        <v>0.08</v>
      </c>
      <c r="CG38" s="3">
        <f t="shared" si="17"/>
        <v>1.28</v>
      </c>
      <c r="CH38" s="3">
        <f t="shared" si="17"/>
        <v>0.08</v>
      </c>
      <c r="CI38" s="3">
        <f t="shared" si="17"/>
        <v>1.28</v>
      </c>
      <c r="CJ38" s="3">
        <f t="shared" si="17"/>
        <v>0.04</v>
      </c>
      <c r="CK38" s="3">
        <f t="shared" si="17"/>
        <v>0.64</v>
      </c>
      <c r="CL38" s="3">
        <f t="shared" si="17"/>
        <v>0.04</v>
      </c>
      <c r="CM38" s="3">
        <f t="shared" si="17"/>
        <v>0.64</v>
      </c>
      <c r="CN38" s="3">
        <f t="shared" si="17"/>
        <v>0.02</v>
      </c>
      <c r="CO38" s="3">
        <f t="shared" si="17"/>
        <v>0.32</v>
      </c>
      <c r="CP38" s="3">
        <f t="shared" si="17"/>
        <v>0.04</v>
      </c>
      <c r="CQ38" s="3">
        <f t="shared" si="17"/>
        <v>0.64</v>
      </c>
      <c r="CR38" s="3">
        <f t="shared" si="17"/>
        <v>0.21000000000000005</v>
      </c>
      <c r="CS38" s="3">
        <f t="shared" si="17"/>
        <v>3.3600000000000008</v>
      </c>
      <c r="CT38" s="3">
        <f t="shared" si="17"/>
        <v>5.1999999999999975</v>
      </c>
      <c r="CU38" s="3">
        <f t="shared" si="17"/>
        <v>83.19999999999996</v>
      </c>
      <c r="CV38" s="3">
        <f t="shared" si="17"/>
        <v>66.859999999999985</v>
      </c>
      <c r="CW38" s="3">
        <f t="shared" si="17"/>
        <v>1069.7599999999998</v>
      </c>
      <c r="CX38" s="3">
        <f t="shared" si="17"/>
        <v>104.54</v>
      </c>
      <c r="CY38" s="3">
        <f t="shared" si="17"/>
        <v>1672.64</v>
      </c>
      <c r="CZ38" s="3">
        <f t="shared" si="17"/>
        <v>106.72</v>
      </c>
      <c r="DA38" s="3">
        <f t="shared" si="17"/>
        <v>1707.52</v>
      </c>
      <c r="DB38" s="3">
        <f t="shared" si="17"/>
        <v>98.690000000000012</v>
      </c>
      <c r="DC38" s="3">
        <f t="shared" si="17"/>
        <v>1579.0400000000002</v>
      </c>
      <c r="DD38" s="3">
        <f t="shared" si="17"/>
        <v>88.67</v>
      </c>
      <c r="DE38" s="3">
        <f t="shared" si="17"/>
        <v>1418.72</v>
      </c>
      <c r="DF38" s="3">
        <f t="shared" si="17"/>
        <v>65.330000000000013</v>
      </c>
      <c r="DG38" s="3">
        <f t="shared" si="17"/>
        <v>1045.2800000000002</v>
      </c>
      <c r="DH38" s="3">
        <f t="shared" si="17"/>
        <v>29.040000000000006</v>
      </c>
      <c r="DI38" s="3">
        <f t="shared" si="17"/>
        <v>464.6400000000001</v>
      </c>
      <c r="DJ38" s="3">
        <f t="shared" si="17"/>
        <v>2.77</v>
      </c>
      <c r="DK38" s="3">
        <f t="shared" si="17"/>
        <v>44.32</v>
      </c>
      <c r="DL38" s="3">
        <f t="shared" si="17"/>
        <v>0.19000000000000003</v>
      </c>
      <c r="DM38" s="3">
        <f t="shared" si="17"/>
        <v>3.0400000000000005</v>
      </c>
      <c r="DN38" s="3">
        <f t="shared" si="17"/>
        <v>0.26000000000000006</v>
      </c>
      <c r="DO38" s="3">
        <f t="shared" si="17"/>
        <v>4.160000000000001</v>
      </c>
      <c r="DP38" s="3">
        <f t="shared" si="17"/>
        <v>0.24000000000000007</v>
      </c>
      <c r="DQ38" s="3">
        <f t="shared" si="17"/>
        <v>3.8400000000000012</v>
      </c>
      <c r="DR38" s="3">
        <f t="shared" si="17"/>
        <v>0.13999999999999999</v>
      </c>
      <c r="DS38" s="3">
        <f t="shared" si="17"/>
        <v>2.2399999999999998</v>
      </c>
      <c r="DT38" s="3">
        <f t="shared" si="17"/>
        <v>0.22000000000000006</v>
      </c>
      <c r="DU38" s="3">
        <f t="shared" si="17"/>
        <v>3.5200000000000009</v>
      </c>
      <c r="DV38" s="3">
        <f t="shared" si="17"/>
        <v>0.19000000000000003</v>
      </c>
      <c r="DW38" s="3">
        <f t="shared" si="17"/>
        <v>3.0400000000000005</v>
      </c>
      <c r="DX38" s="3">
        <f t="shared" si="17"/>
        <v>0.13999999999999999</v>
      </c>
      <c r="DY38" s="3">
        <f t="shared" si="17"/>
        <v>2.2399999999999998</v>
      </c>
      <c r="DZ38" s="3">
        <f t="shared" si="17"/>
        <v>569.81999999999994</v>
      </c>
      <c r="EA38" s="3">
        <f t="shared" si="17"/>
        <v>9114</v>
      </c>
      <c r="EB38" s="3">
        <f t="shared" si="17"/>
        <v>0.23</v>
      </c>
      <c r="EC38" s="3">
        <f t="shared" si="17"/>
        <v>0.29000000000000004</v>
      </c>
      <c r="ED38" s="3">
        <f t="shared" si="17"/>
        <v>0.42000000000000004</v>
      </c>
      <c r="EE38" s="3">
        <f t="shared" si="17"/>
        <v>0.56000000000000016</v>
      </c>
      <c r="EF38" s="3">
        <f t="shared" si="17"/>
        <v>0.86000000000000021</v>
      </c>
      <c r="EG38" s="3">
        <f t="shared" ref="EG38:GR38" si="18">SUM(EG7:EG36)</f>
        <v>0.79000000000000015</v>
      </c>
      <c r="EH38" s="3">
        <f t="shared" si="18"/>
        <v>2.5999999999999996</v>
      </c>
      <c r="EI38" s="3">
        <f t="shared" si="18"/>
        <v>32.74</v>
      </c>
      <c r="EJ38" s="3">
        <f t="shared" si="18"/>
        <v>78.5</v>
      </c>
      <c r="EK38" s="3">
        <f t="shared" si="18"/>
        <v>42.16</v>
      </c>
      <c r="EL38" s="3">
        <f t="shared" si="18"/>
        <v>19.210000000000004</v>
      </c>
      <c r="EM38" s="3">
        <f t="shared" si="18"/>
        <v>11.81</v>
      </c>
      <c r="EN38" s="3">
        <f t="shared" si="18"/>
        <v>5.4999999999999991</v>
      </c>
      <c r="EO38" s="3">
        <f t="shared" si="18"/>
        <v>2.7399999999999998</v>
      </c>
      <c r="EP38" s="3">
        <f t="shared" si="18"/>
        <v>1.38</v>
      </c>
      <c r="EQ38" s="3">
        <f t="shared" si="18"/>
        <v>0.01</v>
      </c>
      <c r="ER38" s="3">
        <f t="shared" si="18"/>
        <v>0</v>
      </c>
      <c r="ES38" s="3">
        <f t="shared" si="18"/>
        <v>0.04</v>
      </c>
      <c r="ET38" s="3">
        <f t="shared" si="18"/>
        <v>0.04</v>
      </c>
      <c r="EU38" s="3">
        <f t="shared" si="18"/>
        <v>7.0000000000000007E-2</v>
      </c>
      <c r="EV38" s="3">
        <f t="shared" si="18"/>
        <v>0.08</v>
      </c>
      <c r="EW38" s="3">
        <f t="shared" si="18"/>
        <v>0.11</v>
      </c>
      <c r="EX38" s="3">
        <f t="shared" si="18"/>
        <v>0.22</v>
      </c>
      <c r="EY38" s="3">
        <f t="shared" si="18"/>
        <v>0.25</v>
      </c>
      <c r="EZ38" s="3">
        <f t="shared" si="18"/>
        <v>200.61</v>
      </c>
      <c r="FA38" s="3">
        <f t="shared" si="18"/>
        <v>4.57</v>
      </c>
      <c r="FB38" s="3">
        <f t="shared" si="18"/>
        <v>3.8100000000000005</v>
      </c>
      <c r="FC38" s="3">
        <f t="shared" si="18"/>
        <v>2.8399999999999994</v>
      </c>
      <c r="FD38" s="3">
        <f t="shared" si="18"/>
        <v>1.6300000000000001</v>
      </c>
      <c r="FE38" s="3">
        <f t="shared" si="18"/>
        <v>1.0999999999999999</v>
      </c>
      <c r="FF38" s="3">
        <f t="shared" si="18"/>
        <v>0.89</v>
      </c>
      <c r="FG38" s="3">
        <f t="shared" si="18"/>
        <v>0.28000000000000003</v>
      </c>
      <c r="FH38" s="3">
        <f t="shared" si="18"/>
        <v>0.15</v>
      </c>
      <c r="FI38" s="3">
        <f t="shared" si="18"/>
        <v>0</v>
      </c>
      <c r="FJ38" s="3">
        <f t="shared" si="18"/>
        <v>0</v>
      </c>
      <c r="FK38" s="3">
        <f t="shared" si="18"/>
        <v>0.24000000000000002</v>
      </c>
      <c r="FL38" s="3">
        <f t="shared" si="18"/>
        <v>0.01</v>
      </c>
      <c r="FM38" s="3">
        <f t="shared" si="18"/>
        <v>0.04</v>
      </c>
      <c r="FN38" s="3">
        <f t="shared" si="18"/>
        <v>0.10999999999999999</v>
      </c>
      <c r="FO38" s="3">
        <f t="shared" si="18"/>
        <v>7.0000000000000007E-2</v>
      </c>
      <c r="FP38" s="3">
        <f t="shared" si="18"/>
        <v>1.3900000000000001</v>
      </c>
      <c r="FQ38" s="3">
        <f t="shared" si="18"/>
        <v>24.33</v>
      </c>
      <c r="FR38" s="3">
        <f t="shared" si="18"/>
        <v>43.3</v>
      </c>
      <c r="FS38" s="3">
        <f t="shared" si="18"/>
        <v>18.73</v>
      </c>
      <c r="FT38" s="3">
        <f t="shared" si="18"/>
        <v>12.989999999999998</v>
      </c>
      <c r="FU38" s="3">
        <f t="shared" si="18"/>
        <v>13.790000000000001</v>
      </c>
      <c r="FV38" s="3">
        <f t="shared" si="18"/>
        <v>13.770000000000001</v>
      </c>
      <c r="FW38" s="3">
        <f t="shared" si="18"/>
        <v>7.28</v>
      </c>
      <c r="FX38" s="3">
        <f t="shared" si="18"/>
        <v>5.07</v>
      </c>
      <c r="FY38" s="3">
        <f t="shared" si="18"/>
        <v>156.39000000000004</v>
      </c>
      <c r="FZ38" s="3">
        <f t="shared" si="18"/>
        <v>6.2900000000000018</v>
      </c>
      <c r="GA38" s="3">
        <f t="shared" si="18"/>
        <v>5.9700000000000024</v>
      </c>
      <c r="GB38" s="3">
        <f t="shared" si="18"/>
        <v>5.8000000000000025</v>
      </c>
      <c r="GC38" s="3">
        <f t="shared" si="18"/>
        <v>6.1300000000000008</v>
      </c>
      <c r="GD38" s="3">
        <f t="shared" si="18"/>
        <v>9.73</v>
      </c>
      <c r="GE38" s="3">
        <f t="shared" si="18"/>
        <v>9.0400000000000009</v>
      </c>
      <c r="GF38" s="3">
        <f t="shared" si="18"/>
        <v>9.73</v>
      </c>
      <c r="GG38" s="3">
        <f t="shared" si="18"/>
        <v>9.8000000000000025</v>
      </c>
      <c r="GH38" s="3">
        <f t="shared" si="18"/>
        <v>8.27</v>
      </c>
      <c r="GI38" s="3">
        <f t="shared" si="18"/>
        <v>8.629999999999999</v>
      </c>
      <c r="GJ38" s="3">
        <f t="shared" si="18"/>
        <v>7.7700000000000005</v>
      </c>
      <c r="GK38" s="3">
        <f t="shared" si="18"/>
        <v>7.6500000000000021</v>
      </c>
      <c r="GL38" s="3">
        <f t="shared" si="18"/>
        <v>7.77</v>
      </c>
      <c r="GM38" s="3">
        <f t="shared" si="18"/>
        <v>7.4000000000000012</v>
      </c>
      <c r="GN38" s="3">
        <f t="shared" si="18"/>
        <v>6.0100000000000007</v>
      </c>
      <c r="GO38" s="3">
        <f t="shared" si="18"/>
        <v>7.7200000000000015</v>
      </c>
      <c r="GP38" s="3">
        <f t="shared" si="18"/>
        <v>27.39</v>
      </c>
      <c r="GQ38" s="3">
        <f t="shared" si="18"/>
        <v>45.08</v>
      </c>
      <c r="GR38" s="3">
        <f t="shared" si="18"/>
        <v>19.150000000000002</v>
      </c>
      <c r="GS38" s="3">
        <f t="shared" ref="GS38:GX38" si="19">SUM(GS7:GS36)</f>
        <v>15.149999999999999</v>
      </c>
      <c r="GT38" s="3">
        <f t="shared" si="19"/>
        <v>15.780000000000001</v>
      </c>
      <c r="GU38" s="3">
        <f t="shared" si="19"/>
        <v>16.350000000000001</v>
      </c>
      <c r="GV38" s="3">
        <f t="shared" si="19"/>
        <v>9.6200000000000045</v>
      </c>
      <c r="GW38" s="3">
        <f t="shared" si="19"/>
        <v>6.7099999999999991</v>
      </c>
      <c r="GX38" s="3">
        <f t="shared" si="19"/>
        <v>278.94000000000011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643" priority="92" percent="1" rank="10"/>
  </conditionalFormatting>
  <conditionalFormatting sqref="AZ7 H7 J7 L7 N7 P7 R7 T7 V7 X7 Z7 AB7 AD7 AF7 AH7 AJ7 AL7 AN7 AP7 AR7 AT7 AV7 AX7">
    <cfRule type="top10" dxfId="642" priority="91" percent="1" rank="10"/>
  </conditionalFormatting>
  <conditionalFormatting sqref="FA7:FX7 FZ7:GW7">
    <cfRule type="top10" dxfId="641" priority="90" percent="1" rank="10"/>
  </conditionalFormatting>
  <conditionalFormatting sqref="H8 J8 L8 N8 P8 R8 T8 V8 X8 Z8 AB8 AD8 AF8 AH8 AJ8 AL8 AN8 AP8 AR8 AT8 AV8 AX8 AZ8 BB8">
    <cfRule type="top10" dxfId="640" priority="89" percent="1" rank="10"/>
  </conditionalFormatting>
  <conditionalFormatting sqref="H9 J9 L9 N9 P9 R9 T9 V9 X9 Z9 AB9 AD9 AF9 AH9 AJ9 AL9 AN9 AP9 AR9 AT9 AV9 AZ9 AX9 BB9">
    <cfRule type="top10" dxfId="639" priority="88" percent="1" rank="10"/>
  </conditionalFormatting>
  <conditionalFormatting sqref="J10 H10 L10 N10 P10 R10 T10 V10 X10 Z10 AB10 AD10 AF10 AH10 AJ10 AL10 AN10 AP10 AR10 AT10 AV10 AX10 AZ10 BB10">
    <cfRule type="top10" dxfId="638" priority="87" percent="1" rank="10"/>
  </conditionalFormatting>
  <conditionalFormatting sqref="BB11 AZ11 AX11 AV11 AT11 AR11 AP11 AN11 AL11 AJ11 AH11 AF11 AD11 AB11 Z11 X11 V11 T11 R11 P11 N11 L11 J11 H11">
    <cfRule type="top10" dxfId="637" priority="86" percent="1" rank="10"/>
  </conditionalFormatting>
  <conditionalFormatting sqref="BB12 AZ12 AX12 AV12 AT12 AR12 AP12 AN12 AL12 AJ12 AH12 AF12 AD12 AB12 Z12 X12 V12 T12 R12 P12 N12 L12 J12 H12">
    <cfRule type="top10" dxfId="636" priority="85" percent="1" rank="10"/>
  </conditionalFormatting>
  <conditionalFormatting sqref="H13 J13 L13 N13 P13 R13 T13 V13 X13 Z13 AB13 AD13 AF13 AH13 AJ13 AL13 AN13 AP13 AR13 AT13 AV13 AX13 AZ13 BB13">
    <cfRule type="top10" dxfId="635" priority="84" percent="1" rank="10"/>
  </conditionalFormatting>
  <conditionalFormatting sqref="BB14 AZ14 AX14 AV14 AT14 AR14 AP14 AL14 AN14 AJ14 AH14 AF14 AD14 AB14 Z14 X14 V14 T14 R14 P14 N14 L14 J14 H14">
    <cfRule type="top10" dxfId="634" priority="83" percent="1" rank="10"/>
  </conditionalFormatting>
  <conditionalFormatting sqref="H15 J15 L15 N15 P15 R15 T15 V15 X15 Z15 AB15 AD15 AF15 AH15 AJ15 AL15 AN15 AP15 AR15 AT15 AV15 AX15 AZ15 BB15">
    <cfRule type="top10" dxfId="633" priority="82" percent="1" rank="10"/>
  </conditionalFormatting>
  <conditionalFormatting sqref="BB16 AZ16 AX16 AV16 AT16 AR16 AP16 AN16 AL16 AJ16 AH16 AF16 AD16 AB16 Z16 X16 V16 T16 R16 P16 N16 L16 J16 H16">
    <cfRule type="top10" dxfId="632" priority="81" percent="1" rank="10"/>
  </conditionalFormatting>
  <conditionalFormatting sqref="H17 J17 L17 N17 P17 R17 T17 V17 X17 Z17 AB17 AD17 AF17 AH17 AJ17 AL17 AN17 AP17 AR17 AT17 AV17 AX17 AZ17 BB17">
    <cfRule type="top10" dxfId="631" priority="80" percent="1" rank="10"/>
  </conditionalFormatting>
  <conditionalFormatting sqref="H18 J18 L18 N18 P18 R18 T18 V18 X18 Z18 AB18 AD18 AF18 AH18 AJ18 AL18 AN18 AP18 AR18 AT18 AV18 AX18 AZ18 BB18">
    <cfRule type="top10" dxfId="630" priority="79" percent="1" rank="10"/>
  </conditionalFormatting>
  <conditionalFormatting sqref="BB19 AZ19 AX19 AV19 AT19 AR19 AP19 AN19 AL19 AJ19 AH19 AF19 AD19 AB19 Z19 X19 V19 T19 R19 P19 N19 L19 J19 H19">
    <cfRule type="top10" dxfId="629" priority="78" percent="1" rank="10"/>
  </conditionalFormatting>
  <conditionalFormatting sqref="H20 J20 N20 L20 P20 R20 T20 X20 V20 Z20 AB20 AD20 AF20 AH20 AJ20 AL20 AN20 AP20 AR20 AT20 AV20 AX20 AZ20 BB20">
    <cfRule type="top10" dxfId="628" priority="77" percent="1" rank="10"/>
  </conditionalFormatting>
  <conditionalFormatting sqref="BB21 AZ21 AX21 AV21 AT21 AR21 AP21 AN21 AL21 AJ21 AH21 AF21 AD21 AB21 Z21 X21 V21 T21 R21 P21 N21 L21 J21 H21">
    <cfRule type="top10" dxfId="627" priority="76" percent="1" rank="10"/>
  </conditionalFormatting>
  <conditionalFormatting sqref="H22 J22 L22 N22 P22 R22 T22 V22 X22 Z22 AB22 AD22 AF22 AH22 AJ22 AL22 AN22 AP22 AR22 AT22 AV22 AX22 AZ22 BB22">
    <cfRule type="top10" dxfId="626" priority="75" percent="1" rank="10"/>
  </conditionalFormatting>
  <conditionalFormatting sqref="BB23 AZ23 AX23 AV23 AT23 AR23 AP23 AN23 AL23 AJ23 AH23 AF23 AD23 AB23 Z23 X23 V23 T23 R23 P23 N23 L23 J23 H23">
    <cfRule type="top10" dxfId="625" priority="74" percent="1" rank="10"/>
  </conditionalFormatting>
  <conditionalFormatting sqref="H24 J24 L24 N24 P24 R24 T24 V24 X24 Z24 AB24 AD24 AF24 AH24 AJ24 AL24 AN24 AP24 AR24 AT24 AV24 AX24 AZ24 BB24">
    <cfRule type="top10" dxfId="624" priority="73" percent="1" rank="10"/>
  </conditionalFormatting>
  <conditionalFormatting sqref="BB25 AZ25 AX25 AV25 AT25 AR25 AP25 AN25 AL25 AJ25 AH25 AF25 AD25 AB25 Z25 X25 V25 T25 R25 P25 N25 L25 J25 H25">
    <cfRule type="top10" dxfId="623" priority="72" percent="1" rank="10"/>
  </conditionalFormatting>
  <conditionalFormatting sqref="BB26 AZ26 AX26 AV26 AT26 AR26 AP26 AN26 AL26 AJ26 AH26 AF26 AD26 AB26 Z26 X26 V26 T26 R26 P26 N26 L26 J26 H26">
    <cfRule type="top10" dxfId="622" priority="71" percent="1" rank="10"/>
  </conditionalFormatting>
  <conditionalFormatting sqref="H27 J27 L27 N27 P27 R27 T27 V27 X27 Z27 AB27 AD27 AF27 AH27 AJ27 AL27 AN27 AP27 AR27 AT27 AV27 AX27 AZ27 BB27">
    <cfRule type="top10" dxfId="621" priority="70" percent="1" rank="10"/>
  </conditionalFormatting>
  <conditionalFormatting sqref="BB28 AZ28 AX28 AV28 AT28 AR28 AP28 AN28 AL28 AJ28 AH28 AF28 AD28 AB28 Z28 X28 V28 T28 R28 P28 N28 L28 J28 H28">
    <cfRule type="top10" dxfId="620" priority="69" percent="1" rank="10"/>
  </conditionalFormatting>
  <conditionalFormatting sqref="BB29 AZ29 AX29 AV29 AT29 AR29 AP29 AN29 AL29 AJ29 AH29 AF29 AD29 AB29 Z29 X29 V29 T29 R29 P29 N29 L29 J29 H29">
    <cfRule type="top10" dxfId="619" priority="68" percent="1" rank="10"/>
  </conditionalFormatting>
  <conditionalFormatting sqref="H30 J30 L30 N30 P30 R30 T30 V30 X30 Z30 AB30 AD30 AF30 AH30 AJ30 AL30 AN30 AP30 AR30 AT30 AV30 AX30 AZ30 BB30">
    <cfRule type="top10" dxfId="618" priority="67" percent="1" rank="10"/>
  </conditionalFormatting>
  <conditionalFormatting sqref="BB31 AZ31 AX31 AV31 AT31 AR31 AP31 AN31 AL31 AJ31 AH31 AF31 AD31 AB31 Z31 X31 V31 T31 R31 P31 N31 L31 J31 H31">
    <cfRule type="top10" dxfId="617" priority="66" percent="1" rank="10"/>
  </conditionalFormatting>
  <conditionalFormatting sqref="H32 J32 L32 N32 P32 R32 T32 V32 X32 Z32 AB32 AD32 AF32 AH32 AJ32 AL32 AN32 AP32 AR32 AT32 AV32 AX32 AZ32 BB32">
    <cfRule type="top10" dxfId="616" priority="65" percent="1" rank="10"/>
  </conditionalFormatting>
  <conditionalFormatting sqref="BB33 AZ33 AX33 AV33 AT33 AR33 AP33 AN33 AL33 AJ33 AH33 AF33 AD33 AB33 Z33 X33 V33 T33 R33 P33 N33 L33 J33 H33">
    <cfRule type="top10" dxfId="615" priority="64" percent="1" rank="10"/>
  </conditionalFormatting>
  <conditionalFormatting sqref="H34 J34 L34 N34 P34 R34 T34 V34 X34 Z34 AB34 AD34 AF34 AH34 AJ34 AL34 AN34 AP34 AR34 AT34 AV34 AX34 AZ34 BB34">
    <cfRule type="top10" dxfId="614" priority="63" percent="1" rank="10"/>
  </conditionalFormatting>
  <conditionalFormatting sqref="BB35 AZ35 AV35 AX35 AT35 AR35 AP35 AN35 AL35 AJ35 AH35 AF35 AD35 AB35 Z35 X35 V35 T35 R35 P35 N35 L35 J35 H35">
    <cfRule type="top10" dxfId="61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2" priority="61" percent="1" rank="10"/>
  </conditionalFormatting>
  <conditionalFormatting sqref="BD7:BD37">
    <cfRule type="top10" dxfId="611" priority="60" percent="1" rank="10"/>
  </conditionalFormatting>
  <conditionalFormatting sqref="BC8 BA8 AY8 AW8 AU8 AS8 AQ8 AO8 AM8 AK8 AI8 AG8 AE8 AC8 AA8 Y8 W8 U8 S8 Q8 O8 M8 K8 I8">
    <cfRule type="top10" dxfId="610" priority="59" percent="1" rank="10"/>
  </conditionalFormatting>
  <conditionalFormatting sqref="I9 K9 M9 O9 Q9 S9 U9 W9 Y9 AA9 AC9 AE9 AG9 AI9 AK9 AM9 AO9 AQ9 AS9 AU9 AW9 AY9 BA9 BC9">
    <cfRule type="top10" dxfId="609" priority="58" percent="1" rank="10"/>
  </conditionalFormatting>
  <conditionalFormatting sqref="I10 K10 M10 Q10 O10 S10 W10 U10 Y10 AA10 AC10 AE10 AG10 AI10 AK10 AM10 AO10 AQ10 AS10 AU10 AW10 AY10 BA10 BC10">
    <cfRule type="top10" dxfId="608" priority="57" percent="1" rank="10"/>
  </conditionalFormatting>
  <conditionalFormatting sqref="BC11 BA11 AY11 AW11 AU11 AS11 AQ11 AO11 AM11 AK11 AI11 AG11 AE11 AC11 AA11 Y11 W11 U11 S11 Q11 O11 M11 K11 I11">
    <cfRule type="top10" dxfId="607" priority="56" percent="1" rank="10"/>
  </conditionalFormatting>
  <conditionalFormatting sqref="I12 K12 M12 O12 Q12 S12 U12 Y12 W12 AA12 AC12 AE12 AG12 AI12 AK12 AM12 AO12 AQ12 AS12 AU12 AW12 AY12 BA12 BC12">
    <cfRule type="top10" dxfId="606" priority="55" percent="1" rank="10"/>
  </conditionalFormatting>
  <conditionalFormatting sqref="BC13 BA13 AY13 AW13 AU13 AS13 AQ13 AO13 AM13 AK13 AI13 AG13 AE13 AC13 AA13 Y13 W13 U13 S13 Q13 O13 M13 K13 I13">
    <cfRule type="top10" dxfId="605" priority="54" percent="1" rank="10"/>
  </conditionalFormatting>
  <conditionalFormatting sqref="BC14 BA14 AY14 AW14 AU14 AS14 AQ14 AO14 AM14 AK14 AI14 AG14 AE14 AC14 AA14 Y14 W14 U14 S14 Q14 O14 M14 K14 I14">
    <cfRule type="top10" dxfId="604" priority="53" percent="1" rank="10"/>
  </conditionalFormatting>
  <conditionalFormatting sqref="I15 K15 M15 O15 Q15 S15 U15 W15 Y15 AA15 AC15 AE15 AG15 AI15 AK15 AM15 AO15 AQ15 AS15 AU15 AW15 AY15 BA15 BC15">
    <cfRule type="top10" dxfId="603" priority="52" percent="1" rank="10"/>
  </conditionalFormatting>
  <conditionalFormatting sqref="BC16 BA16 AY16 AW16 AU16 AS16 AQ16 AO16 AM16 AK16 AI16 AG16 AE16 AC16 AA16 Y16 W16 U16 S16 Q16 O16 M16 K16 I16">
    <cfRule type="top10" dxfId="602" priority="51" percent="1" rank="10"/>
  </conditionalFormatting>
  <conditionalFormatting sqref="I17 K17 M17 O17 Q17 U17 S17 W17 Y17 AA17 AC17 AE17 AG17 AI17 AK17 AM17 AO17 AQ17 AS17 AU17 AW17 AY17 BA17 BC17">
    <cfRule type="top10" dxfId="601" priority="50" percent="1" rank="10"/>
  </conditionalFormatting>
  <conditionalFormatting sqref="BC18 BA18 AY18 AW18 AU18 AS18 AQ18 AO18 AM18 AK18 AI18 AG18 AE18 AC18 AA18 Y18 W18 U18 S18 Q18 O18 M18 K18 I18">
    <cfRule type="top10" dxfId="600" priority="49" percent="1" rank="10"/>
  </conditionalFormatting>
  <conditionalFormatting sqref="I19 K19 M19 O19 Q19 S19 U19 W19 Y19 AA19 AC19 AE19 AG19 AI19 AK19 AM19 AO19 AQ19 AS19 AU19 AW19 AY19 BA19 BC19">
    <cfRule type="top10" dxfId="599" priority="48" percent="1" rank="10"/>
  </conditionalFormatting>
  <conditionalFormatting sqref="BC20 BA20 AY20 AW20 AU20 AS20 AQ20 AO20 AM20 AK20 AI20 AG20 AE20 AC20 AA20 W20 Y20 U20 S20 Q20 O20 M20 K20 I20">
    <cfRule type="top10" dxfId="598" priority="47" percent="1" rank="10"/>
  </conditionalFormatting>
  <conditionalFormatting sqref="I21 K21 M21 O21 Q21 S21 U21 W21 Y21 AA21 AC21 AE21 AG21 AI21 AK21 AM21 AO21 AQ21 AS21 AU21 AW21 AY21 BA21 BC21">
    <cfRule type="top10" dxfId="597" priority="46" percent="1" rank="10"/>
  </conditionalFormatting>
  <conditionalFormatting sqref="BC22 BA22 AY22 AW22 AU22 AS22 AQ22 AO22 AM22 AK22 AI22 AG22 AE22 AC22 AA22 Y22 W22 U22 S22 Q22 O22 M22 K22 I22">
    <cfRule type="top10" dxfId="596" priority="45" percent="1" rank="10"/>
  </conditionalFormatting>
  <conditionalFormatting sqref="I23 K23 O23 M23 Q23 S23 U23 W23 Y23 AA23 AC23 AE23 AG23 AI23 AK23 AM23 AO23 AQ23 AS23 AU23 AW23 AY23 BA23 BC23">
    <cfRule type="top10" dxfId="595" priority="44" percent="1" rank="10"/>
  </conditionalFormatting>
  <conditionalFormatting sqref="BC24 BA24 AY24 AW24 AU24 AS24 AQ24 AO24 AM24 AK24 AI24 AG24 AE24 AC24 AA24 Y24 W24 U24 S24 Q24 O24 M24 K24 I24">
    <cfRule type="top10" dxfId="594" priority="43" percent="1" rank="10"/>
  </conditionalFormatting>
  <conditionalFormatting sqref="I25 K25 M25 O25 Q25 S25 U25 W25 Y25 AA25 AC25 AE25 AG25 AI25 AK25 AM25 AO25 AQ25 AS25 AU25 AW25 AY25 BA25 BC25">
    <cfRule type="top10" dxfId="593" priority="42" percent="1" rank="10"/>
  </conditionalFormatting>
  <conditionalFormatting sqref="BC26 BA26 AY26 AW26 AU26 AS26 AQ26 AO26 AM26 AK26 AI26 AG26 AE26 AC26 AA26 Y26 W26 U26 S26 Q26 O26 M26 K26 I26">
    <cfRule type="top10" dxfId="592" priority="41" percent="1" rank="10"/>
  </conditionalFormatting>
  <conditionalFormatting sqref="I27 K27 M27 O27 Q27 S27 U27 W27 Y27 AA27 AC27 AE27 AG27 AI27 AK27 AM27 AO27 AQ27 AS27 AU27 AW27 AY27 BA27 BC27">
    <cfRule type="top10" dxfId="591" priority="40" percent="1" rank="10"/>
  </conditionalFormatting>
  <conditionalFormatting sqref="BC28 BA28 AY28 AW28 AU28 AS28 AQ28 AO28 AM28 AK28 AI28 AG28 AE28 AC28 AA28 Y28 W28 U28 S28 Q28 O28 M28 K28 I28">
    <cfRule type="top10" dxfId="590" priority="39" percent="1" rank="10"/>
  </conditionalFormatting>
  <conditionalFormatting sqref="I29 K29 M29 Q29 O29 S29 U29 Y29 W29 AA29 AC29 AE29 AG29 AI29 AK29 AM29 AO29 AQ29 AS29 AU29 AW29 AY29 BA29 BC29">
    <cfRule type="top10" dxfId="589" priority="38" percent="1" rank="10"/>
  </conditionalFormatting>
  <conditionalFormatting sqref="BC30 BA30 AY30 AW30 AU30 AS30 AQ30 AO30 AM30 AK30 AI30 AE30 AG30 AC30 AA30 Y30 W30 U30 S30 Q30 O30 M30 K30 I30">
    <cfRule type="top10" dxfId="588" priority="37" percent="1" rank="10"/>
  </conditionalFormatting>
  <conditionalFormatting sqref="I31 K31 M31 O31 Q31 S31 W31 U31 Y31 AC31 AA31 AE31 AG31 AI31 AK31 AM31 AO31 AQ31 AS31 AU31 AW31 AY31 BA31 BC31">
    <cfRule type="top10" dxfId="587" priority="36" percent="1" rank="10"/>
  </conditionalFormatting>
  <conditionalFormatting sqref="BC32 BA32 AY32 AW32 AU32 AS32 AQ32 AO32 AM32 AK32 AI32 AG32 AE32 AC32 AA32 Y32 W32 U32 S32 Q32 O32 M32 K32 I32">
    <cfRule type="top10" dxfId="586" priority="35" percent="1" rank="10"/>
  </conditionalFormatting>
  <conditionalFormatting sqref="I33 K33 M33 O33 Q33 S33 U33 W33 Y33 AA33 AC33 AE33 AG33 AI33 AK33 AM33 AQ33 AO33 AS33 AU33 AW33 AY33 BA33 BC33">
    <cfRule type="top10" dxfId="585" priority="34" percent="1" rank="10"/>
  </conditionalFormatting>
  <conditionalFormatting sqref="BC34 BA34 AY34 AW34 AU34 AS34 AQ34 AO34 AM34 AK34 AI34 AG34 AE34 AC34 AA34 Y34 W34 U34 S34 Q34 O34 M34 K34 I34">
    <cfRule type="top10" dxfId="584" priority="33" percent="1" rank="10"/>
  </conditionalFormatting>
  <conditionalFormatting sqref="I35 K35 M35 O35 Q35 S35 U35 W35 Y35 AA35 AC35 AE35 AG35 AI35 AK35 AM35 AO35 AQ35 AS35 AU35 AW35 AY35 BA35 BC35">
    <cfRule type="top10" dxfId="58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582" priority="31" percent="1" rank="10"/>
  </conditionalFormatting>
  <conditionalFormatting sqref="FZ8:GW8">
    <cfRule type="top10" dxfId="581" priority="30" percent="1" rank="10"/>
  </conditionalFormatting>
  <conditionalFormatting sqref="FZ9:GW9">
    <cfRule type="top10" dxfId="580" priority="29" percent="1" rank="10"/>
  </conditionalFormatting>
  <conditionalFormatting sqref="FZ10:GW10">
    <cfRule type="top10" dxfId="579" priority="28" percent="1" rank="10"/>
  </conditionalFormatting>
  <conditionalFormatting sqref="FZ11:GW11">
    <cfRule type="top10" dxfId="578" priority="27" percent="1" rank="10"/>
  </conditionalFormatting>
  <conditionalFormatting sqref="FZ12:GW12">
    <cfRule type="top10" dxfId="577" priority="26" percent="1" rank="10"/>
  </conditionalFormatting>
  <conditionalFormatting sqref="FZ13:GW13">
    <cfRule type="top10" dxfId="576" priority="25" percent="1" rank="10"/>
  </conditionalFormatting>
  <conditionalFormatting sqref="GX7:GX37">
    <cfRule type="top10" dxfId="575" priority="24" percent="1" rank="10"/>
  </conditionalFormatting>
  <conditionalFormatting sqref="FZ14:GW14">
    <cfRule type="top10" dxfId="574" priority="23" percent="1" rank="10"/>
  </conditionalFormatting>
  <conditionalFormatting sqref="FZ15:GW15">
    <cfRule type="top10" dxfId="573" priority="22" percent="1" rank="10"/>
  </conditionalFormatting>
  <conditionalFormatting sqref="FZ16:GW16">
    <cfRule type="top10" dxfId="572" priority="21" percent="1" rank="10"/>
  </conditionalFormatting>
  <conditionalFormatting sqref="FZ17:GW17">
    <cfRule type="top10" dxfId="571" priority="20" percent="1" rank="10"/>
  </conditionalFormatting>
  <conditionalFormatting sqref="FZ18:GW18">
    <cfRule type="top10" dxfId="570" priority="19" percent="1" rank="10"/>
  </conditionalFormatting>
  <conditionalFormatting sqref="FZ19:GW19">
    <cfRule type="top10" dxfId="569" priority="18" percent="1" rank="10"/>
  </conditionalFormatting>
  <conditionalFormatting sqref="FZ20:GW20">
    <cfRule type="top10" dxfId="568" priority="17" percent="1" rank="10"/>
  </conditionalFormatting>
  <conditionalFormatting sqref="FZ21:GW21">
    <cfRule type="top10" dxfId="567" priority="16" percent="1" rank="10"/>
  </conditionalFormatting>
  <conditionalFormatting sqref="FZ22:GW22">
    <cfRule type="top10" dxfId="566" priority="15" percent="1" rank="10"/>
  </conditionalFormatting>
  <conditionalFormatting sqref="FZ23:GW23">
    <cfRule type="top10" dxfId="565" priority="14" percent="1" rank="10"/>
  </conditionalFormatting>
  <conditionalFormatting sqref="FZ24:GW24">
    <cfRule type="top10" dxfId="564" priority="13" percent="1" rank="10"/>
  </conditionalFormatting>
  <conditionalFormatting sqref="FZ25:GW25">
    <cfRule type="top10" dxfId="563" priority="12" percent="1" rank="10"/>
  </conditionalFormatting>
  <conditionalFormatting sqref="FZ26:GW26">
    <cfRule type="top10" dxfId="562" priority="11" percent="1" rank="10"/>
  </conditionalFormatting>
  <conditionalFormatting sqref="FZ27:GW27">
    <cfRule type="top10" dxfId="561" priority="10" percent="1" rank="10"/>
  </conditionalFormatting>
  <conditionalFormatting sqref="FZ28:GW28">
    <cfRule type="top10" dxfId="560" priority="9" percent="1" rank="10"/>
  </conditionalFormatting>
  <conditionalFormatting sqref="FZ29:GW29">
    <cfRule type="top10" dxfId="559" priority="8" percent="1" rank="10"/>
  </conditionalFormatting>
  <conditionalFormatting sqref="FZ30:GW30">
    <cfRule type="top10" dxfId="558" priority="7" percent="1" rank="10"/>
  </conditionalFormatting>
  <conditionalFormatting sqref="FZ31:GW31">
    <cfRule type="top10" dxfId="557" priority="6" percent="1" rank="10"/>
  </conditionalFormatting>
  <conditionalFormatting sqref="FZ32:GW32">
    <cfRule type="top10" dxfId="556" priority="5" percent="1" rank="10"/>
  </conditionalFormatting>
  <conditionalFormatting sqref="FZ33:GW33">
    <cfRule type="top10" dxfId="555" priority="4" percent="1" rank="10"/>
  </conditionalFormatting>
  <conditionalFormatting sqref="FZ34:GW34">
    <cfRule type="top10" dxfId="554" priority="3" percent="1" rank="10"/>
  </conditionalFormatting>
  <conditionalFormatting sqref="FZ35:GW35">
    <cfRule type="top10" dxfId="553" priority="2" percent="1" rank="10"/>
  </conditionalFormatting>
  <conditionalFormatting sqref="FZ36:GW37">
    <cfRule type="top10" dxfId="552" priority="1" percent="1" rank="10"/>
  </conditionalFormatting>
  <dataValidations count="1">
    <dataValidation type="list" allowBlank="1" showInputMessage="1" showErrorMessage="1" sqref="A1" xr:uid="{F81CB7C5-D1EF-446B-8089-BFFAD6ED2566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4123B-F7C2-405C-B9B7-D6A0B90D4CFD}">
  <sheetPr codeName="Sheet10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132</v>
      </c>
      <c r="C7" s="6" t="str">
        <f>TEXT(VLOOKUP(LEFT(B7,FIND("月",B7)),基本シート!$E$6:$F$17,2,FALSE)&amp;B7,"aaaa")</f>
        <v>金曜日</v>
      </c>
      <c r="D7" s="6"/>
      <c r="E7" s="6" t="str">
        <f>IF(OR(C7="土曜日",C7="日曜日",D7="〇"),"〇","")</f>
        <v/>
      </c>
      <c r="F7" s="6" t="s">
        <v>299</v>
      </c>
      <c r="G7" s="6" t="s">
        <v>299</v>
      </c>
      <c r="H7" s="3">
        <v>0.23</v>
      </c>
      <c r="I7" s="3">
        <f>IF($E7="〇",H7*基本シート!$E$2,H7*VLOOKUP(LEFT(I$6,FIND("(",I$6)-1),基本シート!$B$6:$C$29,2,FALSE))</f>
        <v>6.8677999999999999</v>
      </c>
      <c r="J7" s="3">
        <v>0.24</v>
      </c>
      <c r="K7" s="3">
        <f>IF($E7="〇",J7*基本シート!$E$2,J7*VLOOKUP(LEFT(K$6,FIND("(",K$6)-1),基本シート!$B$6:$C$29,2,FALSE))</f>
        <v>7.1663999999999994</v>
      </c>
      <c r="L7" s="3">
        <v>0.23</v>
      </c>
      <c r="M7" s="3">
        <f>IF($E7="〇",L7*基本シート!$E$2,L7*VLOOKUP(LEFT(M$6,FIND("(",M$6)-1),基本シート!$B$6:$C$29,2,FALSE))</f>
        <v>6.8677999999999999</v>
      </c>
      <c r="N7" s="3">
        <v>0.24</v>
      </c>
      <c r="O7" s="3">
        <f>IF($E7="〇",N7*基本シート!$E$2,N7*VLOOKUP(LEFT(O$6,FIND("(",O$6)-1),基本シート!$B$6:$C$29,2,FALSE))</f>
        <v>7.1663999999999994</v>
      </c>
      <c r="P7" s="3">
        <v>0.38</v>
      </c>
      <c r="Q7" s="3">
        <f>IF($E7="〇",P7*基本シート!$E$2,P7*VLOOKUP(LEFT(Q$6,FIND("(",Q$6)-1),基本シート!$B$6:$C$29,2,FALSE))</f>
        <v>11.3468</v>
      </c>
      <c r="R7" s="3">
        <v>0.31</v>
      </c>
      <c r="S7" s="3">
        <f>IF($E7="〇",R7*基本シート!$E$2,R7*VLOOKUP(LEFT(S$6,FIND("(",S$6)-1),基本シート!$B$6:$C$29,2,FALSE))</f>
        <v>9.2566000000000006</v>
      </c>
      <c r="T7" s="3">
        <v>0.86</v>
      </c>
      <c r="U7" s="3">
        <f>IF($E7="〇",T7*基本シート!$E$2,T7*VLOOKUP(LEFT(U$6,FIND("(",U$6)-1),基本シート!$B$6:$C$29,2,FALSE))</f>
        <v>25.679600000000001</v>
      </c>
      <c r="V7" s="3">
        <v>0.1</v>
      </c>
      <c r="W7" s="3">
        <f>IF($E7="〇",V7*基本シート!$E$2,V7*VLOOKUP(LEFT(W$6,FIND("(",W$6)-1),基本シート!$B$6:$C$29,2,FALSE))</f>
        <v>3.6859999999999999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2.6099999999999994</v>
      </c>
      <c r="BE7" s="3">
        <f t="shared" ref="BE7:BE36" si="8">ROUND(SUM(I7,K7,M7,O7,Q7,S7,U7,W7,Y7,AA7,AC7,AE7,AG7,AI7,AK7,AM7,AO7,AQ7,AS7,AU7,AW7,AY7,BA7,BC7),0)</f>
        <v>79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0.19</v>
      </c>
      <c r="BM7" s="3">
        <v>1.92</v>
      </c>
      <c r="BN7" s="3">
        <v>4.45</v>
      </c>
      <c r="BO7" s="3">
        <v>5.08</v>
      </c>
      <c r="BP7" s="3">
        <v>4.29</v>
      </c>
      <c r="BQ7" s="3">
        <v>4.1100000000000003</v>
      </c>
      <c r="BR7" s="3">
        <v>4.55</v>
      </c>
      <c r="BS7" s="3">
        <v>2.91</v>
      </c>
      <c r="BT7" s="3">
        <v>1.22</v>
      </c>
      <c r="BU7" s="3">
        <v>0.55000000000000004</v>
      </c>
      <c r="BV7" s="3">
        <v>0.03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0.01</v>
      </c>
      <c r="CU7" s="3">
        <f>CT7*基本シート!$C$3</f>
        <v>0.16</v>
      </c>
      <c r="CV7" s="3">
        <v>3.73</v>
      </c>
      <c r="CW7" s="3">
        <f>CV7*基本シート!$C$3</f>
        <v>59.68</v>
      </c>
      <c r="CX7" s="3">
        <v>4.0999999999999996</v>
      </c>
      <c r="CY7" s="3">
        <f>CX7*基本シート!$C$3</f>
        <v>65.599999999999994</v>
      </c>
      <c r="CZ7" s="3">
        <v>3.91</v>
      </c>
      <c r="DA7" s="3">
        <f>CZ7*基本シート!$C$3</f>
        <v>62.56</v>
      </c>
      <c r="DB7" s="3">
        <v>4.38</v>
      </c>
      <c r="DC7" s="3">
        <f>DB7*基本シート!$C$3</f>
        <v>70.08</v>
      </c>
      <c r="DD7" s="3">
        <v>2.27</v>
      </c>
      <c r="DE7" s="3">
        <f>DD7*基本シート!$C$3</f>
        <v>36.32</v>
      </c>
      <c r="DF7" s="3">
        <v>1.03</v>
      </c>
      <c r="DG7" s="3">
        <f>DF7*基本シート!$C$3</f>
        <v>16.48</v>
      </c>
      <c r="DH7" s="3">
        <v>0.35</v>
      </c>
      <c r="DI7" s="3">
        <f>DH7*基本シート!$C$3</f>
        <v>5.6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19.830000000000009</v>
      </c>
      <c r="EA7" s="3">
        <f>ROUND(DZ7*基本シート!$C$3,0)</f>
        <v>317</v>
      </c>
      <c r="EB7" s="3">
        <v>0.03</v>
      </c>
      <c r="EC7" s="3">
        <v>0.03</v>
      </c>
      <c r="ED7" s="3">
        <v>0.03</v>
      </c>
      <c r="EE7" s="3">
        <v>0.03</v>
      </c>
      <c r="EF7" s="3">
        <v>0.03</v>
      </c>
      <c r="EG7" s="3">
        <v>0.04</v>
      </c>
      <c r="EH7" s="3">
        <v>0.01</v>
      </c>
      <c r="EI7" s="3">
        <v>1.57</v>
      </c>
      <c r="EJ7" s="3">
        <v>4.21</v>
      </c>
      <c r="EK7" s="3">
        <v>1.1299999999999999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0.95</v>
      </c>
      <c r="FR7" s="3">
        <v>2.3199999999999998</v>
      </c>
      <c r="FS7" s="3">
        <v>0.38</v>
      </c>
      <c r="FT7" s="3">
        <v>0.27</v>
      </c>
      <c r="FU7" s="3">
        <v>0.4</v>
      </c>
      <c r="FV7" s="3">
        <v>0.53</v>
      </c>
      <c r="FW7" s="3">
        <v>0.24</v>
      </c>
      <c r="FX7" s="3">
        <v>0.24</v>
      </c>
      <c r="FY7" s="3">
        <f>SUM(FA7:FX7)</f>
        <v>5.3400000000000007</v>
      </c>
      <c r="FZ7" s="3">
        <v>0.2</v>
      </c>
      <c r="GA7" s="3">
        <v>0.21</v>
      </c>
      <c r="GB7" s="3">
        <v>0.2</v>
      </c>
      <c r="GC7" s="3">
        <v>0.21</v>
      </c>
      <c r="GD7" s="3">
        <v>0.35</v>
      </c>
      <c r="GE7" s="3">
        <v>0.27</v>
      </c>
      <c r="GF7" s="3">
        <v>1.04</v>
      </c>
      <c r="GG7" s="3">
        <v>0.44</v>
      </c>
      <c r="GH7" s="3">
        <v>0.23</v>
      </c>
      <c r="GI7" s="3">
        <v>0.22</v>
      </c>
      <c r="GJ7" s="3">
        <v>0.19</v>
      </c>
      <c r="GK7" s="3">
        <v>0.2</v>
      </c>
      <c r="GL7" s="3">
        <v>0.18</v>
      </c>
      <c r="GM7" s="3">
        <v>0.63</v>
      </c>
      <c r="GN7" s="3">
        <v>0.19</v>
      </c>
      <c r="GO7" s="3">
        <v>0.2</v>
      </c>
      <c r="GP7" s="3">
        <v>0.98</v>
      </c>
      <c r="GQ7" s="3">
        <v>2.33</v>
      </c>
      <c r="GR7" s="3">
        <v>0.37</v>
      </c>
      <c r="GS7" s="3">
        <v>0.27</v>
      </c>
      <c r="GT7" s="3">
        <v>0.39</v>
      </c>
      <c r="GU7" s="3">
        <v>0.53</v>
      </c>
      <c r="GV7" s="3">
        <v>0.24</v>
      </c>
      <c r="GW7" s="3">
        <v>0.23</v>
      </c>
      <c r="GX7" s="3">
        <f>SUM(FZ7:GW7)</f>
        <v>10.3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133</v>
      </c>
      <c r="C8" s="6" t="str">
        <f>TEXT(VLOOKUP(LEFT(B8,FIND("月",B8)),基本シート!$E$6:$F$17,2,FALSE)&amp;B8,"aaaa")</f>
        <v>土曜日</v>
      </c>
      <c r="D8" s="6"/>
      <c r="E8" s="6" t="str">
        <f t="shared" ref="E8:E38" si="9">IF(OR(C8="土曜日",C8="日曜日",D8="〇"),"〇","")</f>
        <v>〇</v>
      </c>
      <c r="F8" s="6" t="s">
        <v>300</v>
      </c>
      <c r="G8" s="6" t="s">
        <v>301</v>
      </c>
      <c r="H8" s="3">
        <v>0.2</v>
      </c>
      <c r="I8" s="3">
        <f>IF($E8="〇",H8*基本シート!$E$2,H8*VLOOKUP(LEFT(I$6,FIND("(",I$6)-1),基本シート!$B$6:$C$29,2,FALSE))</f>
        <v>5.9720000000000004</v>
      </c>
      <c r="J8" s="3">
        <v>0.26</v>
      </c>
      <c r="K8" s="3">
        <f>IF($E8="〇",J8*基本シート!$E$2,J8*VLOOKUP(LEFT(K$6,FIND("(",K$6)-1),基本シート!$B$6:$C$29,2,FALSE))</f>
        <v>7.7636000000000003</v>
      </c>
      <c r="L8" s="3">
        <v>0.23</v>
      </c>
      <c r="M8" s="3">
        <f>IF($E8="〇",L8*基本シート!$E$2,L8*VLOOKUP(LEFT(M$6,FIND("(",M$6)-1),基本シート!$B$6:$C$29,2,FALSE))</f>
        <v>6.8677999999999999</v>
      </c>
      <c r="N8" s="3">
        <v>0.24</v>
      </c>
      <c r="O8" s="3">
        <f>IF($E8="〇",N8*基本シート!$E$2,N8*VLOOKUP(LEFT(O$6,FIND("(",O$6)-1),基本シート!$B$6:$C$29,2,FALSE))</f>
        <v>7.1663999999999994</v>
      </c>
      <c r="P8" s="3">
        <v>0.22</v>
      </c>
      <c r="Q8" s="3">
        <f>IF($E8="〇",P8*基本シート!$E$2,P8*VLOOKUP(LEFT(Q$6,FIND("(",Q$6)-1),基本シート!$B$6:$C$29,2,FALSE))</f>
        <v>6.5691999999999995</v>
      </c>
      <c r="R8" s="3">
        <v>0.23</v>
      </c>
      <c r="S8" s="3">
        <f>IF($E8="〇",R8*基本シート!$E$2,R8*VLOOKUP(LEFT(S$6,FIND("(",S$6)-1),基本シート!$B$6:$C$29,2,FALSE))</f>
        <v>6.8677999999999999</v>
      </c>
      <c r="T8" s="3">
        <v>0.21</v>
      </c>
      <c r="U8" s="3">
        <f>IF($E8="〇",T8*基本シート!$E$2,T8*VLOOKUP(LEFT(U$6,FIND("(",U$6)-1),基本シート!$B$6:$C$29,2,FALSE))</f>
        <v>6.2706</v>
      </c>
      <c r="V8" s="3">
        <v>0.86</v>
      </c>
      <c r="W8" s="3">
        <f>IF($E8="〇",V8*基本シート!$E$2,V8*VLOOKUP(LEFT(W$6,FIND("(",W$6)-1),基本シート!$B$6:$C$29,2,FALSE))</f>
        <v>25.679600000000001</v>
      </c>
      <c r="X8" s="3">
        <v>0.2</v>
      </c>
      <c r="Y8" s="3">
        <f>IF($E8="〇",X8*基本シート!$E$2,X8*VLOOKUP(LEFT(Y$6,FIND("(",Y$6)-1),基本シート!$B$6:$C$29,2,FALSE))</f>
        <v>5.9720000000000004</v>
      </c>
      <c r="Z8" s="3">
        <v>7.0000000000000007E-2</v>
      </c>
      <c r="AA8" s="3">
        <f>IF($E8="〇",Z8*基本シート!$E$2,Z8*VLOOKUP(LEFT(AA$6,FIND("(",AA$6)-1),基本シート!$B$6:$C$29,2,FALSE))</f>
        <v>2.0902000000000003</v>
      </c>
      <c r="AB8" s="3">
        <v>0.01</v>
      </c>
      <c r="AC8" s="3">
        <f>IF($E8="〇",AB8*基本シート!$E$2,AB8*VLOOKUP(LEFT(AC$6,FIND("(",AC$6)-1),基本シート!$B$6:$C$29,2,FALSE))</f>
        <v>0.29859999999999998</v>
      </c>
      <c r="AD8" s="3">
        <v>0.01</v>
      </c>
      <c r="AE8" s="3">
        <f>IF($E8="〇",AD8*基本シート!$E$2,AD8*VLOOKUP(LEFT(AE$6,FIND("(",AE$6)-1),基本シート!$B$6:$C$29,2,FALSE))</f>
        <v>0.29859999999999998</v>
      </c>
      <c r="AF8" s="3">
        <v>0.01</v>
      </c>
      <c r="AG8" s="3">
        <f>IF($E8="〇",AF8*基本シート!$E$2,AF8*VLOOKUP(LEFT(AG$6,FIND("(",AG$6)-1),基本シート!$B$6:$C$29,2,FALSE))</f>
        <v>0.29859999999999998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0.29859999999999998</v>
      </c>
      <c r="AP8" s="3">
        <v>0.44</v>
      </c>
      <c r="AQ8" s="3">
        <f>IF($E8="〇",AP8*基本シート!$E$2,AP8*VLOOKUP(LEFT(AQ$6,FIND("(",AQ$6)-1),基本シート!$B$6:$C$29,2,FALSE))</f>
        <v>13.138399999999999</v>
      </c>
      <c r="AR8" s="3">
        <v>0.78</v>
      </c>
      <c r="AS8" s="3">
        <f>IF($E8="〇",AR8*基本シート!$E$2,AR8*VLOOKUP(LEFT(AS$6,FIND("(",AS$6)-1),基本シート!$B$6:$C$29,2,FALSE))</f>
        <v>23.290800000000001</v>
      </c>
      <c r="AT8" s="3">
        <v>0.3</v>
      </c>
      <c r="AU8" s="3">
        <f>IF($E8="〇",AT8*基本シート!$E$2,AT8*VLOOKUP(LEFT(AU$6,FIND("(",AU$6)-1),基本シート!$B$6:$C$29,2,FALSE))</f>
        <v>8.9580000000000002</v>
      </c>
      <c r="AV8" s="3">
        <v>0.65</v>
      </c>
      <c r="AW8" s="3">
        <f>IF($E8="〇",AV8*基本シート!$E$2,AV8*VLOOKUP(LEFT(AW$6,FIND("(",AW$6)-1),基本シート!$B$6:$C$29,2,FALSE))</f>
        <v>19.408999999999999</v>
      </c>
      <c r="AX8" s="3">
        <v>0.28999999999999998</v>
      </c>
      <c r="AY8" s="3">
        <f>IF($E8="〇",AX8*基本シート!$E$2,AX8*VLOOKUP(LEFT(AY$6,FIND("(",AY$6)-1),基本シート!$B$6:$C$29,2,FALSE))</f>
        <v>8.6593999999999998</v>
      </c>
      <c r="AZ8" s="3">
        <v>0.36</v>
      </c>
      <c r="BA8" s="3">
        <f>IF($E8="〇",AZ8*基本シート!$E$2,AZ8*VLOOKUP(LEFT(BA$6,FIND("(",BA$6)-1),基本シート!$B$6:$C$29,2,FALSE))</f>
        <v>10.749599999999999</v>
      </c>
      <c r="BB8" s="3">
        <v>0.31</v>
      </c>
      <c r="BC8" s="3">
        <f>IF($E8="〇",BB8*基本シート!$E$2,BB8*VLOOKUP(LEFT(BC$6,FIND("(",BC$6)-1),基本シート!$B$6:$C$29,2,FALSE))</f>
        <v>9.2566000000000006</v>
      </c>
      <c r="BD8" s="3">
        <f t="shared" si="7"/>
        <v>5.89</v>
      </c>
      <c r="BE8" s="3">
        <f>ROUND(SUM(I8,K8,M8,O8,Q8,S8,U8,W8,Y8,AA8,AC8,AE8,AG8,AI8,AK8,AM8,AO8,AQ8,AS8,AU8,AW8,AY8,BA8,BC8),0)</f>
        <v>176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0.01</v>
      </c>
      <c r="BM8" s="3">
        <v>0.11</v>
      </c>
      <c r="BN8" s="3">
        <v>0.28000000000000003</v>
      </c>
      <c r="BO8" s="3">
        <v>0.56000000000000005</v>
      </c>
      <c r="BP8" s="3">
        <v>1.4</v>
      </c>
      <c r="BQ8" s="3">
        <v>1.73</v>
      </c>
      <c r="BR8" s="3">
        <v>1.54</v>
      </c>
      <c r="BS8" s="3">
        <v>1.17</v>
      </c>
      <c r="BT8" s="3">
        <v>0.39</v>
      </c>
      <c r="BU8" s="3">
        <v>0.08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0.01</v>
      </c>
      <c r="CW8" s="3">
        <f>CV8*基本シート!$C$3</f>
        <v>0.16</v>
      </c>
      <c r="CX8" s="3">
        <v>0.01</v>
      </c>
      <c r="CY8" s="3">
        <f>CX8*基本シート!$C$3</f>
        <v>0.16</v>
      </c>
      <c r="CZ8" s="3">
        <v>0.01</v>
      </c>
      <c r="DA8" s="3">
        <f>CZ8*基本シート!$C$3</f>
        <v>0.16</v>
      </c>
      <c r="DB8" s="3">
        <v>0.01</v>
      </c>
      <c r="DC8" s="3">
        <f>DB8*基本シート!$C$3</f>
        <v>0.16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0.01</v>
      </c>
      <c r="DI8" s="3">
        <f>DH8*基本シート!$C$3</f>
        <v>0.16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7.0000000000000007E-2</v>
      </c>
      <c r="EA8" s="3">
        <f>ROUND(DZ8*基本シート!$C$3,0)</f>
        <v>1</v>
      </c>
      <c r="EB8" s="3">
        <v>0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0.01</v>
      </c>
      <c r="EI8" s="3">
        <v>0</v>
      </c>
      <c r="EJ8" s="3">
        <v>0.03</v>
      </c>
      <c r="EK8" s="3">
        <v>0.12</v>
      </c>
      <c r="EL8" s="3">
        <v>0.66</v>
      </c>
      <c r="EM8" s="3">
        <v>1.4</v>
      </c>
      <c r="EN8" s="3">
        <v>1.06</v>
      </c>
      <c r="EO8" s="3">
        <v>0.94</v>
      </c>
      <c r="EP8" s="3">
        <v>0.16</v>
      </c>
      <c r="EQ8" s="3">
        <v>0</v>
      </c>
      <c r="ER8" s="3">
        <v>0</v>
      </c>
      <c r="ES8" s="3">
        <v>0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1">SUM(EB8:EY8)</f>
        <v>4.7700000000000005</v>
      </c>
      <c r="FA8" s="3">
        <v>0.06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0.63</v>
      </c>
      <c r="FQ8" s="3">
        <v>0.83</v>
      </c>
      <c r="FR8" s="3">
        <v>1.84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3.3600000000000003</v>
      </c>
      <c r="FZ8" s="3">
        <v>0.26</v>
      </c>
      <c r="GA8" s="3">
        <v>0.23</v>
      </c>
      <c r="GB8" s="3">
        <v>0.2</v>
      </c>
      <c r="GC8" s="3">
        <v>0.21</v>
      </c>
      <c r="GD8" s="3">
        <v>0.19</v>
      </c>
      <c r="GE8" s="3">
        <v>0.2</v>
      </c>
      <c r="GF8" s="3">
        <v>0.21</v>
      </c>
      <c r="GG8" s="3">
        <v>0.97</v>
      </c>
      <c r="GH8" s="3">
        <v>0.45</v>
      </c>
      <c r="GI8" s="3">
        <v>0.5</v>
      </c>
      <c r="GJ8" s="3">
        <v>0.74</v>
      </c>
      <c r="GK8" s="3">
        <v>0.33</v>
      </c>
      <c r="GL8" s="3">
        <v>0.48</v>
      </c>
      <c r="GM8" s="3">
        <v>0.23</v>
      </c>
      <c r="GN8" s="3">
        <v>0.23</v>
      </c>
      <c r="GO8" s="3">
        <v>0.7</v>
      </c>
      <c r="GP8" s="3">
        <v>0.83</v>
      </c>
      <c r="GQ8" s="3">
        <v>2.27</v>
      </c>
      <c r="GR8" s="3">
        <v>0.74</v>
      </c>
      <c r="GS8" s="3">
        <v>0.26</v>
      </c>
      <c r="GT8" s="3">
        <v>0.61</v>
      </c>
      <c r="GU8" s="3">
        <v>0.25</v>
      </c>
      <c r="GV8" s="3">
        <v>0.32</v>
      </c>
      <c r="GW8" s="3">
        <v>0.27</v>
      </c>
      <c r="GX8" s="3">
        <f t="shared" ref="GX8:GX36" si="13">SUM(FZ8:GW8)</f>
        <v>11.680000000000001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134</v>
      </c>
      <c r="C9" s="6" t="str">
        <f>TEXT(VLOOKUP(LEFT(B9,FIND("月",B9)),基本シート!$E$6:$F$17,2,FALSE)&amp;B9,"aaaa")</f>
        <v>日曜日</v>
      </c>
      <c r="D9" s="6"/>
      <c r="E9" s="6" t="str">
        <f t="shared" si="9"/>
        <v>〇</v>
      </c>
      <c r="F9" s="6" t="s">
        <v>301</v>
      </c>
      <c r="G9" s="6" t="s">
        <v>301</v>
      </c>
      <c r="H9" s="3">
        <v>0.28000000000000003</v>
      </c>
      <c r="I9" s="3">
        <f>IF($E9="〇",H9*基本シート!$E$2,H9*VLOOKUP(LEFT(I$6,FIND("(",I$6)-1),基本シート!$B$6:$C$29,2,FALSE))</f>
        <v>8.3608000000000011</v>
      </c>
      <c r="J9" s="3">
        <v>0.26</v>
      </c>
      <c r="K9" s="3">
        <f>IF($E9="〇",J9*基本シート!$E$2,J9*VLOOKUP(LEFT(K$6,FIND("(",K$6)-1),基本シート!$B$6:$C$29,2,FALSE))</f>
        <v>7.7636000000000003</v>
      </c>
      <c r="L9" s="3">
        <v>0.31</v>
      </c>
      <c r="M9" s="3">
        <f>IF($E9="〇",L9*基本シート!$E$2,L9*VLOOKUP(LEFT(M$6,FIND("(",M$6)-1),基本シート!$B$6:$C$29,2,FALSE))</f>
        <v>9.2566000000000006</v>
      </c>
      <c r="N9" s="3">
        <v>0.25</v>
      </c>
      <c r="O9" s="3">
        <f>IF($E9="〇",N9*基本シート!$E$2,N9*VLOOKUP(LEFT(O$6,FIND("(",O$6)-1),基本シート!$B$6:$C$29,2,FALSE))</f>
        <v>7.4649999999999999</v>
      </c>
      <c r="P9" s="3">
        <v>0.24</v>
      </c>
      <c r="Q9" s="3">
        <f>IF($E9="〇",P9*基本シート!$E$2,P9*VLOOKUP(LEFT(Q$6,FIND("(",Q$6)-1),基本シート!$B$6:$C$29,2,FALSE))</f>
        <v>7.1663999999999994</v>
      </c>
      <c r="R9" s="3">
        <v>0.24</v>
      </c>
      <c r="S9" s="3">
        <f>IF($E9="〇",R9*基本シート!$E$2,R9*VLOOKUP(LEFT(S$6,FIND("(",S$6)-1),基本シート!$B$6:$C$29,2,FALSE))</f>
        <v>7.1663999999999994</v>
      </c>
      <c r="T9" s="3">
        <v>0.13</v>
      </c>
      <c r="U9" s="3">
        <f>IF($E9="〇",T9*基本シート!$E$2,T9*VLOOKUP(LEFT(U$6,FIND("(",U$6)-1),基本シート!$B$6:$C$29,2,FALSE))</f>
        <v>3.8818000000000001</v>
      </c>
      <c r="V9" s="3">
        <v>0</v>
      </c>
      <c r="W9" s="3">
        <f>IF($E9="〇",V9*基本シート!$E$2,V9*VLOOKUP(LEFT(W$6,FIND("(",W$6)-1),基本シート!$B$6:$C$29,2,FALSE))</f>
        <v>0</v>
      </c>
      <c r="X9" s="3">
        <v>0.01</v>
      </c>
      <c r="Y9" s="3">
        <f>IF($E9="〇",X9*基本シート!$E$2,X9*VLOOKUP(LEFT(Y$6,FIND("(",Y$6)-1),基本シート!$B$6:$C$29,2,FALSE))</f>
        <v>0.29859999999999998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0.29859999999999998</v>
      </c>
      <c r="AP9" s="3">
        <v>0.01</v>
      </c>
      <c r="AQ9" s="3">
        <f>IF($E9="〇",AP9*基本シート!$E$2,AP9*VLOOKUP(LEFT(AQ$6,FIND("(",AQ$6)-1),基本シート!$B$6:$C$29,2,FALSE))</f>
        <v>0.29859999999999998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0.95</v>
      </c>
      <c r="AW9" s="3">
        <f>IF($E9="〇",AV9*基本シート!$E$2,AV9*VLOOKUP(LEFT(AW$6,FIND("(",AW$6)-1),基本シート!$B$6:$C$29,2,FALSE))</f>
        <v>28.366999999999997</v>
      </c>
      <c r="AX9" s="3">
        <v>0.71</v>
      </c>
      <c r="AY9" s="3">
        <f>IF($E9="〇",AX9*基本シート!$E$2,AX9*VLOOKUP(LEFT(AY$6,FIND("(",AY$6)-1),基本シート!$B$6:$C$29,2,FALSE))</f>
        <v>21.200599999999998</v>
      </c>
      <c r="AZ9" s="3">
        <v>0.51</v>
      </c>
      <c r="BA9" s="3">
        <f>IF($E9="〇",AZ9*基本シート!$E$2,AZ9*VLOOKUP(LEFT(BA$6,FIND("(",BA$6)-1),基本シート!$B$6:$C$29,2,FALSE))</f>
        <v>15.2286</v>
      </c>
      <c r="BB9" s="3">
        <v>0.52</v>
      </c>
      <c r="BC9" s="3">
        <f>IF($E9="〇",BB9*基本シート!$E$2,BB9*VLOOKUP(LEFT(BC$6,FIND("(",BC$6)-1),基本シート!$B$6:$C$29,2,FALSE))</f>
        <v>15.527200000000001</v>
      </c>
      <c r="BD9" s="3">
        <f>SUM(H9,J9,L9,N9,P9,R9,T9,V9,X9,Z9,AB9,AD9,AF9,AH9,AJ9,AL9,AN9,AP9,AR9,AT9,AV9,AX9,AZ9,BB9)</f>
        <v>4.43</v>
      </c>
      <c r="BE9" s="3">
        <f t="shared" si="8"/>
        <v>132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0.14000000000000001</v>
      </c>
      <c r="BM9" s="3">
        <v>1.74</v>
      </c>
      <c r="BN9" s="3">
        <v>4.32</v>
      </c>
      <c r="BO9" s="3">
        <v>5.78</v>
      </c>
      <c r="BP9" s="3">
        <v>6.36</v>
      </c>
      <c r="BQ9" s="3">
        <v>6.59</v>
      </c>
      <c r="BR9" s="3">
        <v>6</v>
      </c>
      <c r="BS9" s="3">
        <v>4.84</v>
      </c>
      <c r="BT9" s="3">
        <v>3.41</v>
      </c>
      <c r="BU9" s="3">
        <v>1.31</v>
      </c>
      <c r="BV9" s="3">
        <v>7.0000000000000007E-2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0.01</v>
      </c>
      <c r="CU9" s="3">
        <f>CT9*基本シート!$C$3</f>
        <v>0.16</v>
      </c>
      <c r="CV9" s="3">
        <v>3.74</v>
      </c>
      <c r="CW9" s="3">
        <f>CV9*基本シート!$C$3</f>
        <v>59.84</v>
      </c>
      <c r="CX9" s="3">
        <v>6.03</v>
      </c>
      <c r="CY9" s="3">
        <f>CX9*基本シート!$C$3</f>
        <v>96.48</v>
      </c>
      <c r="CZ9" s="3">
        <v>6.08</v>
      </c>
      <c r="DA9" s="3">
        <f>CZ9*基本シート!$C$3</f>
        <v>97.28</v>
      </c>
      <c r="DB9" s="3">
        <v>5.26</v>
      </c>
      <c r="DC9" s="3">
        <f>DB9*基本シート!$C$3</f>
        <v>84.16</v>
      </c>
      <c r="DD9" s="3">
        <v>4.04</v>
      </c>
      <c r="DE9" s="3">
        <f>DD9*基本シート!$C$3</f>
        <v>64.64</v>
      </c>
      <c r="DF9" s="3">
        <v>3.14</v>
      </c>
      <c r="DG9" s="3">
        <f>DF9*基本シート!$C$3</f>
        <v>50.24</v>
      </c>
      <c r="DH9" s="3">
        <v>1.06</v>
      </c>
      <c r="DI9" s="3">
        <f>DH9*基本シート!$C$3</f>
        <v>16.96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29.410000000000004</v>
      </c>
      <c r="EA9" s="3">
        <f>ROUND(DZ9*基本シート!$C$3,0)</f>
        <v>471</v>
      </c>
      <c r="EB9" s="3">
        <v>0.04</v>
      </c>
      <c r="EC9" s="3">
        <v>0.04</v>
      </c>
      <c r="ED9" s="3">
        <v>0.04</v>
      </c>
      <c r="EE9" s="3">
        <v>0.03</v>
      </c>
      <c r="EF9" s="3">
        <v>0.04</v>
      </c>
      <c r="EG9" s="3">
        <v>0.04</v>
      </c>
      <c r="EH9" s="3">
        <v>0.04</v>
      </c>
      <c r="EI9" s="3">
        <v>1.44</v>
      </c>
      <c r="EJ9" s="3">
        <v>3.17</v>
      </c>
      <c r="EK9" s="3">
        <v>1.77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0.04</v>
      </c>
      <c r="EX9" s="3">
        <v>0.04</v>
      </c>
      <c r="EY9" s="3">
        <v>0.03</v>
      </c>
      <c r="EZ9" s="3">
        <f t="shared" si="11"/>
        <v>6.7600000000000007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0.01</v>
      </c>
      <c r="FM9" s="3">
        <v>0</v>
      </c>
      <c r="FN9" s="3">
        <v>0</v>
      </c>
      <c r="FO9" s="3">
        <v>0</v>
      </c>
      <c r="FP9" s="3">
        <v>0</v>
      </c>
      <c r="FQ9" s="3">
        <v>1.82</v>
      </c>
      <c r="FR9" s="3">
        <v>2.02</v>
      </c>
      <c r="FS9" s="3">
        <v>0.81</v>
      </c>
      <c r="FT9" s="3">
        <v>0.54</v>
      </c>
      <c r="FU9" s="3">
        <v>0.25</v>
      </c>
      <c r="FV9" s="3">
        <v>0</v>
      </c>
      <c r="FW9" s="3">
        <v>0</v>
      </c>
      <c r="FX9" s="3">
        <v>0</v>
      </c>
      <c r="FY9" s="3">
        <f t="shared" si="12"/>
        <v>5.45</v>
      </c>
      <c r="FZ9" s="3">
        <v>0.24</v>
      </c>
      <c r="GA9" s="3">
        <v>0.22</v>
      </c>
      <c r="GB9" s="3">
        <v>0.27</v>
      </c>
      <c r="GC9" s="3">
        <v>0.22</v>
      </c>
      <c r="GD9" s="3">
        <v>0.2</v>
      </c>
      <c r="GE9" s="3">
        <v>0.2</v>
      </c>
      <c r="GF9" s="3">
        <v>0.23</v>
      </c>
      <c r="GG9" s="3">
        <v>0.28999999999999998</v>
      </c>
      <c r="GH9" s="3">
        <v>1.1499999999999999</v>
      </c>
      <c r="GI9" s="3">
        <v>0.27</v>
      </c>
      <c r="GJ9" s="3">
        <v>0.33</v>
      </c>
      <c r="GK9" s="3">
        <v>0.52</v>
      </c>
      <c r="GL9" s="3">
        <v>0.74</v>
      </c>
      <c r="GM9" s="3">
        <v>0.8</v>
      </c>
      <c r="GN9" s="3">
        <v>0.27</v>
      </c>
      <c r="GO9" s="3">
        <v>0.25</v>
      </c>
      <c r="GP9" s="3">
        <v>1.88</v>
      </c>
      <c r="GQ9" s="3">
        <v>2.02</v>
      </c>
      <c r="GR9" s="3">
        <v>0.81</v>
      </c>
      <c r="GS9" s="3">
        <v>0.53</v>
      </c>
      <c r="GT9" s="3">
        <v>1.2</v>
      </c>
      <c r="GU9" s="3">
        <v>0.67</v>
      </c>
      <c r="GV9" s="3">
        <v>0.47</v>
      </c>
      <c r="GW9" s="3">
        <v>0.49</v>
      </c>
      <c r="GX9" s="3">
        <f t="shared" si="13"/>
        <v>14.269999999999998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>TEXT(VLOOKUP(LEFT(B10,FIND("月",B10)),基本シート!$E$6:$F$17,2,FALSE)&amp;B10,"aaaa")</f>
        <v>月曜日</v>
      </c>
      <c r="D10" s="6" t="s">
        <v>82</v>
      </c>
      <c r="E10" s="6" t="str">
        <f t="shared" si="9"/>
        <v>〇</v>
      </c>
      <c r="F10" s="6" t="s">
        <v>301</v>
      </c>
      <c r="G10" s="6" t="s">
        <v>300</v>
      </c>
      <c r="H10" s="3">
        <v>0.56000000000000005</v>
      </c>
      <c r="I10" s="3">
        <f>IF($E10="〇",H10*基本シート!$E$2,H10*VLOOKUP(LEFT(I$6,FIND("(",I$6)-1),基本シート!$B$6:$C$29,2,FALSE))</f>
        <v>16.721600000000002</v>
      </c>
      <c r="J10" s="3">
        <v>0.55000000000000004</v>
      </c>
      <c r="K10" s="3">
        <f>IF($E10="〇",J10*基本シート!$E$2,J10*VLOOKUP(LEFT(K$6,FIND("(",K$6)-1),基本シート!$B$6:$C$29,2,FALSE))</f>
        <v>16.423000000000002</v>
      </c>
      <c r="L10" s="3">
        <v>0.53</v>
      </c>
      <c r="M10" s="3">
        <f>IF($E10="〇",L10*基本シート!$E$2,L10*VLOOKUP(LEFT(M$6,FIND("(",M$6)-1),基本シート!$B$6:$C$29,2,FALSE))</f>
        <v>15.825800000000001</v>
      </c>
      <c r="N10" s="3">
        <v>0.54</v>
      </c>
      <c r="O10" s="3">
        <f>IF($E10="〇",N10*基本シート!$E$2,N10*VLOOKUP(LEFT(O$6,FIND("(",O$6)-1),基本シート!$B$6:$C$29,2,FALSE))</f>
        <v>16.124400000000001</v>
      </c>
      <c r="P10" s="3">
        <v>0.52</v>
      </c>
      <c r="Q10" s="3">
        <f>IF($E10="〇",P10*基本シート!$E$2,P10*VLOOKUP(LEFT(Q$6,FIND("(",Q$6)-1),基本シート!$B$6:$C$29,2,FALSE))</f>
        <v>15.527200000000001</v>
      </c>
      <c r="R10" s="3">
        <v>0.49</v>
      </c>
      <c r="S10" s="3">
        <f>IF($E10="〇",R10*基本シート!$E$2,R10*VLOOKUP(LEFT(S$6,FIND("(",S$6)-1),基本シート!$B$6:$C$29,2,FALSE))</f>
        <v>14.631399999999999</v>
      </c>
      <c r="T10" s="3">
        <v>0.99</v>
      </c>
      <c r="U10" s="3">
        <f>IF($E10="〇",T10*基本シート!$E$2,T10*VLOOKUP(LEFT(U$6,FIND("(",U$6)-1),基本シート!$B$6:$C$29,2,FALSE))</f>
        <v>29.561399999999999</v>
      </c>
      <c r="V10" s="3">
        <v>0.27</v>
      </c>
      <c r="W10" s="3">
        <f>IF($E10="〇",V10*基本シート!$E$2,V10*VLOOKUP(LEFT(W$6,FIND("(",W$6)-1),基本シート!$B$6:$C$29,2,FALSE))</f>
        <v>8.0622000000000007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0.02</v>
      </c>
      <c r="AO10" s="3">
        <f>IF($E10="〇",AN10*基本シート!$E$2,AN10*VLOOKUP(LEFT(AO$6,FIND("(",AO$6)-1),基本シート!$B$6:$C$29,2,FALSE))</f>
        <v>0.59719999999999995</v>
      </c>
      <c r="AP10" s="3">
        <v>0.12</v>
      </c>
      <c r="AQ10" s="3">
        <f>IF($E10="〇",AP10*基本シート!$E$2,AP10*VLOOKUP(LEFT(AQ$6,FIND("(",AQ$6)-1),基本シート!$B$6:$C$29,2,FALSE))</f>
        <v>3.5831999999999997</v>
      </c>
      <c r="AR10" s="3">
        <v>0.33</v>
      </c>
      <c r="AS10" s="3">
        <f>IF($E10="〇",AR10*基本シート!$E$2,AR10*VLOOKUP(LEFT(AS$6,FIND("(",AS$6)-1),基本シート!$B$6:$C$29,2,FALSE))</f>
        <v>9.8537999999999997</v>
      </c>
      <c r="AT10" s="3">
        <v>1.47</v>
      </c>
      <c r="AU10" s="3">
        <f>IF($E10="〇",AT10*基本シート!$E$2,AT10*VLOOKUP(LEFT(AU$6,FIND("(",AU$6)-1),基本シート!$B$6:$C$29,2,FALSE))</f>
        <v>43.894199999999998</v>
      </c>
      <c r="AV10" s="3">
        <v>0.75</v>
      </c>
      <c r="AW10" s="3">
        <f>IF($E10="〇",AV10*基本シート!$E$2,AV10*VLOOKUP(LEFT(AW$6,FIND("(",AW$6)-1),基本シート!$B$6:$C$29,2,FALSE))</f>
        <v>22.395</v>
      </c>
      <c r="AX10" s="3">
        <v>0.48</v>
      </c>
      <c r="AY10" s="3">
        <f>IF($E10="〇",AX10*基本シート!$E$2,AX10*VLOOKUP(LEFT(AY$6,FIND("(",AY$6)-1),基本シート!$B$6:$C$29,2,FALSE))</f>
        <v>14.332799999999999</v>
      </c>
      <c r="AZ10" s="3">
        <v>0.42</v>
      </c>
      <c r="BA10" s="3">
        <f>IF($E10="〇",AZ10*基本シート!$E$2,AZ10*VLOOKUP(LEFT(BA$6,FIND("(",BA$6)-1),基本シート!$B$6:$C$29,2,FALSE))</f>
        <v>12.5412</v>
      </c>
      <c r="BB10" s="3">
        <v>0.44</v>
      </c>
      <c r="BC10" s="3">
        <f>IF($E10="〇",BB10*基本シート!$E$2,BB10*VLOOKUP(LEFT(BC$6,FIND("(",BC$6)-1),基本シート!$B$6:$C$29,2,FALSE))</f>
        <v>13.138399999999999</v>
      </c>
      <c r="BD10" s="3">
        <f t="shared" si="7"/>
        <v>8.48</v>
      </c>
      <c r="BE10" s="3">
        <f t="shared" si="8"/>
        <v>253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0.12</v>
      </c>
      <c r="BM10" s="3">
        <v>0.72</v>
      </c>
      <c r="BN10" s="3">
        <v>2.97</v>
      </c>
      <c r="BO10" s="3">
        <v>5.76</v>
      </c>
      <c r="BP10" s="3">
        <v>6.34</v>
      </c>
      <c r="BQ10" s="3">
        <v>6.49</v>
      </c>
      <c r="BR10" s="3">
        <v>5.95</v>
      </c>
      <c r="BS10" s="3">
        <v>4.74</v>
      </c>
      <c r="BT10" s="3">
        <v>2.63</v>
      </c>
      <c r="BU10" s="3">
        <v>0.83</v>
      </c>
      <c r="BV10" s="3">
        <v>0.03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0.1</v>
      </c>
      <c r="CU10" s="3">
        <f>CT10*基本シート!$C$3</f>
        <v>1.6</v>
      </c>
      <c r="CV10" s="3">
        <v>1.2</v>
      </c>
      <c r="CW10" s="3">
        <f>CV10*基本シート!$C$3</f>
        <v>19.2</v>
      </c>
      <c r="CX10" s="3">
        <v>5.89</v>
      </c>
      <c r="CY10" s="3">
        <f>CX10*基本シート!$C$3</f>
        <v>94.24</v>
      </c>
      <c r="CZ10" s="3">
        <v>6.17</v>
      </c>
      <c r="DA10" s="3">
        <f>CZ10*基本シート!$C$3</f>
        <v>98.72</v>
      </c>
      <c r="DB10" s="3">
        <v>5.62</v>
      </c>
      <c r="DC10" s="3">
        <f>DB10*基本シート!$C$3</f>
        <v>89.92</v>
      </c>
      <c r="DD10" s="3">
        <v>3.77</v>
      </c>
      <c r="DE10" s="3">
        <f>DD10*基本シート!$C$3</f>
        <v>60.32</v>
      </c>
      <c r="DF10" s="3">
        <v>2.3199999999999998</v>
      </c>
      <c r="DG10" s="3">
        <f>DF10*基本シート!$C$3</f>
        <v>37.119999999999997</v>
      </c>
      <c r="DH10" s="3">
        <v>0.55000000000000004</v>
      </c>
      <c r="DI10" s="3">
        <f>DH10*基本シート!$C$3</f>
        <v>8.8000000000000007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25.640000000000004</v>
      </c>
      <c r="EA10" s="3">
        <f>ROUND(DZ10*基本シート!$C$3,0)</f>
        <v>410</v>
      </c>
      <c r="EB10" s="3">
        <v>0.04</v>
      </c>
      <c r="EC10" s="3">
        <v>0.03</v>
      </c>
      <c r="ED10" s="3">
        <v>0.04</v>
      </c>
      <c r="EE10" s="3">
        <v>0.04</v>
      </c>
      <c r="EF10" s="3">
        <v>0.04</v>
      </c>
      <c r="EG10" s="3">
        <v>0.04</v>
      </c>
      <c r="EH10" s="3">
        <v>0.01</v>
      </c>
      <c r="EI10" s="3">
        <v>0.21</v>
      </c>
      <c r="EJ10" s="3">
        <v>2.29</v>
      </c>
      <c r="EK10" s="3">
        <v>4.12</v>
      </c>
      <c r="EL10" s="3">
        <v>0.06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0.02</v>
      </c>
      <c r="EV10" s="3">
        <v>0.02</v>
      </c>
      <c r="EW10" s="3">
        <v>0.03</v>
      </c>
      <c r="EX10" s="3">
        <v>0.03</v>
      </c>
      <c r="EY10" s="3">
        <v>0.03</v>
      </c>
      <c r="EZ10" s="3">
        <f t="shared" si="11"/>
        <v>7.05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0.02</v>
      </c>
      <c r="FQ10" s="3">
        <v>0.92</v>
      </c>
      <c r="FR10" s="3">
        <v>2.62</v>
      </c>
      <c r="FS10" s="3">
        <v>1.9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5.46</v>
      </c>
      <c r="FZ10" s="3">
        <v>0.52</v>
      </c>
      <c r="GA10" s="3">
        <v>0.52</v>
      </c>
      <c r="GB10" s="3">
        <v>0.49</v>
      </c>
      <c r="GC10" s="3">
        <v>0.5</v>
      </c>
      <c r="GD10" s="3">
        <v>0.48</v>
      </c>
      <c r="GE10" s="3">
        <v>0.45</v>
      </c>
      <c r="GF10" s="3">
        <v>1.1000000000000001</v>
      </c>
      <c r="GG10" s="3">
        <v>0.78</v>
      </c>
      <c r="GH10" s="3">
        <v>0.57999999999999996</v>
      </c>
      <c r="GI10" s="3">
        <v>0.44</v>
      </c>
      <c r="GJ10" s="3">
        <v>0.39</v>
      </c>
      <c r="GK10" s="3">
        <v>0.32</v>
      </c>
      <c r="GL10" s="3">
        <v>0.33</v>
      </c>
      <c r="GM10" s="3">
        <v>0.97</v>
      </c>
      <c r="GN10" s="3">
        <v>0.31</v>
      </c>
      <c r="GO10" s="3">
        <v>0.3</v>
      </c>
      <c r="GP10" s="3">
        <v>0.96</v>
      </c>
      <c r="GQ10" s="3">
        <v>2.73</v>
      </c>
      <c r="GR10" s="3">
        <v>2.23</v>
      </c>
      <c r="GS10" s="3">
        <v>1.45</v>
      </c>
      <c r="GT10" s="3">
        <v>0.73</v>
      </c>
      <c r="GU10" s="3">
        <v>0.45</v>
      </c>
      <c r="GV10" s="3">
        <v>0.39</v>
      </c>
      <c r="GW10" s="3">
        <v>0.41</v>
      </c>
      <c r="GX10" s="3">
        <f t="shared" si="13"/>
        <v>17.830000000000002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>TEXT(VLOOKUP(LEFT(B11,FIND("月",B11)),基本シート!$E$6:$F$17,2,FALSE)&amp;B11,"aaaa")</f>
        <v>火曜日</v>
      </c>
      <c r="D11" s="6"/>
      <c r="E11" s="6" t="str">
        <f t="shared" si="9"/>
        <v/>
      </c>
      <c r="F11" s="6" t="s">
        <v>301</v>
      </c>
      <c r="G11" s="6" t="s">
        <v>299</v>
      </c>
      <c r="H11" s="3">
        <v>0.42</v>
      </c>
      <c r="I11" s="3">
        <f>IF($E11="〇",H11*基本シート!$E$2,H11*VLOOKUP(LEFT(I$6,FIND("(",I$6)-1),基本シート!$B$6:$C$29,2,FALSE))</f>
        <v>12.5412</v>
      </c>
      <c r="J11" s="3">
        <v>0.41</v>
      </c>
      <c r="K11" s="3">
        <f>IF($E11="〇",J11*基本シート!$E$2,J11*VLOOKUP(LEFT(K$6,FIND("(",K$6)-1),基本シート!$B$6:$C$29,2,FALSE))</f>
        <v>12.242599999999999</v>
      </c>
      <c r="L11" s="3">
        <v>0.41</v>
      </c>
      <c r="M11" s="3">
        <f>IF($E11="〇",L11*基本シート!$E$2,L11*VLOOKUP(LEFT(M$6,FIND("(",M$6)-1),基本シート!$B$6:$C$29,2,FALSE))</f>
        <v>12.242599999999999</v>
      </c>
      <c r="N11" s="3">
        <v>0.42</v>
      </c>
      <c r="O11" s="3">
        <f>IF($E11="〇",N11*基本シート!$E$2,N11*VLOOKUP(LEFT(O$6,FIND("(",O$6)-1),基本シート!$B$6:$C$29,2,FALSE))</f>
        <v>12.5412</v>
      </c>
      <c r="P11" s="3">
        <v>0.56999999999999995</v>
      </c>
      <c r="Q11" s="3">
        <f>IF($E11="〇",P11*基本シート!$E$2,P11*VLOOKUP(LEFT(Q$6,FIND("(",Q$6)-1),基本シート!$B$6:$C$29,2,FALSE))</f>
        <v>17.020199999999999</v>
      </c>
      <c r="R11" s="3">
        <v>0.51</v>
      </c>
      <c r="S11" s="3">
        <f>IF($E11="〇",R11*基本シート!$E$2,R11*VLOOKUP(LEFT(S$6,FIND("(",S$6)-1),基本シート!$B$6:$C$29,2,FALSE))</f>
        <v>15.2286</v>
      </c>
      <c r="T11" s="3">
        <v>0.44</v>
      </c>
      <c r="U11" s="3">
        <f>IF($E11="〇",T11*基本シート!$E$2,T11*VLOOKUP(LEFT(U$6,FIND("(",U$6)-1),基本シート!$B$6:$C$29,2,FALSE))</f>
        <v>13.138399999999999</v>
      </c>
      <c r="V11" s="3">
        <v>0.01</v>
      </c>
      <c r="W11" s="3">
        <f>IF($E11="〇",V11*基本シート!$E$2,V11*VLOOKUP(LEFT(W$6,FIND("(",W$6)-1),基本シート!$B$6:$C$29,2,FALSE))</f>
        <v>0.36859999999999998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0.02</v>
      </c>
      <c r="AQ11" s="3">
        <f>IF($E11="〇",AP11*基本シート!$E$2,AP11*VLOOKUP(LEFT(AQ$6,FIND("(",AQ$6)-1),基本シート!$B$6:$C$29,2,FALSE))</f>
        <v>0.73719999999999997</v>
      </c>
      <c r="AR11" s="3">
        <v>0.85</v>
      </c>
      <c r="AS11" s="3">
        <f>IF($E11="〇",AR11*基本シート!$E$2,AR11*VLOOKUP(LEFT(AS$6,FIND("(",AS$6)-1),基本シート!$B$6:$C$29,2,FALSE))</f>
        <v>31.331</v>
      </c>
      <c r="AT11" s="3">
        <v>0.91</v>
      </c>
      <c r="AU11" s="3">
        <f>IF($E11="〇",AT11*基本シート!$E$2,AT11*VLOOKUP(LEFT(AU$6,FIND("(",AU$6)-1),基本シート!$B$6:$C$29,2,FALSE))</f>
        <v>33.5426</v>
      </c>
      <c r="AV11" s="3">
        <v>0.86</v>
      </c>
      <c r="AW11" s="3">
        <f>IF($E11="〇",AV11*基本シート!$E$2,AV11*VLOOKUP(LEFT(AW$6,FIND("(",AW$6)-1),基本シート!$B$6:$C$29,2,FALSE))</f>
        <v>31.6996</v>
      </c>
      <c r="AX11" s="3">
        <v>0.5</v>
      </c>
      <c r="AY11" s="3">
        <f>IF($E11="〇",AX11*基本シート!$E$2,AX11*VLOOKUP(LEFT(AY$6,FIND("(",AY$6)-1),基本シート!$B$6:$C$29,2,FALSE))</f>
        <v>14.93</v>
      </c>
      <c r="AZ11" s="3">
        <v>0.47</v>
      </c>
      <c r="BA11" s="3">
        <f>IF($E11="〇",AZ11*基本シート!$E$2,AZ11*VLOOKUP(LEFT(BA$6,FIND("(",BA$6)-1),基本シート!$B$6:$C$29,2,FALSE))</f>
        <v>14.034199999999998</v>
      </c>
      <c r="BB11" s="3">
        <v>0.49</v>
      </c>
      <c r="BC11" s="3">
        <f>IF($E11="〇",BB11*基本シート!$E$2,BB11*VLOOKUP(LEFT(BC$6,FIND("(",BC$6)-1),基本シート!$B$6:$C$29,2,FALSE))</f>
        <v>14.631399999999999</v>
      </c>
      <c r="BD11" s="3">
        <f t="shared" si="7"/>
        <v>7.3</v>
      </c>
      <c r="BE11" s="3">
        <f t="shared" si="8"/>
        <v>237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0.08</v>
      </c>
      <c r="BM11" s="3">
        <v>1.64</v>
      </c>
      <c r="BN11" s="3">
        <v>4.54</v>
      </c>
      <c r="BO11" s="3">
        <v>5.94</v>
      </c>
      <c r="BP11" s="3">
        <v>5.5</v>
      </c>
      <c r="BQ11" s="3">
        <v>6.3</v>
      </c>
      <c r="BR11" s="3">
        <v>4</v>
      </c>
      <c r="BS11" s="3">
        <v>4.05</v>
      </c>
      <c r="BT11" s="3">
        <v>1.64</v>
      </c>
      <c r="BU11" s="3">
        <v>0.49</v>
      </c>
      <c r="BV11" s="3">
        <v>0.03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0.02</v>
      </c>
      <c r="CU11" s="3">
        <f>CT11*基本シート!$C$3</f>
        <v>0.32</v>
      </c>
      <c r="CV11" s="3">
        <v>4.21</v>
      </c>
      <c r="CW11" s="3">
        <f>CV11*基本シート!$C$3</f>
        <v>67.36</v>
      </c>
      <c r="CX11" s="3">
        <v>5.15</v>
      </c>
      <c r="CY11" s="3">
        <f>CX11*基本シート!$C$3</f>
        <v>82.4</v>
      </c>
      <c r="CZ11" s="3">
        <v>5.82</v>
      </c>
      <c r="DA11" s="3">
        <f>CZ11*基本シート!$C$3</f>
        <v>93.12</v>
      </c>
      <c r="DB11" s="3">
        <v>3.6</v>
      </c>
      <c r="DC11" s="3">
        <f>DB11*基本シート!$C$3</f>
        <v>57.6</v>
      </c>
      <c r="DD11" s="3">
        <v>3.72</v>
      </c>
      <c r="DE11" s="3">
        <f>DD11*基本シート!$C$3</f>
        <v>59.52</v>
      </c>
      <c r="DF11" s="3">
        <v>1.3</v>
      </c>
      <c r="DG11" s="3">
        <f>DF11*基本シート!$C$3</f>
        <v>20.8</v>
      </c>
      <c r="DH11" s="3">
        <v>0.19</v>
      </c>
      <c r="DI11" s="3">
        <f>DH11*基本シート!$C$3</f>
        <v>3.04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24.050000000000008</v>
      </c>
      <c r="EA11" s="3">
        <f>ROUND(DZ11*基本シート!$C$3,0)</f>
        <v>385</v>
      </c>
      <c r="EB11" s="3">
        <v>0.03</v>
      </c>
      <c r="EC11" s="3">
        <v>0.03</v>
      </c>
      <c r="ED11" s="3">
        <v>0.03</v>
      </c>
      <c r="EE11" s="3">
        <v>0.03</v>
      </c>
      <c r="EF11" s="3">
        <v>0.02</v>
      </c>
      <c r="EG11" s="3">
        <v>0.03</v>
      </c>
      <c r="EH11" s="3">
        <v>0.01</v>
      </c>
      <c r="EI11" s="3">
        <v>1.19</v>
      </c>
      <c r="EJ11" s="3">
        <v>4.1500000000000004</v>
      </c>
      <c r="EK11" s="3">
        <v>1.4</v>
      </c>
      <c r="EL11" s="3">
        <v>0</v>
      </c>
      <c r="EM11" s="3">
        <v>0</v>
      </c>
      <c r="EN11" s="3">
        <v>0.01</v>
      </c>
      <c r="EO11" s="3">
        <v>0</v>
      </c>
      <c r="EP11" s="3">
        <v>0.01</v>
      </c>
      <c r="EQ11" s="3">
        <v>0</v>
      </c>
      <c r="ER11" s="3">
        <v>0</v>
      </c>
      <c r="ES11" s="3">
        <v>0</v>
      </c>
      <c r="ET11" s="3">
        <v>0</v>
      </c>
      <c r="EU11" s="3">
        <v>0.03</v>
      </c>
      <c r="EV11" s="3">
        <v>0.03</v>
      </c>
      <c r="EW11" s="3">
        <v>0.02</v>
      </c>
      <c r="EX11" s="3">
        <v>0.02</v>
      </c>
      <c r="EY11" s="3">
        <v>0.03</v>
      </c>
      <c r="EZ11" s="3">
        <f t="shared" si="11"/>
        <v>7.0699999999999994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0.02</v>
      </c>
      <c r="FQ11" s="3">
        <v>1.26</v>
      </c>
      <c r="FR11" s="3">
        <v>2.42</v>
      </c>
      <c r="FS11" s="3">
        <v>1.68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5.39</v>
      </c>
      <c r="FZ11" s="3">
        <v>0.39</v>
      </c>
      <c r="GA11" s="3">
        <v>0.38</v>
      </c>
      <c r="GB11" s="3">
        <v>0.38</v>
      </c>
      <c r="GC11" s="3">
        <v>0.39</v>
      </c>
      <c r="GD11" s="3">
        <v>0.55000000000000004</v>
      </c>
      <c r="GE11" s="3">
        <v>0.48</v>
      </c>
      <c r="GF11" s="3">
        <v>0.51</v>
      </c>
      <c r="GG11" s="3">
        <v>0.45</v>
      </c>
      <c r="GH11" s="3">
        <v>0.37</v>
      </c>
      <c r="GI11" s="3">
        <v>0.33</v>
      </c>
      <c r="GJ11" s="3">
        <v>0.35</v>
      </c>
      <c r="GK11" s="3">
        <v>0.48</v>
      </c>
      <c r="GL11" s="3">
        <v>0.39</v>
      </c>
      <c r="GM11" s="3">
        <v>0.34</v>
      </c>
      <c r="GN11" s="3">
        <v>0.33</v>
      </c>
      <c r="GO11" s="3">
        <v>0.32</v>
      </c>
      <c r="GP11" s="3">
        <v>1.29</v>
      </c>
      <c r="GQ11" s="3">
        <v>2.4300000000000002</v>
      </c>
      <c r="GR11" s="3">
        <v>2.52</v>
      </c>
      <c r="GS11" s="3">
        <v>0.88</v>
      </c>
      <c r="GT11" s="3">
        <v>0.83</v>
      </c>
      <c r="GU11" s="3">
        <v>0.48</v>
      </c>
      <c r="GV11" s="3">
        <v>0.45</v>
      </c>
      <c r="GW11" s="3">
        <v>0.46</v>
      </c>
      <c r="GX11" s="3">
        <f t="shared" si="13"/>
        <v>15.780000000000001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>TEXT(VLOOKUP(LEFT(B12,FIND("月",B12)),基本シート!$E$6:$F$17,2,FALSE)&amp;B12,"aaaa")</f>
        <v>水曜日</v>
      </c>
      <c r="D12" s="6"/>
      <c r="E12" s="6" t="str">
        <f t="shared" si="9"/>
        <v/>
      </c>
      <c r="F12" s="6" t="s">
        <v>299</v>
      </c>
      <c r="G12" s="6" t="s">
        <v>300</v>
      </c>
      <c r="H12" s="3">
        <v>0.5</v>
      </c>
      <c r="I12" s="3">
        <f>IF($E12="〇",H12*基本シート!$E$2,H12*VLOOKUP(LEFT(I$6,FIND("(",I$6)-1),基本シート!$B$6:$C$29,2,FALSE))</f>
        <v>14.93</v>
      </c>
      <c r="J12" s="3">
        <v>0.47</v>
      </c>
      <c r="K12" s="3">
        <f>IF($E12="〇",J12*基本シート!$E$2,J12*VLOOKUP(LEFT(K$6,FIND("(",K$6)-1),基本シート!$B$6:$C$29,2,FALSE))</f>
        <v>14.034199999999998</v>
      </c>
      <c r="L12" s="3">
        <v>0.46</v>
      </c>
      <c r="M12" s="3">
        <f>IF($E12="〇",L12*基本シート!$E$2,L12*VLOOKUP(LEFT(M$6,FIND("(",M$6)-1),基本シート!$B$6:$C$29,2,FALSE))</f>
        <v>13.7356</v>
      </c>
      <c r="N12" s="3">
        <v>0.5</v>
      </c>
      <c r="O12" s="3">
        <f>IF($E12="〇",N12*基本シート!$E$2,N12*VLOOKUP(LEFT(O$6,FIND("(",O$6)-1),基本シート!$B$6:$C$29,2,FALSE))</f>
        <v>14.93</v>
      </c>
      <c r="P12" s="3">
        <v>0.65</v>
      </c>
      <c r="Q12" s="3">
        <f>IF($E12="〇",P12*基本シート!$E$2,P12*VLOOKUP(LEFT(Q$6,FIND("(",Q$6)-1),基本シート!$B$6:$C$29,2,FALSE))</f>
        <v>19.408999999999999</v>
      </c>
      <c r="R12" s="3">
        <v>0.6</v>
      </c>
      <c r="S12" s="3">
        <f>IF($E12="〇",R12*基本シート!$E$2,R12*VLOOKUP(LEFT(S$6,FIND("(",S$6)-1),基本シート!$B$6:$C$29,2,FALSE))</f>
        <v>17.916</v>
      </c>
      <c r="T12" s="3">
        <v>0.51</v>
      </c>
      <c r="U12" s="3">
        <f>IF($E12="〇",T12*基本シート!$E$2,T12*VLOOKUP(LEFT(U$6,FIND("(",U$6)-1),基本シート!$B$6:$C$29,2,FALSE))</f>
        <v>15.2286</v>
      </c>
      <c r="V12" s="3">
        <v>0.2</v>
      </c>
      <c r="W12" s="3">
        <f>IF($E12="〇",V12*基本シート!$E$2,V12*VLOOKUP(LEFT(W$6,FIND("(",W$6)-1),基本シート!$B$6:$C$29,2,FALSE))</f>
        <v>7.3719999999999999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0.36859999999999998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0.97</v>
      </c>
      <c r="AS12" s="3">
        <f>IF($E12="〇",AR12*基本シート!$E$2,AR12*VLOOKUP(LEFT(AS$6,FIND("(",AS$6)-1),基本シート!$B$6:$C$29,2,FALSE))</f>
        <v>35.754199999999997</v>
      </c>
      <c r="AT12" s="3">
        <v>1.72</v>
      </c>
      <c r="AU12" s="3">
        <f>IF($E12="〇",AT12*基本シート!$E$2,AT12*VLOOKUP(LEFT(AU$6,FIND("(",AU$6)-1),基本シート!$B$6:$C$29,2,FALSE))</f>
        <v>63.3992</v>
      </c>
      <c r="AV12" s="3">
        <v>0.81</v>
      </c>
      <c r="AW12" s="3">
        <f>IF($E12="〇",AV12*基本シート!$E$2,AV12*VLOOKUP(LEFT(AW$6,FIND("(",AW$6)-1),基本シート!$B$6:$C$29,2,FALSE))</f>
        <v>29.8566</v>
      </c>
      <c r="AX12" s="3">
        <v>0.92</v>
      </c>
      <c r="AY12" s="3">
        <f>IF($E12="〇",AX12*基本シート!$E$2,AX12*VLOOKUP(LEFT(AY$6,FIND("(",AY$6)-1),基本シート!$B$6:$C$29,2,FALSE))</f>
        <v>27.4712</v>
      </c>
      <c r="AZ12" s="3">
        <v>0.59</v>
      </c>
      <c r="BA12" s="3">
        <f>IF($E12="〇",AZ12*基本シート!$E$2,AZ12*VLOOKUP(LEFT(BA$6,FIND("(",BA$6)-1),基本シート!$B$6:$C$29,2,FALSE))</f>
        <v>17.6174</v>
      </c>
      <c r="BB12" s="3">
        <v>0.51</v>
      </c>
      <c r="BC12" s="3">
        <f>IF($E12="〇",BB12*基本シート!$E$2,BB12*VLOOKUP(LEFT(BC$6,FIND("(",BC$6)-1),基本シート!$B$6:$C$29,2,FALSE))</f>
        <v>15.2286</v>
      </c>
      <c r="BD12" s="3">
        <f t="shared" si="7"/>
        <v>9.44</v>
      </c>
      <c r="BE12" s="3">
        <f t="shared" si="8"/>
        <v>308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0.26</v>
      </c>
      <c r="BN12" s="3">
        <v>0.68</v>
      </c>
      <c r="BO12" s="3">
        <v>1.1100000000000001</v>
      </c>
      <c r="BP12" s="3">
        <v>1.74</v>
      </c>
      <c r="BQ12" s="3">
        <v>3.1</v>
      </c>
      <c r="BR12" s="3">
        <v>5.05</v>
      </c>
      <c r="BS12" s="3">
        <v>4.5199999999999996</v>
      </c>
      <c r="BT12" s="3">
        <v>2.6</v>
      </c>
      <c r="BU12" s="3">
        <v>0.67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0.02</v>
      </c>
      <c r="DA12" s="3">
        <f>CZ12*基本シート!$C$3</f>
        <v>0.32</v>
      </c>
      <c r="DB12" s="3">
        <v>3.16</v>
      </c>
      <c r="DC12" s="3">
        <f>DB12*基本シート!$C$3</f>
        <v>50.56</v>
      </c>
      <c r="DD12" s="3">
        <v>4.13</v>
      </c>
      <c r="DE12" s="3">
        <f>DD12*基本シート!$C$3</f>
        <v>66.08</v>
      </c>
      <c r="DF12" s="3">
        <v>2.23</v>
      </c>
      <c r="DG12" s="3">
        <f>DF12*基本シート!$C$3</f>
        <v>35.68</v>
      </c>
      <c r="DH12" s="3">
        <v>0.41</v>
      </c>
      <c r="DI12" s="3">
        <f>DH12*基本シート!$C$3</f>
        <v>6.56</v>
      </c>
      <c r="DJ12" s="3">
        <v>0.01</v>
      </c>
      <c r="DK12" s="3">
        <f>DJ12*基本シート!$C$3</f>
        <v>0.16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9.9700000000000006</v>
      </c>
      <c r="EA12" s="3">
        <f>ROUND(DZ12*基本シート!$C$3,0)</f>
        <v>160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0.34</v>
      </c>
      <c r="EK12" s="3">
        <v>0.71</v>
      </c>
      <c r="EL12" s="3">
        <v>1.36</v>
      </c>
      <c r="EM12" s="3">
        <v>2.62</v>
      </c>
      <c r="EN12" s="3">
        <v>1.5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0.03</v>
      </c>
      <c r="EX12" s="3">
        <v>0.03</v>
      </c>
      <c r="EY12" s="3">
        <v>0.03</v>
      </c>
      <c r="EZ12" s="3">
        <f t="shared" si="11"/>
        <v>6.8700000000000019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0.09</v>
      </c>
      <c r="FQ12" s="3">
        <v>1.26</v>
      </c>
      <c r="FR12" s="3">
        <v>2.33</v>
      </c>
      <c r="FS12" s="3">
        <v>1.7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5.38</v>
      </c>
      <c r="FZ12" s="3">
        <v>0.47</v>
      </c>
      <c r="GA12" s="3">
        <v>0.44</v>
      </c>
      <c r="GB12" s="3">
        <v>0.43</v>
      </c>
      <c r="GC12" s="3">
        <v>0.47</v>
      </c>
      <c r="GD12" s="3">
        <v>0.62</v>
      </c>
      <c r="GE12" s="3">
        <v>0.56999999999999995</v>
      </c>
      <c r="GF12" s="3">
        <v>0.51</v>
      </c>
      <c r="GG12" s="3">
        <v>0.46</v>
      </c>
      <c r="GH12" s="3">
        <v>0.34</v>
      </c>
      <c r="GI12" s="3">
        <v>0.4</v>
      </c>
      <c r="GJ12" s="3">
        <v>0.38</v>
      </c>
      <c r="GK12" s="3">
        <v>0.47</v>
      </c>
      <c r="GL12" s="3">
        <v>0.39</v>
      </c>
      <c r="GM12" s="3">
        <v>0.39</v>
      </c>
      <c r="GN12" s="3">
        <v>0.37</v>
      </c>
      <c r="GO12" s="3">
        <v>0.35</v>
      </c>
      <c r="GP12" s="3">
        <v>1.26</v>
      </c>
      <c r="GQ12" s="3">
        <v>2.33</v>
      </c>
      <c r="GR12" s="3">
        <v>2.67</v>
      </c>
      <c r="GS12" s="3">
        <v>1.69</v>
      </c>
      <c r="GT12" s="3">
        <v>0.78</v>
      </c>
      <c r="GU12" s="3">
        <v>0.89</v>
      </c>
      <c r="GV12" s="3">
        <v>0.56000000000000005</v>
      </c>
      <c r="GW12" s="3">
        <v>0.48</v>
      </c>
      <c r="GX12" s="3">
        <f t="shared" si="13"/>
        <v>17.719999999999995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>TEXT(VLOOKUP(LEFT(B13,FIND("月",B13)),基本シート!$E$6:$F$17,2,FALSE)&amp;B13,"aaaa")</f>
        <v>木曜日</v>
      </c>
      <c r="D13" s="6"/>
      <c r="E13" s="6" t="str">
        <f t="shared" si="9"/>
        <v/>
      </c>
      <c r="F13" s="6" t="s">
        <v>300</v>
      </c>
      <c r="G13" s="6" t="s">
        <v>301</v>
      </c>
      <c r="H13" s="3">
        <v>0.52</v>
      </c>
      <c r="I13" s="3">
        <f>IF($E13="〇",H13*基本シート!$E$2,H13*VLOOKUP(LEFT(I$6,FIND("(",I$6)-1),基本シート!$B$6:$C$29,2,FALSE))</f>
        <v>15.527200000000001</v>
      </c>
      <c r="J13" s="3">
        <v>0.46</v>
      </c>
      <c r="K13" s="3">
        <f>IF($E13="〇",J13*基本シート!$E$2,J13*VLOOKUP(LEFT(K$6,FIND("(",K$6)-1),基本シート!$B$6:$C$29,2,FALSE))</f>
        <v>13.7356</v>
      </c>
      <c r="L13" s="3">
        <v>0.49</v>
      </c>
      <c r="M13" s="3">
        <f>IF($E13="〇",L13*基本シート!$E$2,L13*VLOOKUP(LEFT(M$6,FIND("(",M$6)-1),基本シート!$B$6:$C$29,2,FALSE))</f>
        <v>14.631399999999999</v>
      </c>
      <c r="N13" s="3">
        <v>0.5</v>
      </c>
      <c r="O13" s="3">
        <f>IF($E13="〇",N13*基本シート!$E$2,N13*VLOOKUP(LEFT(O$6,FIND("(",O$6)-1),基本シート!$B$6:$C$29,2,FALSE))</f>
        <v>14.93</v>
      </c>
      <c r="P13" s="3">
        <v>0.68</v>
      </c>
      <c r="Q13" s="3">
        <f>IF($E13="〇",P13*基本シート!$E$2,P13*VLOOKUP(LEFT(Q$6,FIND("(",Q$6)-1),基本シート!$B$6:$C$29,2,FALSE))</f>
        <v>20.3048</v>
      </c>
      <c r="R13" s="3">
        <v>0.83</v>
      </c>
      <c r="S13" s="3">
        <f>IF($E13="〇",R13*基本シート!$E$2,R13*VLOOKUP(LEFT(S$6,FIND("(",S$6)-1),基本シート!$B$6:$C$29,2,FALSE))</f>
        <v>24.783799999999999</v>
      </c>
      <c r="T13" s="3">
        <v>0.54</v>
      </c>
      <c r="U13" s="3">
        <f>IF($E13="〇",T13*基本シート!$E$2,T13*VLOOKUP(LEFT(U$6,FIND("(",U$6)-1),基本シート!$B$6:$C$29,2,FALSE))</f>
        <v>16.124400000000001</v>
      </c>
      <c r="V13" s="3">
        <v>0.27</v>
      </c>
      <c r="W13" s="3">
        <f>IF($E13="〇",V13*基本シート!$E$2,V13*VLOOKUP(LEFT(W$6,FIND("(",W$6)-1),基本シート!$B$6:$C$29,2,FALSE))</f>
        <v>9.9522000000000013</v>
      </c>
      <c r="X13" s="3">
        <v>0.02</v>
      </c>
      <c r="Y13" s="3">
        <f>IF($E13="〇",X13*基本シート!$E$2,X13*VLOOKUP(LEFT(Y$6,FIND("(",Y$6)-1),基本シート!$B$6:$C$29,2,FALSE))</f>
        <v>0.73719999999999997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0.01</v>
      </c>
      <c r="AC13" s="3">
        <f>IF($E13="〇",AB13*基本シート!$E$2,AB13*VLOOKUP(LEFT(AC$6,FIND("(",AC$6)-1),基本シート!$B$6:$C$29,2,FALSE))</f>
        <v>0.36859999999999998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0.61</v>
      </c>
      <c r="AS13" s="3">
        <f>IF($E13="〇",AR13*基本シート!$E$2,AR13*VLOOKUP(LEFT(AS$6,FIND("(",AS$6)-1),基本シート!$B$6:$C$29,2,FALSE))</f>
        <v>22.4846</v>
      </c>
      <c r="AT13" s="3">
        <v>1.65</v>
      </c>
      <c r="AU13" s="3">
        <f>IF($E13="〇",AT13*基本シート!$E$2,AT13*VLOOKUP(LEFT(AU$6,FIND("(",AU$6)-1),基本シート!$B$6:$C$29,2,FALSE))</f>
        <v>60.818999999999996</v>
      </c>
      <c r="AV13" s="3">
        <v>0.56999999999999995</v>
      </c>
      <c r="AW13" s="3">
        <f>IF($E13="〇",AV13*基本シート!$E$2,AV13*VLOOKUP(LEFT(AW$6,FIND("(",AW$6)-1),基本シート!$B$6:$C$29,2,FALSE))</f>
        <v>21.010199999999998</v>
      </c>
      <c r="AX13" s="3">
        <v>0.8</v>
      </c>
      <c r="AY13" s="3">
        <f>IF($E13="〇",AX13*基本シート!$E$2,AX13*VLOOKUP(LEFT(AY$6,FIND("(",AY$6)-1),基本シート!$B$6:$C$29,2,FALSE))</f>
        <v>23.888000000000002</v>
      </c>
      <c r="AZ13" s="3">
        <v>0.91</v>
      </c>
      <c r="BA13" s="3">
        <f>IF($E13="〇",AZ13*基本シート!$E$2,AZ13*VLOOKUP(LEFT(BA$6,FIND("(",BA$6)-1),基本シート!$B$6:$C$29,2,FALSE))</f>
        <v>27.172599999999999</v>
      </c>
      <c r="BB13" s="3">
        <v>0.59</v>
      </c>
      <c r="BC13" s="3">
        <f>IF($E13="〇",BB13*基本シート!$E$2,BB13*VLOOKUP(LEFT(BC$6,FIND("(",BC$6)-1),基本シート!$B$6:$C$29,2,FALSE))</f>
        <v>17.6174</v>
      </c>
      <c r="BD13" s="3">
        <f t="shared" si="7"/>
        <v>9.4599999999999973</v>
      </c>
      <c r="BE13" s="3">
        <f t="shared" si="8"/>
        <v>304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0.04</v>
      </c>
      <c r="BM13" s="3">
        <v>0.26</v>
      </c>
      <c r="BN13" s="3">
        <v>1.68</v>
      </c>
      <c r="BO13" s="3">
        <v>4.13</v>
      </c>
      <c r="BP13" s="3">
        <v>4.49</v>
      </c>
      <c r="BQ13" s="3">
        <v>5.15</v>
      </c>
      <c r="BR13" s="3">
        <v>7.43</v>
      </c>
      <c r="BS13" s="3">
        <v>5.99</v>
      </c>
      <c r="BT13" s="3">
        <v>4.16</v>
      </c>
      <c r="BU13" s="3">
        <v>1.4</v>
      </c>
      <c r="BV13" s="3">
        <v>0.08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0.08</v>
      </c>
      <c r="CU13" s="3">
        <f>CT13*基本シート!$C$3</f>
        <v>1.28</v>
      </c>
      <c r="CV13" s="3">
        <v>0.93</v>
      </c>
      <c r="CW13" s="3">
        <f>CV13*基本シート!$C$3</f>
        <v>14.88</v>
      </c>
      <c r="CX13" s="3">
        <v>1.5</v>
      </c>
      <c r="CY13" s="3">
        <f>CX13*基本シート!$C$3</f>
        <v>24</v>
      </c>
      <c r="CZ13" s="3">
        <v>4.6900000000000004</v>
      </c>
      <c r="DA13" s="3">
        <f>CZ13*基本シート!$C$3</f>
        <v>75.040000000000006</v>
      </c>
      <c r="DB13" s="3">
        <v>7.03</v>
      </c>
      <c r="DC13" s="3">
        <f>DB13*基本シート!$C$3</f>
        <v>112.48</v>
      </c>
      <c r="DD13" s="3">
        <v>5.59</v>
      </c>
      <c r="DE13" s="3">
        <f>DD13*基本シート!$C$3</f>
        <v>89.44</v>
      </c>
      <c r="DF13" s="3">
        <v>3.78</v>
      </c>
      <c r="DG13" s="3">
        <f>DF13*基本シート!$C$3</f>
        <v>60.48</v>
      </c>
      <c r="DH13" s="3">
        <v>1.01</v>
      </c>
      <c r="DI13" s="3">
        <f>DH13*基本シート!$C$3</f>
        <v>16.16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24.620000000000005</v>
      </c>
      <c r="EA13" s="3">
        <f>ROUND(DZ13*基本シート!$C$3,0)</f>
        <v>394</v>
      </c>
      <c r="EB13" s="3">
        <v>0.03</v>
      </c>
      <c r="EC13" s="3">
        <v>0.02</v>
      </c>
      <c r="ED13" s="3">
        <v>0.03</v>
      </c>
      <c r="EE13" s="3">
        <v>0.03</v>
      </c>
      <c r="EF13" s="3">
        <v>0.03</v>
      </c>
      <c r="EG13" s="3">
        <v>0.02</v>
      </c>
      <c r="EH13" s="3">
        <v>0.01</v>
      </c>
      <c r="EI13" s="3">
        <v>0</v>
      </c>
      <c r="EJ13" s="3">
        <v>1.27</v>
      </c>
      <c r="EK13" s="3">
        <v>2.78</v>
      </c>
      <c r="EL13" s="3">
        <v>2.6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0.03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7.0200000000000005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0.98</v>
      </c>
      <c r="FR13" s="3">
        <v>2.2999999999999998</v>
      </c>
      <c r="FS13" s="3">
        <v>1.97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5.25</v>
      </c>
      <c r="FZ13" s="3">
        <v>0.49</v>
      </c>
      <c r="GA13" s="3">
        <v>0.44</v>
      </c>
      <c r="GB13" s="3">
        <v>0.46</v>
      </c>
      <c r="GC13" s="3">
        <v>0.47</v>
      </c>
      <c r="GD13" s="3">
        <v>0.65</v>
      </c>
      <c r="GE13" s="3">
        <v>0.81</v>
      </c>
      <c r="GF13" s="3">
        <v>0.56999999999999995</v>
      </c>
      <c r="GG13" s="3">
        <v>0.53</v>
      </c>
      <c r="GH13" s="3">
        <v>0.35</v>
      </c>
      <c r="GI13" s="3">
        <v>0.42</v>
      </c>
      <c r="GJ13" s="3">
        <v>0.4</v>
      </c>
      <c r="GK13" s="3">
        <v>0.46</v>
      </c>
      <c r="GL13" s="3">
        <v>0.4</v>
      </c>
      <c r="GM13" s="3">
        <v>0.4</v>
      </c>
      <c r="GN13" s="3">
        <v>0.38</v>
      </c>
      <c r="GO13" s="3">
        <v>0.38</v>
      </c>
      <c r="GP13" s="3">
        <v>1.06</v>
      </c>
      <c r="GQ13" s="3">
        <v>2.2999999999999998</v>
      </c>
      <c r="GR13" s="3">
        <v>2.58</v>
      </c>
      <c r="GS13" s="3">
        <v>1.62</v>
      </c>
      <c r="GT13" s="3">
        <v>0.53</v>
      </c>
      <c r="GU13" s="3">
        <v>0.76</v>
      </c>
      <c r="GV13" s="3">
        <v>0.87</v>
      </c>
      <c r="GW13" s="3">
        <v>0.55000000000000004</v>
      </c>
      <c r="GX13" s="3">
        <f t="shared" si="13"/>
        <v>17.88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>TEXT(VLOOKUP(LEFT(B14,FIND("月",B14)),基本シート!$E$6:$F$17,2,FALSE)&amp;B14,"aaaa")</f>
        <v>金曜日</v>
      </c>
      <c r="D14" s="6"/>
      <c r="E14" s="6" t="str">
        <f t="shared" si="9"/>
        <v/>
      </c>
      <c r="F14" s="6" t="s">
        <v>299</v>
      </c>
      <c r="G14" s="6" t="s">
        <v>301</v>
      </c>
      <c r="H14" s="3">
        <v>0.55000000000000004</v>
      </c>
      <c r="I14" s="3">
        <f>IF($E14="〇",H14*基本シート!$E$2,H14*VLOOKUP(LEFT(I$6,FIND("(",I$6)-1),基本シート!$B$6:$C$29,2,FALSE))</f>
        <v>16.423000000000002</v>
      </c>
      <c r="J14" s="3">
        <v>0.56000000000000005</v>
      </c>
      <c r="K14" s="3">
        <f>IF($E14="〇",J14*基本シート!$E$2,J14*VLOOKUP(LEFT(K$6,FIND("(",K$6)-1),基本シート!$B$6:$C$29,2,FALSE))</f>
        <v>16.721600000000002</v>
      </c>
      <c r="L14" s="3">
        <v>0.56000000000000005</v>
      </c>
      <c r="M14" s="3">
        <f>IF($E14="〇",L14*基本シート!$E$2,L14*VLOOKUP(LEFT(M$6,FIND("(",M$6)-1),基本シート!$B$6:$C$29,2,FALSE))</f>
        <v>16.721600000000002</v>
      </c>
      <c r="N14" s="3">
        <v>0.52</v>
      </c>
      <c r="O14" s="3">
        <f>IF($E14="〇",N14*基本シート!$E$2,N14*VLOOKUP(LEFT(O$6,FIND("(",O$6)-1),基本シート!$B$6:$C$29,2,FALSE))</f>
        <v>15.527200000000001</v>
      </c>
      <c r="P14" s="3">
        <v>0.8</v>
      </c>
      <c r="Q14" s="3">
        <f>IF($E14="〇",P14*基本シート!$E$2,P14*VLOOKUP(LEFT(Q$6,FIND("(",Q$6)-1),基本シート!$B$6:$C$29,2,FALSE))</f>
        <v>23.888000000000002</v>
      </c>
      <c r="R14" s="3">
        <v>0.57999999999999996</v>
      </c>
      <c r="S14" s="3">
        <f>IF($E14="〇",R14*基本シート!$E$2,R14*VLOOKUP(LEFT(S$6,FIND("(",S$6)-1),基本シート!$B$6:$C$29,2,FALSE))</f>
        <v>17.3188</v>
      </c>
      <c r="T14" s="3">
        <v>0.56000000000000005</v>
      </c>
      <c r="U14" s="3">
        <f>IF($E14="〇",T14*基本シート!$E$2,T14*VLOOKUP(LEFT(U$6,FIND("(",U$6)-1),基本シート!$B$6:$C$29,2,FALSE))</f>
        <v>16.721600000000002</v>
      </c>
      <c r="V14" s="3">
        <v>0.04</v>
      </c>
      <c r="W14" s="3">
        <f>IF($E14="〇",V14*基本シート!$E$2,V14*VLOOKUP(LEFT(W$6,FIND("(",W$6)-1),基本シート!$B$6:$C$29,2,FALSE))</f>
        <v>1.4743999999999999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0.02</v>
      </c>
      <c r="AQ14" s="3">
        <f>IF($E14="〇",AP14*基本シート!$E$2,AP14*VLOOKUP(LEFT(AQ$6,FIND("(",AQ$6)-1),基本シート!$B$6:$C$29,2,FALSE))</f>
        <v>0.73719999999999997</v>
      </c>
      <c r="AR14" s="3">
        <v>0.82</v>
      </c>
      <c r="AS14" s="3">
        <f>IF($E14="〇",AR14*基本シート!$E$2,AR14*VLOOKUP(LEFT(AS$6,FIND("(",AS$6)-1),基本シート!$B$6:$C$29,2,FALSE))</f>
        <v>30.225199999999997</v>
      </c>
      <c r="AT14" s="3">
        <v>1.7</v>
      </c>
      <c r="AU14" s="3">
        <f>IF($E14="〇",AT14*基本シート!$E$2,AT14*VLOOKUP(LEFT(AU$6,FIND("(",AU$6)-1),基本シート!$B$6:$C$29,2,FALSE))</f>
        <v>62.661999999999999</v>
      </c>
      <c r="AV14" s="3">
        <v>0.62</v>
      </c>
      <c r="AW14" s="3">
        <f>IF($E14="〇",AV14*基本シート!$E$2,AV14*VLOOKUP(LEFT(AW$6,FIND("(",AW$6)-1),基本シート!$B$6:$C$29,2,FALSE))</f>
        <v>22.853200000000001</v>
      </c>
      <c r="AX14" s="3">
        <v>0.57999999999999996</v>
      </c>
      <c r="AY14" s="3">
        <f>IF($E14="〇",AX14*基本シート!$E$2,AX14*VLOOKUP(LEFT(AY$6,FIND("(",AY$6)-1),基本シート!$B$6:$C$29,2,FALSE))</f>
        <v>17.3188</v>
      </c>
      <c r="AZ14" s="3">
        <v>0.56999999999999995</v>
      </c>
      <c r="BA14" s="3">
        <f>IF($E14="〇",AZ14*基本シート!$E$2,AZ14*VLOOKUP(LEFT(BA$6,FIND("(",BA$6)-1),基本シート!$B$6:$C$29,2,FALSE))</f>
        <v>17.020199999999999</v>
      </c>
      <c r="BB14" s="3">
        <v>0.52</v>
      </c>
      <c r="BC14" s="3">
        <f>IF($E14="〇",BB14*基本シート!$E$2,BB14*VLOOKUP(LEFT(BC$6,FIND("(",BC$6)-1),基本シート!$B$6:$C$29,2,FALSE))</f>
        <v>15.527200000000001</v>
      </c>
      <c r="BD14" s="3">
        <f t="shared" si="7"/>
        <v>9</v>
      </c>
      <c r="BE14" s="3">
        <f t="shared" si="8"/>
        <v>291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0.09</v>
      </c>
      <c r="BM14" s="3">
        <v>1.05</v>
      </c>
      <c r="BN14" s="3">
        <v>2.2799999999999998</v>
      </c>
      <c r="BO14" s="3">
        <v>3.07</v>
      </c>
      <c r="BP14" s="3">
        <v>3.99</v>
      </c>
      <c r="BQ14" s="3">
        <v>5.34</v>
      </c>
      <c r="BR14" s="3">
        <v>3.05</v>
      </c>
      <c r="BS14" s="3">
        <v>2.56</v>
      </c>
      <c r="BT14" s="3">
        <v>1.38</v>
      </c>
      <c r="BU14" s="3">
        <v>0.43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0.06</v>
      </c>
      <c r="CU14" s="3">
        <f>CT14*基本シート!$C$3</f>
        <v>0.96</v>
      </c>
      <c r="CV14" s="3">
        <v>0.06</v>
      </c>
      <c r="CW14" s="3">
        <f>CV14*基本シート!$C$3</f>
        <v>0.96</v>
      </c>
      <c r="CX14" s="3">
        <v>2.2999999999999998</v>
      </c>
      <c r="CY14" s="3">
        <f>CX14*基本シート!$C$3</f>
        <v>36.799999999999997</v>
      </c>
      <c r="CZ14" s="3">
        <v>4.92</v>
      </c>
      <c r="DA14" s="3">
        <f>CZ14*基本シート!$C$3</f>
        <v>78.72</v>
      </c>
      <c r="DB14" s="3">
        <v>2.69</v>
      </c>
      <c r="DC14" s="3">
        <f>DB14*基本シート!$C$3</f>
        <v>43.04</v>
      </c>
      <c r="DD14" s="3">
        <v>2.1800000000000002</v>
      </c>
      <c r="DE14" s="3">
        <f>DD14*基本シート!$C$3</f>
        <v>34.880000000000003</v>
      </c>
      <c r="DF14" s="3">
        <v>1.02</v>
      </c>
      <c r="DG14" s="3">
        <f>DF14*基本シート!$C$3</f>
        <v>16.32</v>
      </c>
      <c r="DH14" s="3">
        <v>0.13</v>
      </c>
      <c r="DI14" s="3">
        <f>DH14*基本シート!$C$3</f>
        <v>2.08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13.389999999999999</v>
      </c>
      <c r="EA14" s="3">
        <f>ROUND(DZ14*基本シート!$C$3,0)</f>
        <v>214</v>
      </c>
      <c r="EB14" s="3">
        <v>0.04</v>
      </c>
      <c r="EC14" s="3">
        <v>0.04</v>
      </c>
      <c r="ED14" s="3">
        <v>0.04</v>
      </c>
      <c r="EE14" s="3">
        <v>0.03</v>
      </c>
      <c r="EF14" s="3">
        <v>0.04</v>
      </c>
      <c r="EG14" s="3">
        <v>0.04</v>
      </c>
      <c r="EH14" s="3">
        <v>0.01</v>
      </c>
      <c r="EI14" s="3">
        <v>0.52</v>
      </c>
      <c r="EJ14" s="3">
        <v>1.89</v>
      </c>
      <c r="EK14" s="3">
        <v>2.59</v>
      </c>
      <c r="EL14" s="3">
        <v>1.3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0.03</v>
      </c>
      <c r="EV14" s="3">
        <v>0.03</v>
      </c>
      <c r="EW14" s="3">
        <v>0.03</v>
      </c>
      <c r="EX14" s="3">
        <v>0.03</v>
      </c>
      <c r="EY14" s="3">
        <v>0.03</v>
      </c>
      <c r="EZ14" s="3">
        <f t="shared" si="11"/>
        <v>6.6900000000000013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0.01</v>
      </c>
      <c r="FN14" s="3">
        <v>0</v>
      </c>
      <c r="FO14" s="3">
        <v>0</v>
      </c>
      <c r="FP14" s="3">
        <v>0.04</v>
      </c>
      <c r="FQ14" s="3">
        <v>0.94</v>
      </c>
      <c r="FR14" s="3">
        <v>2.4300000000000002</v>
      </c>
      <c r="FS14" s="3">
        <v>1.81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5.23</v>
      </c>
      <c r="FZ14" s="3">
        <v>0.51</v>
      </c>
      <c r="GA14" s="3">
        <v>0.52</v>
      </c>
      <c r="GB14" s="3">
        <v>0.52</v>
      </c>
      <c r="GC14" s="3">
        <v>0.49</v>
      </c>
      <c r="GD14" s="3">
        <v>0.76</v>
      </c>
      <c r="GE14" s="3">
        <v>0.54</v>
      </c>
      <c r="GF14" s="3">
        <v>0.64</v>
      </c>
      <c r="GG14" s="3">
        <v>0.56999999999999995</v>
      </c>
      <c r="GH14" s="3">
        <v>0.33</v>
      </c>
      <c r="GI14" s="3">
        <v>0.42</v>
      </c>
      <c r="GJ14" s="3">
        <v>0.39</v>
      </c>
      <c r="GK14" s="3">
        <v>0.42</v>
      </c>
      <c r="GL14" s="3">
        <v>0.37</v>
      </c>
      <c r="GM14" s="3">
        <v>0.38</v>
      </c>
      <c r="GN14" s="3">
        <v>0.36</v>
      </c>
      <c r="GO14" s="3">
        <v>0.34</v>
      </c>
      <c r="GP14" s="3">
        <v>0.95</v>
      </c>
      <c r="GQ14" s="3">
        <v>2.44</v>
      </c>
      <c r="GR14" s="3">
        <v>2.62</v>
      </c>
      <c r="GS14" s="3">
        <v>1.67</v>
      </c>
      <c r="GT14" s="3">
        <v>0.59</v>
      </c>
      <c r="GU14" s="3">
        <v>0.55000000000000004</v>
      </c>
      <c r="GV14" s="3">
        <v>0.54</v>
      </c>
      <c r="GW14" s="3">
        <v>0.49</v>
      </c>
      <c r="GX14" s="3">
        <f t="shared" si="13"/>
        <v>17.409999999999997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>TEXT(VLOOKUP(LEFT(B15,FIND("月",B15)),基本シート!$E$6:$F$17,2,FALSE)&amp;B15,"aaaa")</f>
        <v>土曜日</v>
      </c>
      <c r="D15" s="6"/>
      <c r="E15" s="6" t="str">
        <f t="shared" si="9"/>
        <v>〇</v>
      </c>
      <c r="F15" s="6" t="s">
        <v>299</v>
      </c>
      <c r="G15" s="6" t="s">
        <v>301</v>
      </c>
      <c r="H15" s="3">
        <v>0.59</v>
      </c>
      <c r="I15" s="3">
        <f>IF($E15="〇",H15*基本シート!$E$2,H15*VLOOKUP(LEFT(I$6,FIND("(",I$6)-1),基本シート!$B$6:$C$29,2,FALSE))</f>
        <v>17.6174</v>
      </c>
      <c r="J15" s="3">
        <v>0.53</v>
      </c>
      <c r="K15" s="3">
        <f>IF($E15="〇",J15*基本シート!$E$2,J15*VLOOKUP(LEFT(K$6,FIND("(",K$6)-1),基本シート!$B$6:$C$29,2,FALSE))</f>
        <v>15.825800000000001</v>
      </c>
      <c r="L15" s="3">
        <v>0.59</v>
      </c>
      <c r="M15" s="3">
        <f>IF($E15="〇",L15*基本シート!$E$2,L15*VLOOKUP(LEFT(M$6,FIND("(",M$6)-1),基本シート!$B$6:$C$29,2,FALSE))</f>
        <v>17.6174</v>
      </c>
      <c r="N15" s="3">
        <v>0.56000000000000005</v>
      </c>
      <c r="O15" s="3">
        <f>IF($E15="〇",N15*基本シート!$E$2,N15*VLOOKUP(LEFT(O$6,FIND("(",O$6)-1),基本シート!$B$6:$C$29,2,FALSE))</f>
        <v>16.721600000000002</v>
      </c>
      <c r="P15" s="3">
        <v>0.57999999999999996</v>
      </c>
      <c r="Q15" s="3">
        <f>IF($E15="〇",P15*基本シート!$E$2,P15*VLOOKUP(LEFT(Q$6,FIND("(",Q$6)-1),基本シート!$B$6:$C$29,2,FALSE))</f>
        <v>17.3188</v>
      </c>
      <c r="R15" s="3">
        <v>0.56999999999999995</v>
      </c>
      <c r="S15" s="3">
        <f>IF($E15="〇",R15*基本シート!$E$2,R15*VLOOKUP(LEFT(S$6,FIND("(",S$6)-1),基本シート!$B$6:$C$29,2,FALSE))</f>
        <v>17.020199999999999</v>
      </c>
      <c r="T15" s="3">
        <v>0.53</v>
      </c>
      <c r="U15" s="3">
        <f>IF($E15="〇",T15*基本シート!$E$2,T15*VLOOKUP(LEFT(U$6,FIND("(",U$6)-1),基本シート!$B$6:$C$29,2,FALSE))</f>
        <v>15.825800000000001</v>
      </c>
      <c r="V15" s="3">
        <v>0.53</v>
      </c>
      <c r="W15" s="3">
        <f>IF($E15="〇",V15*基本シート!$E$2,V15*VLOOKUP(LEFT(W$6,FIND("(",W$6)-1),基本シート!$B$6:$C$29,2,FALSE))</f>
        <v>15.825800000000001</v>
      </c>
      <c r="X15" s="3">
        <v>0.08</v>
      </c>
      <c r="Y15" s="3">
        <f>IF($E15="〇",X15*基本シート!$E$2,X15*VLOOKUP(LEFT(Y$6,FIND("(",Y$6)-1),基本シート!$B$6:$C$29,2,FALSE))</f>
        <v>2.3887999999999998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0.29859999999999998</v>
      </c>
      <c r="AR15" s="3">
        <v>0.14000000000000001</v>
      </c>
      <c r="AS15" s="3">
        <f>IF($E15="〇",AR15*基本シート!$E$2,AR15*VLOOKUP(LEFT(AS$6,FIND("(",AS$6)-1),基本シート!$B$6:$C$29,2,FALSE))</f>
        <v>4.1804000000000006</v>
      </c>
      <c r="AT15" s="3">
        <v>2.02</v>
      </c>
      <c r="AU15" s="3">
        <f>IF($E15="〇",AT15*基本シート!$E$2,AT15*VLOOKUP(LEFT(AU$6,FIND("(",AU$6)-1),基本シート!$B$6:$C$29,2,FALSE))</f>
        <v>60.3172</v>
      </c>
      <c r="AV15" s="3">
        <v>0.83</v>
      </c>
      <c r="AW15" s="3">
        <f>IF($E15="〇",AV15*基本シート!$E$2,AV15*VLOOKUP(LEFT(AW$6,FIND("(",AW$6)-1),基本シート!$B$6:$C$29,2,FALSE))</f>
        <v>24.783799999999999</v>
      </c>
      <c r="AX15" s="3">
        <v>0.6</v>
      </c>
      <c r="AY15" s="3">
        <f>IF($E15="〇",AX15*基本シート!$E$2,AX15*VLOOKUP(LEFT(AY$6,FIND("(",AY$6)-1),基本シート!$B$6:$C$29,2,FALSE))</f>
        <v>17.916</v>
      </c>
      <c r="AZ15" s="3">
        <v>0.53</v>
      </c>
      <c r="BA15" s="3">
        <f>IF($E15="〇",AZ15*基本シート!$E$2,AZ15*VLOOKUP(LEFT(BA$6,FIND("(",BA$6)-1),基本シート!$B$6:$C$29,2,FALSE))</f>
        <v>15.825800000000001</v>
      </c>
      <c r="BB15" s="3">
        <v>0.55000000000000004</v>
      </c>
      <c r="BC15" s="3">
        <f>IF($E15="〇",BB15*基本シート!$E$2,BB15*VLOOKUP(LEFT(BC$6,FIND("(",BC$6)-1),基本シート!$B$6:$C$29,2,FALSE))</f>
        <v>16.423000000000002</v>
      </c>
      <c r="BD15" s="3">
        <f t="shared" si="7"/>
        <v>9.24</v>
      </c>
      <c r="BE15" s="3">
        <f t="shared" si="8"/>
        <v>276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0.13</v>
      </c>
      <c r="BN15" s="3">
        <v>1.69</v>
      </c>
      <c r="BO15" s="3">
        <v>5.34</v>
      </c>
      <c r="BP15" s="3">
        <v>5.88</v>
      </c>
      <c r="BQ15" s="3">
        <v>5.68</v>
      </c>
      <c r="BR15" s="3">
        <v>4.49</v>
      </c>
      <c r="BS15" s="3">
        <v>3.91</v>
      </c>
      <c r="BT15" s="3">
        <v>1.45</v>
      </c>
      <c r="BU15" s="3">
        <v>0.93</v>
      </c>
      <c r="BV15" s="3">
        <v>0.05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0.04</v>
      </c>
      <c r="CU15" s="3">
        <f>CT15*基本シート!$C$3</f>
        <v>0.64</v>
      </c>
      <c r="CV15" s="3">
        <v>0.2</v>
      </c>
      <c r="CW15" s="3">
        <f>CV15*基本シート!$C$3</f>
        <v>3.2</v>
      </c>
      <c r="CX15" s="3">
        <v>4.2699999999999996</v>
      </c>
      <c r="CY15" s="3">
        <f>CX15*基本シート!$C$3</f>
        <v>68.319999999999993</v>
      </c>
      <c r="CZ15" s="3">
        <v>5.31</v>
      </c>
      <c r="DA15" s="3">
        <f>CZ15*基本シート!$C$3</f>
        <v>84.96</v>
      </c>
      <c r="DB15" s="3">
        <v>4.1100000000000003</v>
      </c>
      <c r="DC15" s="3">
        <f>DB15*基本シート!$C$3</f>
        <v>65.760000000000005</v>
      </c>
      <c r="DD15" s="3">
        <v>3.56</v>
      </c>
      <c r="DE15" s="3">
        <f>DD15*基本シート!$C$3</f>
        <v>56.96</v>
      </c>
      <c r="DF15" s="3">
        <v>1.1000000000000001</v>
      </c>
      <c r="DG15" s="3">
        <f>DF15*基本シート!$C$3</f>
        <v>17.600000000000001</v>
      </c>
      <c r="DH15" s="3">
        <v>0.57999999999999996</v>
      </c>
      <c r="DI15" s="3">
        <f>DH15*基本シート!$C$3</f>
        <v>9.2799999999999994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19.200000000000003</v>
      </c>
      <c r="EA15" s="3">
        <f>ROUND(DZ15*基本シート!$C$3,0)</f>
        <v>307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0.04</v>
      </c>
      <c r="EH15" s="3">
        <v>0.03</v>
      </c>
      <c r="EI15" s="3">
        <v>0.01</v>
      </c>
      <c r="EJ15" s="3">
        <v>1.22</v>
      </c>
      <c r="EK15" s="3">
        <v>4.22</v>
      </c>
      <c r="EL15" s="3">
        <v>1.05</v>
      </c>
      <c r="EM15" s="3">
        <v>0</v>
      </c>
      <c r="EN15" s="3">
        <v>0</v>
      </c>
      <c r="EO15" s="3">
        <v>0</v>
      </c>
      <c r="EP15" s="3">
        <v>0.01</v>
      </c>
      <c r="EQ15" s="3">
        <v>0</v>
      </c>
      <c r="ER15" s="3">
        <v>0</v>
      </c>
      <c r="ES15" s="3">
        <v>0</v>
      </c>
      <c r="ET15" s="3">
        <v>0</v>
      </c>
      <c r="EU15" s="3">
        <v>0.03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6.92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0.97</v>
      </c>
      <c r="FR15" s="3">
        <v>2.19</v>
      </c>
      <c r="FS15" s="3">
        <v>2.29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5.46</v>
      </c>
      <c r="FZ15" s="3">
        <v>0.56000000000000005</v>
      </c>
      <c r="GA15" s="3">
        <v>0.5</v>
      </c>
      <c r="GB15" s="3">
        <v>0.56000000000000005</v>
      </c>
      <c r="GC15" s="3">
        <v>0.53</v>
      </c>
      <c r="GD15" s="3">
        <v>0.55000000000000004</v>
      </c>
      <c r="GE15" s="3">
        <v>0.53</v>
      </c>
      <c r="GF15" s="3">
        <v>0.53</v>
      </c>
      <c r="GG15" s="3">
        <v>0.65</v>
      </c>
      <c r="GH15" s="3">
        <v>0.51</v>
      </c>
      <c r="GI15" s="3">
        <v>0.92</v>
      </c>
      <c r="GJ15" s="3">
        <v>0.56000000000000005</v>
      </c>
      <c r="GK15" s="3">
        <v>0.37</v>
      </c>
      <c r="GL15" s="3">
        <v>0.39</v>
      </c>
      <c r="GM15" s="3">
        <v>0.35</v>
      </c>
      <c r="GN15" s="3">
        <v>0.34</v>
      </c>
      <c r="GO15" s="3">
        <v>0.35</v>
      </c>
      <c r="GP15" s="3">
        <v>1.01</v>
      </c>
      <c r="GQ15" s="3">
        <v>2.19</v>
      </c>
      <c r="GR15" s="3">
        <v>2.42</v>
      </c>
      <c r="GS15" s="3">
        <v>1.99</v>
      </c>
      <c r="GT15" s="3">
        <v>0.79</v>
      </c>
      <c r="GU15" s="3">
        <v>0.56000000000000005</v>
      </c>
      <c r="GV15" s="3">
        <v>0.49</v>
      </c>
      <c r="GW15" s="3">
        <v>0.51</v>
      </c>
      <c r="GX15" s="3">
        <f t="shared" si="13"/>
        <v>18.159999999999997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>TEXT(VLOOKUP(LEFT(B16,FIND("月",B16)),基本シート!$E$6:$F$17,2,FALSE)&amp;B16,"aaaa")</f>
        <v>日曜日</v>
      </c>
      <c r="D16" s="6"/>
      <c r="E16" s="6" t="str">
        <f t="shared" si="9"/>
        <v>〇</v>
      </c>
      <c r="F16" s="6" t="s">
        <v>301</v>
      </c>
      <c r="G16" s="6" t="s">
        <v>299</v>
      </c>
      <c r="H16" s="3">
        <v>0.52</v>
      </c>
      <c r="I16" s="3">
        <f>IF($E16="〇",H16*基本シート!$E$2,H16*VLOOKUP(LEFT(I$6,FIND("(",I$6)-1),基本シート!$B$6:$C$29,2,FALSE))</f>
        <v>15.527200000000001</v>
      </c>
      <c r="J16" s="3">
        <v>0.52</v>
      </c>
      <c r="K16" s="3">
        <f>IF($E16="〇",J16*基本シート!$E$2,J16*VLOOKUP(LEFT(K$6,FIND("(",K$6)-1),基本シート!$B$6:$C$29,2,FALSE))</f>
        <v>15.527200000000001</v>
      </c>
      <c r="L16" s="3">
        <v>0.52</v>
      </c>
      <c r="M16" s="3">
        <f>IF($E16="〇",L16*基本シート!$E$2,L16*VLOOKUP(LEFT(M$6,FIND("(",M$6)-1),基本シート!$B$6:$C$29,2,FALSE))</f>
        <v>15.527200000000001</v>
      </c>
      <c r="N16" s="3">
        <v>0.49</v>
      </c>
      <c r="O16" s="3">
        <f>IF($E16="〇",N16*基本シート!$E$2,N16*VLOOKUP(LEFT(O$6,FIND("(",O$6)-1),基本シート!$B$6:$C$29,2,FALSE))</f>
        <v>14.631399999999999</v>
      </c>
      <c r="P16" s="3">
        <v>0.56000000000000005</v>
      </c>
      <c r="Q16" s="3">
        <f>IF($E16="〇",P16*基本シート!$E$2,P16*VLOOKUP(LEFT(Q$6,FIND("(",Q$6)-1),基本シート!$B$6:$C$29,2,FALSE))</f>
        <v>16.721600000000002</v>
      </c>
      <c r="R16" s="3">
        <v>0.54</v>
      </c>
      <c r="S16" s="3">
        <f>IF($E16="〇",R16*基本シート!$E$2,R16*VLOOKUP(LEFT(S$6,FIND("(",S$6)-1),基本シート!$B$6:$C$29,2,FALSE))</f>
        <v>16.124400000000001</v>
      </c>
      <c r="T16" s="3">
        <v>0.48</v>
      </c>
      <c r="U16" s="3">
        <f>IF($E16="〇",T16*基本シート!$E$2,T16*VLOOKUP(LEFT(U$6,FIND("(",U$6)-1),基本シート!$B$6:$C$29,2,FALSE))</f>
        <v>14.332799999999999</v>
      </c>
      <c r="V16" s="3">
        <v>0.03</v>
      </c>
      <c r="W16" s="3">
        <f>IF($E16="〇",V16*基本シート!$E$2,V16*VLOOKUP(LEFT(W$6,FIND("(",W$6)-1),基本シート!$B$6:$C$29,2,FALSE))</f>
        <v>0.89579999999999993</v>
      </c>
      <c r="X16" s="3">
        <v>0.01</v>
      </c>
      <c r="Y16" s="3">
        <f>IF($E16="〇",X16*基本シート!$E$2,X16*VLOOKUP(LEFT(Y$6,FIND("(",Y$6)-1),基本シート!$B$6:$C$29,2,FALSE))</f>
        <v>0.29859999999999998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0.02</v>
      </c>
      <c r="AO16" s="3">
        <f>IF($E16="〇",AN16*基本シート!$E$2,AN16*VLOOKUP(LEFT(AO$6,FIND("(",AO$6)-1),基本シート!$B$6:$C$29,2,FALSE))</f>
        <v>0.59719999999999995</v>
      </c>
      <c r="AP16" s="3">
        <v>7.0000000000000007E-2</v>
      </c>
      <c r="AQ16" s="3">
        <f>IF($E16="〇",AP16*基本シート!$E$2,AP16*VLOOKUP(LEFT(AQ$6,FIND("(",AQ$6)-1),基本シート!$B$6:$C$29,2,FALSE))</f>
        <v>2.0902000000000003</v>
      </c>
      <c r="AR16" s="3">
        <v>0.69</v>
      </c>
      <c r="AS16" s="3">
        <f>IF($E16="〇",AR16*基本シート!$E$2,AR16*VLOOKUP(LEFT(AS$6,FIND("(",AS$6)-1),基本シート!$B$6:$C$29,2,FALSE))</f>
        <v>20.603399999999997</v>
      </c>
      <c r="AT16" s="3">
        <v>1.63</v>
      </c>
      <c r="AU16" s="3">
        <f>IF($E16="〇",AT16*基本シート!$E$2,AT16*VLOOKUP(LEFT(AU$6,FIND("(",AU$6)-1),基本シート!$B$6:$C$29,2,FALSE))</f>
        <v>48.671799999999998</v>
      </c>
      <c r="AV16" s="3">
        <v>0.62</v>
      </c>
      <c r="AW16" s="3">
        <f>IF($E16="〇",AV16*基本シート!$E$2,AV16*VLOOKUP(LEFT(AW$6,FIND("(",AW$6)-1),基本シート!$B$6:$C$29,2,FALSE))</f>
        <v>18.513200000000001</v>
      </c>
      <c r="AX16" s="3">
        <v>0.6</v>
      </c>
      <c r="AY16" s="3">
        <f>IF($E16="〇",AX16*基本シート!$E$2,AX16*VLOOKUP(LEFT(AY$6,FIND("(",AY$6)-1),基本シート!$B$6:$C$29,2,FALSE))</f>
        <v>17.916</v>
      </c>
      <c r="AZ16" s="3">
        <v>0.5</v>
      </c>
      <c r="BA16" s="3">
        <f>IF($E16="〇",AZ16*基本シート!$E$2,AZ16*VLOOKUP(LEFT(BA$6,FIND("(",BA$6)-1),基本シート!$B$6:$C$29,2,FALSE))</f>
        <v>14.93</v>
      </c>
      <c r="BB16" s="3">
        <v>0.5</v>
      </c>
      <c r="BC16" s="3">
        <f>IF($E16="〇",BB16*基本シート!$E$2,BB16*VLOOKUP(LEFT(BC$6,FIND("(",BC$6)-1),基本シート!$B$6:$C$29,2,FALSE))</f>
        <v>14.93</v>
      </c>
      <c r="BD16" s="3">
        <f t="shared" si="7"/>
        <v>8.2999999999999989</v>
      </c>
      <c r="BE16" s="3">
        <f t="shared" si="8"/>
        <v>248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0.09</v>
      </c>
      <c r="BM16" s="3">
        <v>1.32</v>
      </c>
      <c r="BN16" s="3">
        <v>3.71</v>
      </c>
      <c r="BO16" s="3">
        <v>5.23</v>
      </c>
      <c r="BP16" s="3">
        <v>5.89</v>
      </c>
      <c r="BQ16" s="3">
        <v>6.09</v>
      </c>
      <c r="BR16" s="3">
        <v>5.7</v>
      </c>
      <c r="BS16" s="3">
        <v>4.66</v>
      </c>
      <c r="BT16" s="3">
        <v>2.95</v>
      </c>
      <c r="BU16" s="3">
        <v>0.86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2.2000000000000002</v>
      </c>
      <c r="CW16" s="3">
        <f>CV16*基本シート!$C$3</f>
        <v>35.200000000000003</v>
      </c>
      <c r="CX16" s="3">
        <v>5.5</v>
      </c>
      <c r="CY16" s="3">
        <f>CX16*基本シート!$C$3</f>
        <v>88</v>
      </c>
      <c r="CZ16" s="3">
        <v>5.72</v>
      </c>
      <c r="DA16" s="3">
        <f>CZ16*基本シート!$C$3</f>
        <v>91.52</v>
      </c>
      <c r="DB16" s="3">
        <v>5.38</v>
      </c>
      <c r="DC16" s="3">
        <f>DB16*基本シート!$C$3</f>
        <v>86.08</v>
      </c>
      <c r="DD16" s="3">
        <v>4.34</v>
      </c>
      <c r="DE16" s="3">
        <f>DD16*基本シート!$C$3</f>
        <v>69.44</v>
      </c>
      <c r="DF16" s="3">
        <v>2.6</v>
      </c>
      <c r="DG16" s="3">
        <f>DF16*基本シート!$C$3</f>
        <v>41.6</v>
      </c>
      <c r="DH16" s="3">
        <v>0.57999999999999996</v>
      </c>
      <c r="DI16" s="3">
        <f>DH16*基本シート!$C$3</f>
        <v>9.2799999999999994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26.360000000000003</v>
      </c>
      <c r="EA16" s="3">
        <f>ROUND(DZ16*基本シート!$C$3,0)</f>
        <v>422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0.04</v>
      </c>
      <c r="EH16" s="3">
        <v>0</v>
      </c>
      <c r="EI16" s="3">
        <v>0.64</v>
      </c>
      <c r="EJ16" s="3">
        <v>3.31</v>
      </c>
      <c r="EK16" s="3">
        <v>2.6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0.02</v>
      </c>
      <c r="EX16" s="3">
        <v>0.03</v>
      </c>
      <c r="EY16" s="3">
        <v>0.02</v>
      </c>
      <c r="EZ16" s="3">
        <f t="shared" si="11"/>
        <v>6.9200000000000008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0.22</v>
      </c>
      <c r="FQ16" s="3">
        <v>1.5</v>
      </c>
      <c r="FR16" s="3">
        <v>2.16</v>
      </c>
      <c r="FS16" s="3">
        <v>1.68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5.56</v>
      </c>
      <c r="FZ16" s="3">
        <v>0.48</v>
      </c>
      <c r="GA16" s="3">
        <v>0.48</v>
      </c>
      <c r="GB16" s="3">
        <v>0.48</v>
      </c>
      <c r="GC16" s="3">
        <v>0.45</v>
      </c>
      <c r="GD16" s="3">
        <v>0.52</v>
      </c>
      <c r="GE16" s="3">
        <v>0.5</v>
      </c>
      <c r="GF16" s="3">
        <v>0.56999999999999995</v>
      </c>
      <c r="GG16" s="3">
        <v>0.71</v>
      </c>
      <c r="GH16" s="3">
        <v>0.4</v>
      </c>
      <c r="GI16" s="3">
        <v>0.43</v>
      </c>
      <c r="GJ16" s="3">
        <v>0.39</v>
      </c>
      <c r="GK16" s="3">
        <v>0.37</v>
      </c>
      <c r="GL16" s="3">
        <v>0.32</v>
      </c>
      <c r="GM16" s="3">
        <v>0.32</v>
      </c>
      <c r="GN16" s="3">
        <v>0.35</v>
      </c>
      <c r="GO16" s="3">
        <v>0.5</v>
      </c>
      <c r="GP16" s="3">
        <v>1.51</v>
      </c>
      <c r="GQ16" s="3">
        <v>2.2200000000000002</v>
      </c>
      <c r="GR16" s="3">
        <v>2.36</v>
      </c>
      <c r="GS16" s="3">
        <v>1.6</v>
      </c>
      <c r="GT16" s="3">
        <v>0.59</v>
      </c>
      <c r="GU16" s="3">
        <v>0.57999999999999996</v>
      </c>
      <c r="GV16" s="3">
        <v>0.47</v>
      </c>
      <c r="GW16" s="3">
        <v>0.48</v>
      </c>
      <c r="GX16" s="3">
        <f t="shared" si="13"/>
        <v>17.079999999999998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>TEXT(VLOOKUP(LEFT(B17,FIND("月",B17)),基本シート!$E$6:$F$17,2,FALSE)&amp;B17,"aaaa")</f>
        <v>月曜日</v>
      </c>
      <c r="D17" s="6"/>
      <c r="E17" s="6" t="str">
        <f t="shared" si="9"/>
        <v/>
      </c>
      <c r="F17" s="6" t="s">
        <v>301</v>
      </c>
      <c r="G17" s="6" t="s">
        <v>301</v>
      </c>
      <c r="H17" s="3">
        <v>0.46</v>
      </c>
      <c r="I17" s="3">
        <f>IF($E17="〇",H17*基本シート!$E$2,H17*VLOOKUP(LEFT(I$6,FIND("(",I$6)-1),基本シート!$B$6:$C$29,2,FALSE))</f>
        <v>13.7356</v>
      </c>
      <c r="J17" s="3">
        <v>0.49</v>
      </c>
      <c r="K17" s="3">
        <f>IF($E17="〇",J17*基本シート!$E$2,J17*VLOOKUP(LEFT(K$6,FIND("(",K$6)-1),基本シート!$B$6:$C$29,2,FALSE))</f>
        <v>14.631399999999999</v>
      </c>
      <c r="L17" s="3">
        <v>0.46</v>
      </c>
      <c r="M17" s="3">
        <f>IF($E17="〇",L17*基本シート!$E$2,L17*VLOOKUP(LEFT(M$6,FIND("(",M$6)-1),基本シート!$B$6:$C$29,2,FALSE))</f>
        <v>13.7356</v>
      </c>
      <c r="N17" s="3">
        <v>0.52</v>
      </c>
      <c r="O17" s="3">
        <f>IF($E17="〇",N17*基本シート!$E$2,N17*VLOOKUP(LEFT(O$6,FIND("(",O$6)-1),基本シート!$B$6:$C$29,2,FALSE))</f>
        <v>15.527200000000001</v>
      </c>
      <c r="P17" s="3">
        <v>0.67</v>
      </c>
      <c r="Q17" s="3">
        <f>IF($E17="〇",P17*基本シート!$E$2,P17*VLOOKUP(LEFT(Q$6,FIND("(",Q$6)-1),基本シート!$B$6:$C$29,2,FALSE))</f>
        <v>20.0062</v>
      </c>
      <c r="R17" s="3">
        <v>0.53</v>
      </c>
      <c r="S17" s="3">
        <f>IF($E17="〇",R17*基本シート!$E$2,R17*VLOOKUP(LEFT(S$6,FIND("(",S$6)-1),基本シート!$B$6:$C$29,2,FALSE))</f>
        <v>15.825800000000001</v>
      </c>
      <c r="T17" s="3">
        <v>0.78</v>
      </c>
      <c r="U17" s="3">
        <f>IF($E17="〇",T17*基本シート!$E$2,T17*VLOOKUP(LEFT(U$6,FIND("(",U$6)-1),基本シート!$B$6:$C$29,2,FALSE))</f>
        <v>23.290800000000001</v>
      </c>
      <c r="V17" s="3">
        <v>0.11</v>
      </c>
      <c r="W17" s="3">
        <f>IF($E17="〇",V17*基本シート!$E$2,V17*VLOOKUP(LEFT(W$6,FIND("(",W$6)-1),基本シート!$B$6:$C$29,2,FALSE))</f>
        <v>4.0545999999999998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0.03</v>
      </c>
      <c r="AQ17" s="3">
        <f>IF($E17="〇",AP17*基本シート!$E$2,AP17*VLOOKUP(LEFT(AQ$6,FIND("(",AQ$6)-1),基本シート!$B$6:$C$29,2,FALSE))</f>
        <v>1.1057999999999999</v>
      </c>
      <c r="AR17" s="3">
        <v>0.44</v>
      </c>
      <c r="AS17" s="3">
        <f>IF($E17="〇",AR17*基本シート!$E$2,AR17*VLOOKUP(LEFT(AS$6,FIND("(",AS$6)-1),基本シート!$B$6:$C$29,2,FALSE))</f>
        <v>16.218399999999999</v>
      </c>
      <c r="AT17" s="3">
        <v>1.08</v>
      </c>
      <c r="AU17" s="3">
        <f>IF($E17="〇",AT17*基本シート!$E$2,AT17*VLOOKUP(LEFT(AU$6,FIND("(",AU$6)-1),基本シート!$B$6:$C$29,2,FALSE))</f>
        <v>39.808800000000005</v>
      </c>
      <c r="AV17" s="3">
        <v>0.74</v>
      </c>
      <c r="AW17" s="3">
        <f>IF($E17="〇",AV17*基本シート!$E$2,AV17*VLOOKUP(LEFT(AW$6,FIND("(",AW$6)-1),基本シート!$B$6:$C$29,2,FALSE))</f>
        <v>27.276399999999999</v>
      </c>
      <c r="AX17" s="3">
        <v>0.5</v>
      </c>
      <c r="AY17" s="3">
        <f>IF($E17="〇",AX17*基本シート!$E$2,AX17*VLOOKUP(LEFT(AY$6,FIND("(",AY$6)-1),基本シート!$B$6:$C$29,2,FALSE))</f>
        <v>14.93</v>
      </c>
      <c r="AZ17" s="3">
        <v>0.47</v>
      </c>
      <c r="BA17" s="3">
        <f>IF($E17="〇",AZ17*基本シート!$E$2,AZ17*VLOOKUP(LEFT(BA$6,FIND("(",BA$6)-1),基本シート!$B$6:$C$29,2,FALSE))</f>
        <v>14.034199999999998</v>
      </c>
      <c r="BB17" s="3">
        <v>0.49</v>
      </c>
      <c r="BC17" s="3">
        <f>IF($E17="〇",BB17*基本シート!$E$2,BB17*VLOOKUP(LEFT(BC$6,FIND("(",BC$6)-1),基本シート!$B$6:$C$29,2,FALSE))</f>
        <v>14.631399999999999</v>
      </c>
      <c r="BD17" s="3">
        <f t="shared" si="7"/>
        <v>7.7700000000000014</v>
      </c>
      <c r="BE17" s="3">
        <f t="shared" si="8"/>
        <v>249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1.32</v>
      </c>
      <c r="BN17" s="3">
        <v>3.8</v>
      </c>
      <c r="BO17" s="3">
        <v>5.14</v>
      </c>
      <c r="BP17" s="3">
        <v>5.68</v>
      </c>
      <c r="BQ17" s="3">
        <v>6.05</v>
      </c>
      <c r="BR17" s="3">
        <v>1.42</v>
      </c>
      <c r="BS17" s="3">
        <v>0.9</v>
      </c>
      <c r="BT17" s="3">
        <v>2.7</v>
      </c>
      <c r="BU17" s="3">
        <v>0.88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2.23</v>
      </c>
      <c r="CW17" s="3">
        <f>CV17*基本シート!$C$3</f>
        <v>35.68</v>
      </c>
      <c r="CX17" s="3">
        <v>5.29</v>
      </c>
      <c r="CY17" s="3">
        <f>CX17*基本シート!$C$3</f>
        <v>84.64</v>
      </c>
      <c r="CZ17" s="3">
        <v>5.68</v>
      </c>
      <c r="DA17" s="3">
        <f>CZ17*基本シート!$C$3</f>
        <v>90.88</v>
      </c>
      <c r="DB17" s="3">
        <v>1.0900000000000001</v>
      </c>
      <c r="DC17" s="3">
        <f>DB17*基本シート!$C$3</f>
        <v>17.440000000000001</v>
      </c>
      <c r="DD17" s="3">
        <v>0.54</v>
      </c>
      <c r="DE17" s="3">
        <f>DD17*基本シート!$C$3</f>
        <v>8.64</v>
      </c>
      <c r="DF17" s="3">
        <v>2.34</v>
      </c>
      <c r="DG17" s="3">
        <f>DF17*基本シート!$C$3</f>
        <v>37.44</v>
      </c>
      <c r="DH17" s="3">
        <v>0.55000000000000004</v>
      </c>
      <c r="DI17" s="3">
        <f>DH17*基本シート!$C$3</f>
        <v>8.8000000000000007</v>
      </c>
      <c r="DJ17" s="3">
        <v>0</v>
      </c>
      <c r="DK17" s="3">
        <f>DJ17*基本シート!$C$3</f>
        <v>0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17.740000000000002</v>
      </c>
      <c r="EA17" s="3">
        <f>ROUND(DZ17*基本シート!$C$3,0)</f>
        <v>284</v>
      </c>
      <c r="EB17" s="3">
        <v>0.02</v>
      </c>
      <c r="EC17" s="3">
        <v>0.03</v>
      </c>
      <c r="ED17" s="3">
        <v>0.04</v>
      </c>
      <c r="EE17" s="3">
        <v>0.05</v>
      </c>
      <c r="EF17" s="3">
        <v>0.04</v>
      </c>
      <c r="EG17" s="3">
        <v>0.03</v>
      </c>
      <c r="EH17" s="3">
        <v>0.02</v>
      </c>
      <c r="EI17" s="3">
        <v>0.83</v>
      </c>
      <c r="EJ17" s="3">
        <v>3.4</v>
      </c>
      <c r="EK17" s="3">
        <v>2.52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0.05</v>
      </c>
      <c r="EX17" s="3">
        <v>0.03</v>
      </c>
      <c r="EY17" s="3">
        <v>0.05</v>
      </c>
      <c r="EZ17" s="3">
        <f t="shared" si="11"/>
        <v>7.1700000000000008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0.03</v>
      </c>
      <c r="FQ17" s="3">
        <v>0.96</v>
      </c>
      <c r="FR17" s="3">
        <v>2.48</v>
      </c>
      <c r="FS17" s="3">
        <v>2.0299999999999998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5.5</v>
      </c>
      <c r="FZ17" s="3">
        <v>0.44</v>
      </c>
      <c r="GA17" s="3">
        <v>0.46</v>
      </c>
      <c r="GB17" s="3">
        <v>0.42</v>
      </c>
      <c r="GC17" s="3">
        <v>0.47</v>
      </c>
      <c r="GD17" s="3">
        <v>0.63</v>
      </c>
      <c r="GE17" s="3">
        <v>0.5</v>
      </c>
      <c r="GF17" s="3">
        <v>0.78</v>
      </c>
      <c r="GG17" s="3">
        <v>0.6</v>
      </c>
      <c r="GH17" s="3">
        <v>0.39</v>
      </c>
      <c r="GI17" s="3">
        <v>0.39</v>
      </c>
      <c r="GJ17" s="3">
        <v>0.39</v>
      </c>
      <c r="GK17" s="3">
        <v>0.37</v>
      </c>
      <c r="GL17" s="3">
        <v>0.33</v>
      </c>
      <c r="GM17" s="3">
        <v>0.36</v>
      </c>
      <c r="GN17" s="3">
        <v>0.36</v>
      </c>
      <c r="GO17" s="3">
        <v>0.36</v>
      </c>
      <c r="GP17" s="3">
        <v>0.97</v>
      </c>
      <c r="GQ17" s="3">
        <v>2.5</v>
      </c>
      <c r="GR17" s="3">
        <v>2.4700000000000002</v>
      </c>
      <c r="GS17" s="3">
        <v>1.05</v>
      </c>
      <c r="GT17" s="3">
        <v>0.71</v>
      </c>
      <c r="GU17" s="3">
        <v>0.45</v>
      </c>
      <c r="GV17" s="3">
        <v>0.44</v>
      </c>
      <c r="GW17" s="3">
        <v>0.44</v>
      </c>
      <c r="GX17" s="3">
        <f t="shared" si="13"/>
        <v>16.28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>TEXT(VLOOKUP(LEFT(B18,FIND("月",B18)),基本シート!$E$6:$F$17,2,FALSE)&amp;B18,"aaaa")</f>
        <v>火曜日</v>
      </c>
      <c r="D18" s="6"/>
      <c r="E18" s="6" t="str">
        <f t="shared" si="9"/>
        <v/>
      </c>
      <c r="F18" s="6" t="s">
        <v>299</v>
      </c>
      <c r="G18" s="6" t="s">
        <v>300</v>
      </c>
      <c r="H18" s="3">
        <v>0.51</v>
      </c>
      <c r="I18" s="3">
        <f>IF($E18="〇",H18*基本シート!$E$2,H18*VLOOKUP(LEFT(I$6,FIND("(",I$6)-1),基本シート!$B$6:$C$29,2,FALSE))</f>
        <v>15.2286</v>
      </c>
      <c r="J18" s="3">
        <v>0.51</v>
      </c>
      <c r="K18" s="3">
        <f>IF($E18="〇",J18*基本シート!$E$2,J18*VLOOKUP(LEFT(K$6,FIND("(",K$6)-1),基本シート!$B$6:$C$29,2,FALSE))</f>
        <v>15.2286</v>
      </c>
      <c r="L18" s="3">
        <v>0.5</v>
      </c>
      <c r="M18" s="3">
        <f>IF($E18="〇",L18*基本シート!$E$2,L18*VLOOKUP(LEFT(M$6,FIND("(",M$6)-1),基本シート!$B$6:$C$29,2,FALSE))</f>
        <v>14.93</v>
      </c>
      <c r="N18" s="3">
        <v>0.53</v>
      </c>
      <c r="O18" s="3">
        <f>IF($E18="〇",N18*基本シート!$E$2,N18*VLOOKUP(LEFT(O$6,FIND("(",O$6)-1),基本シート!$B$6:$C$29,2,FALSE))</f>
        <v>15.825800000000001</v>
      </c>
      <c r="P18" s="3">
        <v>0.72</v>
      </c>
      <c r="Q18" s="3">
        <f>IF($E18="〇",P18*基本シート!$E$2,P18*VLOOKUP(LEFT(Q$6,FIND("(",Q$6)-1),基本シート!$B$6:$C$29,2,FALSE))</f>
        <v>21.499199999999998</v>
      </c>
      <c r="R18" s="3">
        <v>0.63</v>
      </c>
      <c r="S18" s="3">
        <f>IF($E18="〇",R18*基本シート!$E$2,R18*VLOOKUP(LEFT(S$6,FIND("(",S$6)-1),基本シート!$B$6:$C$29,2,FALSE))</f>
        <v>18.811799999999998</v>
      </c>
      <c r="T18" s="3">
        <v>0.63</v>
      </c>
      <c r="U18" s="3">
        <f>IF($E18="〇",T18*基本シート!$E$2,T18*VLOOKUP(LEFT(U$6,FIND("(",U$6)-1),基本シート!$B$6:$C$29,2,FALSE))</f>
        <v>18.811799999999998</v>
      </c>
      <c r="V18" s="3">
        <v>0.05</v>
      </c>
      <c r="W18" s="3">
        <f>IF($E18="〇",V18*基本シート!$E$2,V18*VLOOKUP(LEFT(W$6,FIND("(",W$6)-1),基本シート!$B$6:$C$29,2,FALSE))</f>
        <v>1.843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1.32</v>
      </c>
      <c r="AS18" s="3">
        <f>IF($E18="〇",AR18*基本シート!$E$2,AR18*VLOOKUP(LEFT(AS$6,FIND("(",AS$6)-1),基本シート!$B$6:$C$29,2,FALSE))</f>
        <v>48.655200000000001</v>
      </c>
      <c r="AT18" s="3">
        <v>1.49</v>
      </c>
      <c r="AU18" s="3">
        <f>IF($E18="〇",AT18*基本シート!$E$2,AT18*VLOOKUP(LEFT(AU$6,FIND("(",AU$6)-1),基本シート!$B$6:$C$29,2,FALSE))</f>
        <v>54.921399999999998</v>
      </c>
      <c r="AV18" s="3">
        <v>1.06</v>
      </c>
      <c r="AW18" s="3">
        <f>IF($E18="〇",AV18*基本シート!$E$2,AV18*VLOOKUP(LEFT(AW$6,FIND("(",AW$6)-1),基本シート!$B$6:$C$29,2,FALSE))</f>
        <v>39.071600000000004</v>
      </c>
      <c r="AX18" s="3">
        <v>0.55000000000000004</v>
      </c>
      <c r="AY18" s="3">
        <f>IF($E18="〇",AX18*基本シート!$E$2,AX18*VLOOKUP(LEFT(AY$6,FIND("(",AY$6)-1),基本シート!$B$6:$C$29,2,FALSE))</f>
        <v>16.423000000000002</v>
      </c>
      <c r="AZ18" s="3">
        <v>0.47</v>
      </c>
      <c r="BA18" s="3">
        <f>IF($E18="〇",AZ18*基本シート!$E$2,AZ18*VLOOKUP(LEFT(BA$6,FIND("(",BA$6)-1),基本シート!$B$6:$C$29,2,FALSE))</f>
        <v>14.034199999999998</v>
      </c>
      <c r="BB18" s="3">
        <v>0.48</v>
      </c>
      <c r="BC18" s="3">
        <f>IF($E18="〇",BB18*基本シート!$E$2,BB18*VLOOKUP(LEFT(BC$6,FIND("(",BC$6)-1),基本シート!$B$6:$C$29,2,FALSE))</f>
        <v>14.332799999999999</v>
      </c>
      <c r="BD18" s="3">
        <f t="shared" si="7"/>
        <v>9.4700000000000006</v>
      </c>
      <c r="BE18" s="3">
        <f t="shared" si="8"/>
        <v>310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0.04</v>
      </c>
      <c r="BM18" s="3">
        <v>1.05</v>
      </c>
      <c r="BN18" s="3">
        <v>3.92</v>
      </c>
      <c r="BO18" s="3">
        <v>4.71</v>
      </c>
      <c r="BP18" s="3">
        <v>4.3099999999999996</v>
      </c>
      <c r="BQ18" s="3">
        <v>2.69</v>
      </c>
      <c r="BR18" s="3">
        <v>2.89</v>
      </c>
      <c r="BS18" s="3">
        <v>3.51</v>
      </c>
      <c r="BT18" s="3">
        <v>1.94</v>
      </c>
      <c r="BU18" s="3">
        <v>0.28000000000000003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0.2</v>
      </c>
      <c r="CU18" s="3">
        <f>CT18*基本シート!$C$3</f>
        <v>3.2</v>
      </c>
      <c r="CV18" s="3">
        <v>1.49</v>
      </c>
      <c r="CW18" s="3">
        <f>CV18*基本シート!$C$3</f>
        <v>23.84</v>
      </c>
      <c r="CX18" s="3">
        <v>3.89</v>
      </c>
      <c r="CY18" s="3">
        <f>CX18*基本シート!$C$3</f>
        <v>62.24</v>
      </c>
      <c r="CZ18" s="3">
        <v>2.23</v>
      </c>
      <c r="DA18" s="3">
        <f>CZ18*基本シート!$C$3</f>
        <v>35.68</v>
      </c>
      <c r="DB18" s="3">
        <v>2.46</v>
      </c>
      <c r="DC18" s="3">
        <f>DB18*基本シート!$C$3</f>
        <v>39.36</v>
      </c>
      <c r="DD18" s="3">
        <v>3.05</v>
      </c>
      <c r="DE18" s="3">
        <f>DD18*基本シート!$C$3</f>
        <v>48.8</v>
      </c>
      <c r="DF18" s="3">
        <v>1.55</v>
      </c>
      <c r="DG18" s="3">
        <f>DF18*基本シート!$C$3</f>
        <v>24.8</v>
      </c>
      <c r="DH18" s="3">
        <v>0.02</v>
      </c>
      <c r="DI18" s="3">
        <f>DH18*基本シート!$C$3</f>
        <v>0.32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14.91</v>
      </c>
      <c r="EA18" s="3">
        <f>ROUND(DZ18*基本シート!$C$3,0)</f>
        <v>239</v>
      </c>
      <c r="EB18" s="3">
        <v>0.03</v>
      </c>
      <c r="EC18" s="3">
        <v>0.05</v>
      </c>
      <c r="ED18" s="3">
        <v>0.03</v>
      </c>
      <c r="EE18" s="3">
        <v>0.05</v>
      </c>
      <c r="EF18" s="3">
        <v>0.05</v>
      </c>
      <c r="EG18" s="3">
        <v>0.03</v>
      </c>
      <c r="EH18" s="3">
        <v>0.02</v>
      </c>
      <c r="EI18" s="3">
        <v>0.6</v>
      </c>
      <c r="EJ18" s="3">
        <v>3.32</v>
      </c>
      <c r="EK18" s="3">
        <v>2.79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0.04</v>
      </c>
      <c r="EZ18" s="3">
        <f t="shared" si="11"/>
        <v>7.1300000000000008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0.15</v>
      </c>
      <c r="FQ18" s="3">
        <v>1.49</v>
      </c>
      <c r="FR18" s="3">
        <v>2.3199999999999998</v>
      </c>
      <c r="FS18" s="3">
        <v>1.41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5.37</v>
      </c>
      <c r="FZ18" s="3">
        <v>0.48</v>
      </c>
      <c r="GA18" s="3">
        <v>0.46</v>
      </c>
      <c r="GB18" s="3">
        <v>0.47</v>
      </c>
      <c r="GC18" s="3">
        <v>0.48</v>
      </c>
      <c r="GD18" s="3">
        <v>0.67</v>
      </c>
      <c r="GE18" s="3">
        <v>0.6</v>
      </c>
      <c r="GF18" s="3">
        <v>0.65</v>
      </c>
      <c r="GG18" s="3">
        <v>0.5</v>
      </c>
      <c r="GH18" s="3">
        <v>0.4</v>
      </c>
      <c r="GI18" s="3">
        <v>0.43</v>
      </c>
      <c r="GJ18" s="3">
        <v>0.42</v>
      </c>
      <c r="GK18" s="3">
        <v>0.46</v>
      </c>
      <c r="GL18" s="3">
        <v>0.43</v>
      </c>
      <c r="GM18" s="3">
        <v>0.46</v>
      </c>
      <c r="GN18" s="3">
        <v>0.39</v>
      </c>
      <c r="GO18" s="3">
        <v>0.41</v>
      </c>
      <c r="GP18" s="3">
        <v>1.49</v>
      </c>
      <c r="GQ18" s="3">
        <v>2.3199999999999998</v>
      </c>
      <c r="GR18" s="3">
        <v>2.73</v>
      </c>
      <c r="GS18" s="3">
        <v>1.46</v>
      </c>
      <c r="GT18" s="3">
        <v>1.03</v>
      </c>
      <c r="GU18" s="3">
        <v>0.52</v>
      </c>
      <c r="GV18" s="3">
        <v>0.44</v>
      </c>
      <c r="GW18" s="3">
        <v>0.44</v>
      </c>
      <c r="GX18" s="3">
        <f t="shared" si="13"/>
        <v>18.140000000000004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>TEXT(VLOOKUP(LEFT(B19,FIND("月",B19)),基本シート!$E$6:$F$17,2,FALSE)&amp;B19,"aaaa")</f>
        <v>水曜日</v>
      </c>
      <c r="D19" s="6"/>
      <c r="E19" s="6" t="str">
        <f t="shared" si="9"/>
        <v/>
      </c>
      <c r="F19" s="6" t="s">
        <v>301</v>
      </c>
      <c r="G19" s="6" t="s">
        <v>301</v>
      </c>
      <c r="H19" s="3">
        <v>0.49</v>
      </c>
      <c r="I19" s="3">
        <f>IF($E19="〇",H19*基本シート!$E$2,H19*VLOOKUP(LEFT(I$6,FIND("(",I$6)-1),基本シート!$B$6:$C$29,2,FALSE))</f>
        <v>14.631399999999999</v>
      </c>
      <c r="J19" s="3">
        <v>0.47</v>
      </c>
      <c r="K19" s="3">
        <f>IF($E19="〇",J19*基本シート!$E$2,J19*VLOOKUP(LEFT(K$6,FIND("(",K$6)-1),基本シート!$B$6:$C$29,2,FALSE))</f>
        <v>14.034199999999998</v>
      </c>
      <c r="L19" s="3">
        <v>0.49</v>
      </c>
      <c r="M19" s="3">
        <f>IF($E19="〇",L19*基本シート!$E$2,L19*VLOOKUP(LEFT(M$6,FIND("(",M$6)-1),基本シート!$B$6:$C$29,2,FALSE))</f>
        <v>14.631399999999999</v>
      </c>
      <c r="N19" s="3">
        <v>0.47</v>
      </c>
      <c r="O19" s="3">
        <f>IF($E19="〇",N19*基本シート!$E$2,N19*VLOOKUP(LEFT(O$6,FIND("(",O$6)-1),基本シート!$B$6:$C$29,2,FALSE))</f>
        <v>14.034199999999998</v>
      </c>
      <c r="P19" s="3">
        <v>0.66</v>
      </c>
      <c r="Q19" s="3">
        <f>IF($E19="〇",P19*基本シート!$E$2,P19*VLOOKUP(LEFT(Q$6,FIND("(",Q$6)-1),基本シート!$B$6:$C$29,2,FALSE))</f>
        <v>19.707599999999999</v>
      </c>
      <c r="R19" s="3">
        <v>0.57999999999999996</v>
      </c>
      <c r="S19" s="3">
        <f>IF($E19="〇",R19*基本シート!$E$2,R19*VLOOKUP(LEFT(S$6,FIND("(",S$6)-1),基本シート!$B$6:$C$29,2,FALSE))</f>
        <v>17.3188</v>
      </c>
      <c r="T19" s="3">
        <v>0.68</v>
      </c>
      <c r="U19" s="3">
        <f>IF($E19="〇",T19*基本シート!$E$2,T19*VLOOKUP(LEFT(U$6,FIND("(",U$6)-1),基本シート!$B$6:$C$29,2,FALSE))</f>
        <v>20.3048</v>
      </c>
      <c r="V19" s="3">
        <v>0.02</v>
      </c>
      <c r="W19" s="3">
        <f>IF($E19="〇",V19*基本シート!$E$2,V19*VLOOKUP(LEFT(W$6,FIND("(",W$6)-1),基本シート!$B$6:$C$29,2,FALSE))</f>
        <v>0.73719999999999997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0.73719999999999997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0.82</v>
      </c>
      <c r="AS19" s="3">
        <f>IF($E19="〇",AR19*基本シート!$E$2,AR19*VLOOKUP(LEFT(AS$6,FIND("(",AS$6)-1),基本シート!$B$6:$C$29,2,FALSE))</f>
        <v>30.225199999999997</v>
      </c>
      <c r="AT19" s="3">
        <v>1.81</v>
      </c>
      <c r="AU19" s="3">
        <f>IF($E19="〇",AT19*基本シート!$E$2,AT19*VLOOKUP(LEFT(AU$6,FIND("(",AU$6)-1),基本シート!$B$6:$C$29,2,FALSE))</f>
        <v>66.7166</v>
      </c>
      <c r="AV19" s="3">
        <v>0.83</v>
      </c>
      <c r="AW19" s="3">
        <f>IF($E19="〇",AV19*基本シート!$E$2,AV19*VLOOKUP(LEFT(AW$6,FIND("(",AW$6)-1),基本シート!$B$6:$C$29,2,FALSE))</f>
        <v>30.593799999999998</v>
      </c>
      <c r="AX19" s="3">
        <v>0.97</v>
      </c>
      <c r="AY19" s="3">
        <f>IF($E19="〇",AX19*基本シート!$E$2,AX19*VLOOKUP(LEFT(AY$6,FIND("(",AY$6)-1),基本シート!$B$6:$C$29,2,FALSE))</f>
        <v>28.964199999999998</v>
      </c>
      <c r="AZ19" s="3">
        <v>0.61</v>
      </c>
      <c r="BA19" s="3">
        <f>IF($E19="〇",AZ19*基本シート!$E$2,AZ19*VLOOKUP(LEFT(BA$6,FIND("(",BA$6)-1),基本シート!$B$6:$C$29,2,FALSE))</f>
        <v>18.214600000000001</v>
      </c>
      <c r="BB19" s="3">
        <v>0.57999999999999996</v>
      </c>
      <c r="BC19" s="3">
        <f>IF($E19="〇",BB19*基本シート!$E$2,BB19*VLOOKUP(LEFT(BC$6,FIND("(",BC$6)-1),基本シート!$B$6:$C$29,2,FALSE))</f>
        <v>17.3188</v>
      </c>
      <c r="BD19" s="3">
        <f t="shared" si="7"/>
        <v>9.51</v>
      </c>
      <c r="BE19" s="3">
        <f t="shared" si="8"/>
        <v>309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0.08</v>
      </c>
      <c r="BM19" s="3">
        <v>1.27</v>
      </c>
      <c r="BN19" s="3">
        <v>3.59</v>
      </c>
      <c r="BO19" s="3">
        <v>5.18</v>
      </c>
      <c r="BP19" s="3">
        <v>5.82</v>
      </c>
      <c r="BQ19" s="3">
        <v>5.89</v>
      </c>
      <c r="BR19" s="3">
        <v>5.48</v>
      </c>
      <c r="BS19" s="3">
        <v>4.4400000000000004</v>
      </c>
      <c r="BT19" s="3">
        <v>2.81</v>
      </c>
      <c r="BU19" s="3">
        <v>0.85</v>
      </c>
      <c r="BV19" s="3">
        <v>0.01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2.14</v>
      </c>
      <c r="CW19" s="3">
        <f>CV19*基本シート!$C$3</f>
        <v>34.24</v>
      </c>
      <c r="CX19" s="3">
        <v>5.39</v>
      </c>
      <c r="CY19" s="3">
        <f>CX19*基本シート!$C$3</f>
        <v>86.24</v>
      </c>
      <c r="CZ19" s="3">
        <v>5.44</v>
      </c>
      <c r="DA19" s="3">
        <f>CZ19*基本シート!$C$3</f>
        <v>87.04</v>
      </c>
      <c r="DB19" s="3">
        <v>5.07</v>
      </c>
      <c r="DC19" s="3">
        <f>DB19*基本シート!$C$3</f>
        <v>81.12</v>
      </c>
      <c r="DD19" s="3">
        <v>4.03</v>
      </c>
      <c r="DE19" s="3">
        <f>DD19*基本シート!$C$3</f>
        <v>64.48</v>
      </c>
      <c r="DF19" s="3">
        <v>2.4</v>
      </c>
      <c r="DG19" s="3">
        <f>DF19*基本シート!$C$3</f>
        <v>38.4</v>
      </c>
      <c r="DH19" s="3">
        <v>0.49</v>
      </c>
      <c r="DI19" s="3">
        <f>DH19*基本シート!$C$3</f>
        <v>7.84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24.98</v>
      </c>
      <c r="EA19" s="3">
        <f>ROUND(DZ19*基本シート!$C$3,0)</f>
        <v>400</v>
      </c>
      <c r="EB19" s="3">
        <v>0.05</v>
      </c>
      <c r="EC19" s="3">
        <v>0.03</v>
      </c>
      <c r="ED19" s="3">
        <v>0.04</v>
      </c>
      <c r="EE19" s="3">
        <v>0.04</v>
      </c>
      <c r="EF19" s="3">
        <v>0.03</v>
      </c>
      <c r="EG19" s="3">
        <v>0.04</v>
      </c>
      <c r="EH19" s="3">
        <v>0.03</v>
      </c>
      <c r="EI19" s="3">
        <v>0.75</v>
      </c>
      <c r="EJ19" s="3">
        <v>3.17</v>
      </c>
      <c r="EK19" s="3">
        <v>2.59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0.03</v>
      </c>
      <c r="EV19" s="3">
        <v>0.03</v>
      </c>
      <c r="EW19" s="3">
        <v>0.03</v>
      </c>
      <c r="EX19" s="3">
        <v>0.03</v>
      </c>
      <c r="EY19" s="3">
        <v>0.03</v>
      </c>
      <c r="EZ19" s="3">
        <f t="shared" si="11"/>
        <v>6.9200000000000008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0.01</v>
      </c>
      <c r="FN19" s="3">
        <v>0</v>
      </c>
      <c r="FO19" s="3">
        <v>0</v>
      </c>
      <c r="FP19" s="3">
        <v>0.04</v>
      </c>
      <c r="FQ19" s="3">
        <v>1.1200000000000001</v>
      </c>
      <c r="FR19" s="3">
        <v>2.4500000000000002</v>
      </c>
      <c r="FS19" s="3">
        <v>1.8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5.4300000000000006</v>
      </c>
      <c r="FZ19" s="3">
        <v>0.44</v>
      </c>
      <c r="GA19" s="3">
        <v>0.44</v>
      </c>
      <c r="GB19" s="3">
        <v>0.45</v>
      </c>
      <c r="GC19" s="3">
        <v>0.43</v>
      </c>
      <c r="GD19" s="3">
        <v>0.63</v>
      </c>
      <c r="GE19" s="3">
        <v>0.54</v>
      </c>
      <c r="GF19" s="3">
        <v>0.73</v>
      </c>
      <c r="GG19" s="3">
        <v>0.54</v>
      </c>
      <c r="GH19" s="3">
        <v>0.42</v>
      </c>
      <c r="GI19" s="3">
        <v>0.45</v>
      </c>
      <c r="GJ19" s="3">
        <v>0.44</v>
      </c>
      <c r="GK19" s="3">
        <v>0.45</v>
      </c>
      <c r="GL19" s="3">
        <v>0.42</v>
      </c>
      <c r="GM19" s="3">
        <v>0.41</v>
      </c>
      <c r="GN19" s="3">
        <v>0.41</v>
      </c>
      <c r="GO19" s="3">
        <v>0.4</v>
      </c>
      <c r="GP19" s="3">
        <v>1.1399999999999999</v>
      </c>
      <c r="GQ19" s="3">
        <v>2.4500000000000002</v>
      </c>
      <c r="GR19" s="3">
        <v>2.62</v>
      </c>
      <c r="GS19" s="3">
        <v>1.78</v>
      </c>
      <c r="GT19" s="3">
        <v>0.8</v>
      </c>
      <c r="GU19" s="3">
        <v>0.94</v>
      </c>
      <c r="GV19" s="3">
        <v>0.57999999999999996</v>
      </c>
      <c r="GW19" s="3">
        <v>0.55000000000000004</v>
      </c>
      <c r="GX19" s="3">
        <f t="shared" si="13"/>
        <v>18.46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>TEXT(VLOOKUP(LEFT(B20,FIND("月",B20)),基本シート!$E$6:$F$17,2,FALSE)&amp;B20,"aaaa")</f>
        <v>木曜日</v>
      </c>
      <c r="D20" s="6"/>
      <c r="E20" s="6" t="str">
        <f t="shared" si="9"/>
        <v/>
      </c>
      <c r="F20" s="6" t="s">
        <v>301</v>
      </c>
      <c r="G20" s="6" t="s">
        <v>299</v>
      </c>
      <c r="H20" s="3">
        <v>0.54</v>
      </c>
      <c r="I20" s="3">
        <f>IF($E20="〇",H20*基本シート!$E$2,H20*VLOOKUP(LEFT(I$6,FIND("(",I$6)-1),基本シート!$B$6:$C$29,2,FALSE))</f>
        <v>16.124400000000001</v>
      </c>
      <c r="J20" s="3">
        <v>0.48</v>
      </c>
      <c r="K20" s="3">
        <f>IF($E20="〇",J20*基本シート!$E$2,J20*VLOOKUP(LEFT(K$6,FIND("(",K$6)-1),基本シート!$B$6:$C$29,2,FALSE))</f>
        <v>14.332799999999999</v>
      </c>
      <c r="L20" s="3">
        <v>0.53</v>
      </c>
      <c r="M20" s="3">
        <f>IF($E20="〇",L20*基本シート!$E$2,L20*VLOOKUP(LEFT(M$6,FIND("(",M$6)-1),基本シート!$B$6:$C$29,2,FALSE))</f>
        <v>15.825800000000001</v>
      </c>
      <c r="N20" s="3">
        <v>0.5</v>
      </c>
      <c r="O20" s="3">
        <f>IF($E20="〇",N20*基本シート!$E$2,N20*VLOOKUP(LEFT(O$6,FIND("(",O$6)-1),基本シート!$B$6:$C$29,2,FALSE))</f>
        <v>14.93</v>
      </c>
      <c r="P20" s="3">
        <v>0.73</v>
      </c>
      <c r="Q20" s="3">
        <f>IF($E20="〇",P20*基本シート!$E$2,P20*VLOOKUP(LEFT(Q$6,FIND("(",Q$6)-1),基本シート!$B$6:$C$29,2,FALSE))</f>
        <v>21.797799999999999</v>
      </c>
      <c r="R20" s="3">
        <v>0.68</v>
      </c>
      <c r="S20" s="3">
        <f>IF($E20="〇",R20*基本シート!$E$2,R20*VLOOKUP(LEFT(S$6,FIND("(",S$6)-1),基本シート!$B$6:$C$29,2,FALSE))</f>
        <v>20.3048</v>
      </c>
      <c r="T20" s="3">
        <v>0.56999999999999995</v>
      </c>
      <c r="U20" s="3">
        <f>IF($E20="〇",T20*基本シート!$E$2,T20*VLOOKUP(LEFT(U$6,FIND("(",U$6)-1),基本シート!$B$6:$C$29,2,FALSE))</f>
        <v>17.020199999999999</v>
      </c>
      <c r="V20" s="3">
        <v>0.06</v>
      </c>
      <c r="W20" s="3">
        <f>IF($E20="〇",V20*基本シート!$E$2,V20*VLOOKUP(LEFT(W$6,FIND("(",W$6)-1),基本シート!$B$6:$C$29,2,FALSE))</f>
        <v>2.2115999999999998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0.73719999999999997</v>
      </c>
      <c r="AR20" s="3">
        <v>0.02</v>
      </c>
      <c r="AS20" s="3">
        <f>IF($E20="〇",AR20*基本シート!$E$2,AR20*VLOOKUP(LEFT(AS$6,FIND("(",AS$6)-1),基本シート!$B$6:$C$29,2,FALSE))</f>
        <v>0.73719999999999997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1.1399999999999999</v>
      </c>
      <c r="AW20" s="3">
        <f>IF($E20="〇",AV20*基本シート!$E$2,AV20*VLOOKUP(LEFT(AW$6,FIND("(",AW$6)-1),基本シート!$B$6:$C$29,2,FALSE))</f>
        <v>42.020399999999995</v>
      </c>
      <c r="AX20" s="3">
        <v>0.64</v>
      </c>
      <c r="AY20" s="3">
        <f>IF($E20="〇",AX20*基本シート!$E$2,AX20*VLOOKUP(LEFT(AY$6,FIND("(",AY$6)-1),基本シート!$B$6:$C$29,2,FALSE))</f>
        <v>19.110399999999998</v>
      </c>
      <c r="AZ20" s="3">
        <v>0.5</v>
      </c>
      <c r="BA20" s="3">
        <f>IF($E20="〇",AZ20*基本シート!$E$2,AZ20*VLOOKUP(LEFT(BA$6,FIND("(",BA$6)-1),基本シート!$B$6:$C$29,2,FALSE))</f>
        <v>14.93</v>
      </c>
      <c r="BB20" s="3">
        <v>0.5</v>
      </c>
      <c r="BC20" s="3">
        <f>IF($E20="〇",BB20*基本シート!$E$2,BB20*VLOOKUP(LEFT(BC$6,FIND("(",BC$6)-1),基本シート!$B$6:$C$29,2,FALSE))</f>
        <v>14.93</v>
      </c>
      <c r="BD20" s="3">
        <f t="shared" si="7"/>
        <v>6.9099999999999984</v>
      </c>
      <c r="BE20" s="3">
        <f t="shared" si="8"/>
        <v>215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0.06</v>
      </c>
      <c r="BM20" s="3">
        <v>1.27</v>
      </c>
      <c r="BN20" s="3">
        <v>3.81</v>
      </c>
      <c r="BO20" s="3">
        <v>5.39</v>
      </c>
      <c r="BP20" s="3">
        <v>5.76</v>
      </c>
      <c r="BQ20" s="3">
        <v>6.09</v>
      </c>
      <c r="BR20" s="3">
        <v>5.08</v>
      </c>
      <c r="BS20" s="3">
        <v>3.45</v>
      </c>
      <c r="BT20" s="3">
        <v>2.54</v>
      </c>
      <c r="BU20" s="3">
        <v>0.85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0.02</v>
      </c>
      <c r="CU20" s="3">
        <f>CT20*基本シート!$C$3</f>
        <v>0.32</v>
      </c>
      <c r="CV20" s="3">
        <v>2.38</v>
      </c>
      <c r="CW20" s="3">
        <f>CV20*基本シート!$C$3</f>
        <v>38.08</v>
      </c>
      <c r="CX20" s="3">
        <v>5.29</v>
      </c>
      <c r="CY20" s="3">
        <f>CX20*基本シート!$C$3</f>
        <v>84.64</v>
      </c>
      <c r="CZ20" s="3">
        <v>5.64</v>
      </c>
      <c r="DA20" s="3">
        <f>CZ20*基本シート!$C$3</f>
        <v>90.24</v>
      </c>
      <c r="DB20" s="3">
        <v>4.57</v>
      </c>
      <c r="DC20" s="3">
        <f>DB20*基本シート!$C$3</f>
        <v>73.12</v>
      </c>
      <c r="DD20" s="3">
        <v>3.03</v>
      </c>
      <c r="DE20" s="3">
        <f>DD20*基本シート!$C$3</f>
        <v>48.48</v>
      </c>
      <c r="DF20" s="3">
        <v>2.12</v>
      </c>
      <c r="DG20" s="3">
        <f>DF20*基本シート!$C$3</f>
        <v>33.92</v>
      </c>
      <c r="DH20" s="3">
        <v>0.49</v>
      </c>
      <c r="DI20" s="3">
        <f>DH20*基本シート!$C$3</f>
        <v>7.84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23.55</v>
      </c>
      <c r="EA20" s="3">
        <f>ROUND(DZ20*基本シート!$C$3,0)</f>
        <v>377</v>
      </c>
      <c r="EB20" s="3">
        <v>0.03</v>
      </c>
      <c r="EC20" s="3">
        <v>0.03</v>
      </c>
      <c r="ED20" s="3">
        <v>0.02</v>
      </c>
      <c r="EE20" s="3">
        <v>0.03</v>
      </c>
      <c r="EF20" s="3">
        <v>0.05</v>
      </c>
      <c r="EG20" s="3">
        <v>0.03</v>
      </c>
      <c r="EH20" s="3">
        <v>0.01</v>
      </c>
      <c r="EI20" s="3">
        <v>0.73</v>
      </c>
      <c r="EJ20" s="3">
        <v>3.38</v>
      </c>
      <c r="EK20" s="3">
        <v>2.54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0.04</v>
      </c>
      <c r="EW20" s="3">
        <v>0.03</v>
      </c>
      <c r="EX20" s="3">
        <v>0.03</v>
      </c>
      <c r="EY20" s="3">
        <v>0.03</v>
      </c>
      <c r="EZ20" s="3">
        <f t="shared" si="11"/>
        <v>6.98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0.06</v>
      </c>
      <c r="FQ20" s="3">
        <v>1.07</v>
      </c>
      <c r="FR20" s="3">
        <v>2.2999999999999998</v>
      </c>
      <c r="FS20" s="3">
        <v>1.33</v>
      </c>
      <c r="FT20" s="3">
        <v>0.73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5.49</v>
      </c>
      <c r="FZ20" s="3">
        <v>0.51</v>
      </c>
      <c r="GA20" s="3">
        <v>0.45</v>
      </c>
      <c r="GB20" s="3">
        <v>0.51</v>
      </c>
      <c r="GC20" s="3">
        <v>0.47</v>
      </c>
      <c r="GD20" s="3">
        <v>0.68</v>
      </c>
      <c r="GE20" s="3">
        <v>0.65</v>
      </c>
      <c r="GF20" s="3">
        <v>0.62</v>
      </c>
      <c r="GG20" s="3">
        <v>0.6</v>
      </c>
      <c r="GH20" s="3">
        <v>0.41</v>
      </c>
      <c r="GI20" s="3">
        <v>0.47</v>
      </c>
      <c r="GJ20" s="3">
        <v>0.47</v>
      </c>
      <c r="GK20" s="3">
        <v>0.45</v>
      </c>
      <c r="GL20" s="3">
        <v>0.51</v>
      </c>
      <c r="GM20" s="3">
        <v>0.42</v>
      </c>
      <c r="GN20" s="3">
        <v>0.42</v>
      </c>
      <c r="GO20" s="3">
        <v>0.42</v>
      </c>
      <c r="GP20" s="3">
        <v>1.07</v>
      </c>
      <c r="GQ20" s="3">
        <v>2.3199999999999998</v>
      </c>
      <c r="GR20" s="3">
        <v>1.34</v>
      </c>
      <c r="GS20" s="3">
        <v>0.73</v>
      </c>
      <c r="GT20" s="3">
        <v>1.1000000000000001</v>
      </c>
      <c r="GU20" s="3">
        <v>0.61</v>
      </c>
      <c r="GV20" s="3">
        <v>0.47</v>
      </c>
      <c r="GW20" s="3">
        <v>0.47</v>
      </c>
      <c r="GX20" s="3">
        <f t="shared" si="13"/>
        <v>16.170000000000002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>TEXT(VLOOKUP(LEFT(B21,FIND("月",B21)),基本シート!$E$6:$F$17,2,FALSE)&amp;B21,"aaaa")</f>
        <v>金曜日</v>
      </c>
      <c r="D21" s="6"/>
      <c r="E21" s="6" t="str">
        <f t="shared" si="9"/>
        <v/>
      </c>
      <c r="F21" s="6" t="s">
        <v>299</v>
      </c>
      <c r="G21" s="6" t="s">
        <v>301</v>
      </c>
      <c r="H21" s="3">
        <v>0.5</v>
      </c>
      <c r="I21" s="3">
        <f>IF($E21="〇",H21*基本シート!$E$2,H21*VLOOKUP(LEFT(I$6,FIND("(",I$6)-1),基本シート!$B$6:$C$29,2,FALSE))</f>
        <v>14.93</v>
      </c>
      <c r="J21" s="3">
        <v>0.49</v>
      </c>
      <c r="K21" s="3">
        <f>IF($E21="〇",J21*基本シート!$E$2,J21*VLOOKUP(LEFT(K$6,FIND("(",K$6)-1),基本シート!$B$6:$C$29,2,FALSE))</f>
        <v>14.631399999999999</v>
      </c>
      <c r="L21" s="3">
        <v>0.44</v>
      </c>
      <c r="M21" s="3">
        <f>IF($E21="〇",L21*基本シート!$E$2,L21*VLOOKUP(LEFT(M$6,FIND("(",M$6)-1),基本シート!$B$6:$C$29,2,FALSE))</f>
        <v>13.138399999999999</v>
      </c>
      <c r="N21" s="3">
        <v>0.56999999999999995</v>
      </c>
      <c r="O21" s="3">
        <f>IF($E21="〇",N21*基本シート!$E$2,N21*VLOOKUP(LEFT(O$6,FIND("(",O$6)-1),基本シート!$B$6:$C$29,2,FALSE))</f>
        <v>17.020199999999999</v>
      </c>
      <c r="P21" s="3">
        <v>0.68</v>
      </c>
      <c r="Q21" s="3">
        <f>IF($E21="〇",P21*基本シート!$E$2,P21*VLOOKUP(LEFT(Q$6,FIND("(",Q$6)-1),基本シート!$B$6:$C$29,2,FALSE))</f>
        <v>20.3048</v>
      </c>
      <c r="R21" s="3">
        <v>0.53</v>
      </c>
      <c r="S21" s="3">
        <f>IF($E21="〇",R21*基本シート!$E$2,R21*VLOOKUP(LEFT(S$6,FIND("(",S$6)-1),基本シート!$B$6:$C$29,2,FALSE))</f>
        <v>15.825800000000001</v>
      </c>
      <c r="T21" s="3">
        <v>0.5</v>
      </c>
      <c r="U21" s="3">
        <f>IF($E21="〇",T21*基本シート!$E$2,T21*VLOOKUP(LEFT(U$6,FIND("(",U$6)-1),基本シート!$B$6:$C$29,2,FALSE))</f>
        <v>14.93</v>
      </c>
      <c r="V21" s="3">
        <v>0.03</v>
      </c>
      <c r="W21" s="3">
        <f>IF($E21="〇",V21*基本シート!$E$2,V21*VLOOKUP(LEFT(W$6,FIND("(",W$6)-1),基本シート!$B$6:$C$29,2,FALSE))</f>
        <v>1.1057999999999999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0.36859999999999998</v>
      </c>
      <c r="AD21" s="3">
        <v>0.01</v>
      </c>
      <c r="AE21" s="3">
        <f>IF($E21="〇",AD21*基本シート!$E$2,AD21*VLOOKUP(LEFT(AE$6,FIND("(",AE$6)-1),基本シート!$B$6:$C$29,2,FALSE))</f>
        <v>0.36859999999999998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0.01</v>
      </c>
      <c r="AO21" s="3">
        <f>IF($E21="〇",AN21*基本シート!$E$2,AN21*VLOOKUP(LEFT(AO$6,FIND("(",AO$6)-1),基本シート!$B$6:$C$29,2,FALSE))</f>
        <v>0.36859999999999998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0.02</v>
      </c>
      <c r="AS21" s="3">
        <f>IF($E21="〇",AR21*基本シート!$E$2,AR21*VLOOKUP(LEFT(AS$6,FIND("(",AS$6)-1),基本シート!$B$6:$C$29,2,FALSE))</f>
        <v>0.73719999999999997</v>
      </c>
      <c r="AT21" s="3">
        <v>0.59</v>
      </c>
      <c r="AU21" s="3">
        <f>IF($E21="〇",AT21*基本シート!$E$2,AT21*VLOOKUP(LEFT(AU$6,FIND("(",AU$6)-1),基本シート!$B$6:$C$29,2,FALSE))</f>
        <v>21.747399999999999</v>
      </c>
      <c r="AV21" s="3">
        <v>0.69</v>
      </c>
      <c r="AW21" s="3">
        <f>IF($E21="〇",AV21*基本シート!$E$2,AV21*VLOOKUP(LEFT(AW$6,FIND("(",AW$6)-1),基本シート!$B$6:$C$29,2,FALSE))</f>
        <v>25.433399999999999</v>
      </c>
      <c r="AX21" s="3">
        <v>0.65</v>
      </c>
      <c r="AY21" s="3">
        <f>IF($E21="〇",AX21*基本シート!$E$2,AX21*VLOOKUP(LEFT(AY$6,FIND("(",AY$6)-1),基本シート!$B$6:$C$29,2,FALSE))</f>
        <v>19.408999999999999</v>
      </c>
      <c r="AZ21" s="3">
        <v>0.56000000000000005</v>
      </c>
      <c r="BA21" s="3">
        <f>IF($E21="〇",AZ21*基本シート!$E$2,AZ21*VLOOKUP(LEFT(BA$6,FIND("(",BA$6)-1),基本シート!$B$6:$C$29,2,FALSE))</f>
        <v>16.721600000000002</v>
      </c>
      <c r="BB21" s="3">
        <v>0.48</v>
      </c>
      <c r="BC21" s="3">
        <f>IF($E21="〇",BB21*基本シート!$E$2,BB21*VLOOKUP(LEFT(BC$6,FIND("(",BC$6)-1),基本シート!$B$6:$C$29,2,FALSE))</f>
        <v>14.332799999999999</v>
      </c>
      <c r="BD21" s="3">
        <f t="shared" si="7"/>
        <v>6.77</v>
      </c>
      <c r="BE21" s="3">
        <f t="shared" si="8"/>
        <v>212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0.06</v>
      </c>
      <c r="BM21" s="3">
        <v>0.56000000000000005</v>
      </c>
      <c r="BN21" s="3">
        <v>0.97</v>
      </c>
      <c r="BO21" s="3">
        <v>2.56</v>
      </c>
      <c r="BP21" s="3">
        <v>3.49</v>
      </c>
      <c r="BQ21" s="3">
        <v>1.68</v>
      </c>
      <c r="BR21" s="3">
        <v>1.42</v>
      </c>
      <c r="BS21" s="3">
        <v>1.1399999999999999</v>
      </c>
      <c r="BT21" s="3">
        <v>1.42</v>
      </c>
      <c r="BU21" s="3">
        <v>0.75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0.19</v>
      </c>
      <c r="CW21" s="3">
        <f>CV21*基本シート!$C$3</f>
        <v>3.04</v>
      </c>
      <c r="CX21" s="3">
        <v>0.18</v>
      </c>
      <c r="CY21" s="3">
        <f>CX21*基本シート!$C$3</f>
        <v>2.88</v>
      </c>
      <c r="CZ21" s="3">
        <v>0.05</v>
      </c>
      <c r="DA21" s="3">
        <f>CZ21*基本シート!$C$3</f>
        <v>0.8</v>
      </c>
      <c r="DB21" s="3">
        <v>1.02</v>
      </c>
      <c r="DC21" s="3">
        <f>DB21*基本シート!$C$3</f>
        <v>16.32</v>
      </c>
      <c r="DD21" s="3">
        <v>0.77</v>
      </c>
      <c r="DE21" s="3">
        <f>DD21*基本シート!$C$3</f>
        <v>12.32</v>
      </c>
      <c r="DF21" s="3">
        <v>1.01</v>
      </c>
      <c r="DG21" s="3">
        <f>DF21*基本シート!$C$3</f>
        <v>16.16</v>
      </c>
      <c r="DH21" s="3">
        <v>0.41</v>
      </c>
      <c r="DI21" s="3">
        <f>DH21*基本シート!$C$3</f>
        <v>6.56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3.6599999999999993</v>
      </c>
      <c r="EA21" s="3">
        <f>ROUND(DZ21*基本シート!$C$3,0)</f>
        <v>59</v>
      </c>
      <c r="EB21" s="3">
        <v>0.03</v>
      </c>
      <c r="EC21" s="3">
        <v>0.03</v>
      </c>
      <c r="ED21" s="3">
        <v>0.03</v>
      </c>
      <c r="EE21" s="3">
        <v>0.03</v>
      </c>
      <c r="EF21" s="3">
        <v>0.02</v>
      </c>
      <c r="EG21" s="3">
        <v>0.03</v>
      </c>
      <c r="EH21" s="3">
        <v>0.03</v>
      </c>
      <c r="EI21" s="3">
        <v>0.14000000000000001</v>
      </c>
      <c r="EJ21" s="3">
        <v>0.54</v>
      </c>
      <c r="EK21" s="3">
        <v>1.97</v>
      </c>
      <c r="EL21" s="3">
        <v>2.91</v>
      </c>
      <c r="EM21" s="3">
        <v>1.1399999999999999</v>
      </c>
      <c r="EN21" s="3">
        <v>0.02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1"/>
        <v>7.04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0.3</v>
      </c>
      <c r="FQ21" s="3">
        <v>2.1</v>
      </c>
      <c r="FR21" s="3">
        <v>2.2000000000000002</v>
      </c>
      <c r="FS21" s="3">
        <v>0.99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5.59</v>
      </c>
      <c r="FZ21" s="3">
        <v>0.47</v>
      </c>
      <c r="GA21" s="3">
        <v>0.46</v>
      </c>
      <c r="GB21" s="3">
        <v>0.41</v>
      </c>
      <c r="GC21" s="3">
        <v>0.54</v>
      </c>
      <c r="GD21" s="3">
        <v>0.66</v>
      </c>
      <c r="GE21" s="3">
        <v>0.5</v>
      </c>
      <c r="GF21" s="3">
        <v>0.53</v>
      </c>
      <c r="GG21" s="3">
        <v>0.45</v>
      </c>
      <c r="GH21" s="3">
        <v>0.43</v>
      </c>
      <c r="GI21" s="3">
        <v>0.4</v>
      </c>
      <c r="GJ21" s="3">
        <v>0.41</v>
      </c>
      <c r="GK21" s="3">
        <v>0.5</v>
      </c>
      <c r="GL21" s="3">
        <v>0.38</v>
      </c>
      <c r="GM21" s="3">
        <v>0.37</v>
      </c>
      <c r="GN21" s="3">
        <v>0.41</v>
      </c>
      <c r="GO21" s="3">
        <v>0.64</v>
      </c>
      <c r="GP21" s="3">
        <v>2.11</v>
      </c>
      <c r="GQ21" s="3">
        <v>2.2000000000000002</v>
      </c>
      <c r="GR21" s="3">
        <v>1</v>
      </c>
      <c r="GS21" s="3">
        <v>0.59</v>
      </c>
      <c r="GT21" s="3">
        <v>0.66</v>
      </c>
      <c r="GU21" s="3">
        <v>0.62</v>
      </c>
      <c r="GV21" s="3">
        <v>0.53</v>
      </c>
      <c r="GW21" s="3">
        <v>0.45</v>
      </c>
      <c r="GX21" s="3">
        <f t="shared" si="13"/>
        <v>15.719999999999999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>TEXT(VLOOKUP(LEFT(B22,FIND("月",B22)),基本シート!$E$6:$F$17,2,FALSE)&amp;B22,"aaaa")</f>
        <v>土曜日</v>
      </c>
      <c r="D22" s="6"/>
      <c r="E22" s="6" t="str">
        <f t="shared" si="9"/>
        <v>〇</v>
      </c>
      <c r="F22" s="6" t="s">
        <v>301</v>
      </c>
      <c r="G22" s="6" t="s">
        <v>301</v>
      </c>
      <c r="H22" s="3">
        <v>0.51</v>
      </c>
      <c r="I22" s="3">
        <f>IF($E22="〇",H22*基本シート!$E$2,H22*VLOOKUP(LEFT(I$6,FIND("(",I$6)-1),基本シート!$B$6:$C$29,2,FALSE))</f>
        <v>15.2286</v>
      </c>
      <c r="J22" s="3">
        <v>0.51</v>
      </c>
      <c r="K22" s="3">
        <f>IF($E22="〇",J22*基本シート!$E$2,J22*VLOOKUP(LEFT(K$6,FIND("(",K$6)-1),基本シート!$B$6:$C$29,2,FALSE))</f>
        <v>15.2286</v>
      </c>
      <c r="L22" s="3">
        <v>0.52</v>
      </c>
      <c r="M22" s="3">
        <f>IF($E22="〇",L22*基本シート!$E$2,L22*VLOOKUP(LEFT(M$6,FIND("(",M$6)-1),基本シート!$B$6:$C$29,2,FALSE))</f>
        <v>15.527200000000001</v>
      </c>
      <c r="N22" s="3">
        <v>0.56000000000000005</v>
      </c>
      <c r="O22" s="3">
        <f>IF($E22="〇",N22*基本シート!$E$2,N22*VLOOKUP(LEFT(O$6,FIND("(",O$6)-1),基本シート!$B$6:$C$29,2,FALSE))</f>
        <v>16.721600000000002</v>
      </c>
      <c r="P22" s="3">
        <v>0.62</v>
      </c>
      <c r="Q22" s="3">
        <f>IF($E22="〇",P22*基本シート!$E$2,P22*VLOOKUP(LEFT(Q$6,FIND("(",Q$6)-1),基本シート!$B$6:$C$29,2,FALSE))</f>
        <v>18.513200000000001</v>
      </c>
      <c r="R22" s="3">
        <v>0.54</v>
      </c>
      <c r="S22" s="3">
        <f>IF($E22="〇",R22*基本シート!$E$2,R22*VLOOKUP(LEFT(S$6,FIND("(",S$6)-1),基本シート!$B$6:$C$29,2,FALSE))</f>
        <v>16.124400000000001</v>
      </c>
      <c r="T22" s="3">
        <v>0.52</v>
      </c>
      <c r="U22" s="3">
        <f>IF($E22="〇",T22*基本シート!$E$2,T22*VLOOKUP(LEFT(U$6,FIND("(",U$6)-1),基本シート!$B$6:$C$29,2,FALSE))</f>
        <v>15.527200000000001</v>
      </c>
      <c r="V22" s="3">
        <v>0.03</v>
      </c>
      <c r="W22" s="3">
        <f>IF($E22="〇",V22*基本シート!$E$2,V22*VLOOKUP(LEFT(W$6,FIND("(",W$6)-1),基本シート!$B$6:$C$29,2,FALSE))</f>
        <v>0.89579999999999993</v>
      </c>
      <c r="X22" s="3">
        <v>0.01</v>
      </c>
      <c r="Y22" s="3">
        <f>IF($E22="〇",X22*基本シート!$E$2,X22*VLOOKUP(LEFT(Y$6,FIND("(",Y$6)-1),基本シート!$B$6:$C$29,2,FALSE))</f>
        <v>0.29859999999999998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0.29859999999999998</v>
      </c>
      <c r="AP22" s="3">
        <v>0.01</v>
      </c>
      <c r="AQ22" s="3">
        <f>IF($E22="〇",AP22*基本シート!$E$2,AP22*VLOOKUP(LEFT(AQ$6,FIND("(",AQ$6)-1),基本シート!$B$6:$C$29,2,FALSE))</f>
        <v>0.29859999999999998</v>
      </c>
      <c r="AR22" s="3">
        <v>0.32</v>
      </c>
      <c r="AS22" s="3">
        <f>IF($E22="〇",AR22*基本シート!$E$2,AR22*VLOOKUP(LEFT(AS$6,FIND("(",AS$6)-1),基本シート!$B$6:$C$29,2,FALSE))</f>
        <v>9.5551999999999992</v>
      </c>
      <c r="AT22" s="3">
        <v>0.75</v>
      </c>
      <c r="AU22" s="3">
        <f>IF($E22="〇",AT22*基本シート!$E$2,AT22*VLOOKUP(LEFT(AU$6,FIND("(",AU$6)-1),基本シート!$B$6:$C$29,2,FALSE))</f>
        <v>22.395</v>
      </c>
      <c r="AV22" s="3">
        <v>1.1100000000000001</v>
      </c>
      <c r="AW22" s="3">
        <f>IF($E22="〇",AV22*基本シート!$E$2,AV22*VLOOKUP(LEFT(AW$6,FIND("(",AW$6)-1),基本シート!$B$6:$C$29,2,FALSE))</f>
        <v>33.144600000000004</v>
      </c>
      <c r="AX22" s="3">
        <v>0.61</v>
      </c>
      <c r="AY22" s="3">
        <f>IF($E22="〇",AX22*基本シート!$E$2,AX22*VLOOKUP(LEFT(AY$6,FIND("(",AY$6)-1),基本シート!$B$6:$C$29,2,FALSE))</f>
        <v>18.214600000000001</v>
      </c>
      <c r="AZ22" s="3">
        <v>0.48</v>
      </c>
      <c r="BA22" s="3">
        <f>IF($E22="〇",AZ22*基本シート!$E$2,AZ22*VLOOKUP(LEFT(BA$6,FIND("(",BA$6)-1),基本シート!$B$6:$C$29,2,FALSE))</f>
        <v>14.332799999999999</v>
      </c>
      <c r="BB22" s="3">
        <v>0.46</v>
      </c>
      <c r="BC22" s="3">
        <f>IF($E22="〇",BB22*基本シート!$E$2,BB22*VLOOKUP(LEFT(BC$6,FIND("(",BC$6)-1),基本シート!$B$6:$C$29,2,FALSE))</f>
        <v>13.7356</v>
      </c>
      <c r="BD22" s="3">
        <f t="shared" si="7"/>
        <v>7.5699999999999994</v>
      </c>
      <c r="BE22" s="3">
        <f t="shared" si="8"/>
        <v>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1.21</v>
      </c>
      <c r="BN22" s="3">
        <v>3.7</v>
      </c>
      <c r="BO22" s="3">
        <v>5.23</v>
      </c>
      <c r="BP22" s="3">
        <v>5.85</v>
      </c>
      <c r="BQ22" s="3">
        <v>6.09</v>
      </c>
      <c r="BR22" s="3">
        <v>5.67</v>
      </c>
      <c r="BS22" s="3">
        <v>4.57</v>
      </c>
      <c r="BT22" s="3">
        <v>2.8</v>
      </c>
      <c r="BU22" s="3">
        <v>0.75</v>
      </c>
      <c r="BV22" s="3">
        <v>0.02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1.84</v>
      </c>
      <c r="CW22" s="3">
        <f>CV22*基本シート!$C$3</f>
        <v>29.44</v>
      </c>
      <c r="CX22" s="3">
        <v>5.45</v>
      </c>
      <c r="CY22" s="3">
        <f>CX22*基本シート!$C$3</f>
        <v>87.2</v>
      </c>
      <c r="CZ22" s="3">
        <v>5.72</v>
      </c>
      <c r="DA22" s="3">
        <f>CZ22*基本シート!$C$3</f>
        <v>91.52</v>
      </c>
      <c r="DB22" s="3">
        <v>5.29</v>
      </c>
      <c r="DC22" s="3">
        <f>DB22*基本シート!$C$3</f>
        <v>84.64</v>
      </c>
      <c r="DD22" s="3">
        <v>4.21</v>
      </c>
      <c r="DE22" s="3">
        <f>DD22*基本シート!$C$3</f>
        <v>67.36</v>
      </c>
      <c r="DF22" s="3">
        <v>2.42</v>
      </c>
      <c r="DG22" s="3">
        <f>DF22*基本シート!$C$3</f>
        <v>38.72</v>
      </c>
      <c r="DH22" s="3">
        <v>0.45</v>
      </c>
      <c r="DI22" s="3">
        <f>DH22*基本シート!$C$3</f>
        <v>7.2</v>
      </c>
      <c r="DJ22" s="3">
        <v>0.01</v>
      </c>
      <c r="DK22" s="3">
        <f>DJ22*基本シート!$C$3</f>
        <v>0.16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25.41</v>
      </c>
      <c r="EA22" s="3">
        <f>ROUND(DZ22*基本シート!$C$3,0)</f>
        <v>407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0.01</v>
      </c>
      <c r="EI22" s="3">
        <v>0.67</v>
      </c>
      <c r="EJ22" s="3">
        <v>3.24</v>
      </c>
      <c r="EK22" s="3">
        <v>2.98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1"/>
        <v>7.2300000000000013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</v>
      </c>
      <c r="FN22" s="3">
        <v>0</v>
      </c>
      <c r="FO22" s="3">
        <v>0</v>
      </c>
      <c r="FP22" s="3">
        <v>0.64</v>
      </c>
      <c r="FQ22" s="3">
        <v>2.06</v>
      </c>
      <c r="FR22" s="3">
        <v>2.16</v>
      </c>
      <c r="FS22" s="3">
        <v>0.62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5.49</v>
      </c>
      <c r="FZ22" s="3">
        <v>0.48</v>
      </c>
      <c r="GA22" s="3">
        <v>0.48</v>
      </c>
      <c r="GB22" s="3">
        <v>0.49</v>
      </c>
      <c r="GC22" s="3">
        <v>0.53</v>
      </c>
      <c r="GD22" s="3">
        <v>0.59</v>
      </c>
      <c r="GE22" s="3">
        <v>0.51</v>
      </c>
      <c r="GF22" s="3">
        <v>0.56999999999999995</v>
      </c>
      <c r="GG22" s="3">
        <v>0.56999999999999995</v>
      </c>
      <c r="GH22" s="3">
        <v>0.46</v>
      </c>
      <c r="GI22" s="3">
        <v>0.41</v>
      </c>
      <c r="GJ22" s="3">
        <v>0.41</v>
      </c>
      <c r="GK22" s="3">
        <v>0.37</v>
      </c>
      <c r="GL22" s="3">
        <v>0.38</v>
      </c>
      <c r="GM22" s="3">
        <v>0.36</v>
      </c>
      <c r="GN22" s="3">
        <v>0.38</v>
      </c>
      <c r="GO22" s="3">
        <v>0.94</v>
      </c>
      <c r="GP22" s="3">
        <v>2.08</v>
      </c>
      <c r="GQ22" s="3">
        <v>2.16</v>
      </c>
      <c r="GR22" s="3">
        <v>0.94</v>
      </c>
      <c r="GS22" s="3">
        <v>0.72</v>
      </c>
      <c r="GT22" s="3">
        <v>1.08</v>
      </c>
      <c r="GU22" s="3">
        <v>0.57999999999999996</v>
      </c>
      <c r="GV22" s="3">
        <v>0.45</v>
      </c>
      <c r="GW22" s="3">
        <v>0.43</v>
      </c>
      <c r="GX22" s="3">
        <f t="shared" si="13"/>
        <v>16.37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>TEXT(VLOOKUP(LEFT(B23,FIND("月",B23)),基本シート!$E$6:$F$17,2,FALSE)&amp;B23,"aaaa")</f>
        <v>日曜日</v>
      </c>
      <c r="D23" s="6"/>
      <c r="E23" s="6" t="str">
        <f t="shared" si="9"/>
        <v>〇</v>
      </c>
      <c r="F23" s="6" t="s">
        <v>300</v>
      </c>
      <c r="G23" s="6" t="s">
        <v>300</v>
      </c>
      <c r="H23" s="3">
        <v>0.44</v>
      </c>
      <c r="I23" s="3">
        <f>IF($E23="〇",H23*基本シート!$E$2,H23*VLOOKUP(LEFT(I$6,FIND("(",I$6)-1),基本シート!$B$6:$C$29,2,FALSE))</f>
        <v>13.138399999999999</v>
      </c>
      <c r="J23" s="3">
        <v>0.45</v>
      </c>
      <c r="K23" s="3">
        <f>IF($E23="〇",J23*基本シート!$E$2,J23*VLOOKUP(LEFT(K$6,FIND("(",K$6)-1),基本シート!$B$6:$C$29,2,FALSE))</f>
        <v>13.436999999999999</v>
      </c>
      <c r="L23" s="3">
        <v>0.43</v>
      </c>
      <c r="M23" s="3">
        <f>IF($E23="〇",L23*基本シート!$E$2,L23*VLOOKUP(LEFT(M$6,FIND("(",M$6)-1),基本シート!$B$6:$C$29,2,FALSE))</f>
        <v>12.8398</v>
      </c>
      <c r="N23" s="3">
        <v>0.42</v>
      </c>
      <c r="O23" s="3">
        <f>IF($E23="〇",N23*基本シート!$E$2,N23*VLOOKUP(LEFT(O$6,FIND("(",O$6)-1),基本シート!$B$6:$C$29,2,FALSE))</f>
        <v>12.5412</v>
      </c>
      <c r="P23" s="3">
        <v>0.44</v>
      </c>
      <c r="Q23" s="3">
        <f>IF($E23="〇",P23*基本シート!$E$2,P23*VLOOKUP(LEFT(Q$6,FIND("(",Q$6)-1),基本シート!$B$6:$C$29,2,FALSE))</f>
        <v>13.138399999999999</v>
      </c>
      <c r="R23" s="3">
        <v>0.43</v>
      </c>
      <c r="S23" s="3">
        <f>IF($E23="〇",R23*基本シート!$E$2,R23*VLOOKUP(LEFT(S$6,FIND("(",S$6)-1),基本シート!$B$6:$C$29,2,FALSE))</f>
        <v>12.8398</v>
      </c>
      <c r="T23" s="3">
        <v>0.46</v>
      </c>
      <c r="U23" s="3">
        <f>IF($E23="〇",T23*基本シート!$E$2,T23*VLOOKUP(LEFT(U$6,FIND("(",U$6)-1),基本シート!$B$6:$C$29,2,FALSE))</f>
        <v>13.7356</v>
      </c>
      <c r="V23" s="3">
        <v>0.5</v>
      </c>
      <c r="W23" s="3">
        <f>IF($E23="〇",V23*基本シート!$E$2,V23*VLOOKUP(LEFT(W$6,FIND("(",W$6)-1),基本シート!$B$6:$C$29,2,FALSE))</f>
        <v>14.93</v>
      </c>
      <c r="X23" s="3">
        <v>0.1</v>
      </c>
      <c r="Y23" s="3">
        <f>IF($E23="〇",X23*基本シート!$E$2,X23*VLOOKUP(LEFT(Y$6,FIND("(",Y$6)-1),基本シート!$B$6:$C$29,2,FALSE))</f>
        <v>2.9860000000000002</v>
      </c>
      <c r="Z23" s="3">
        <v>0.08</v>
      </c>
      <c r="AA23" s="3">
        <f>IF($E23="〇",Z23*基本シート!$E$2,Z23*VLOOKUP(LEFT(AA$6,FIND("(",AA$6)-1),基本シート!$B$6:$C$29,2,FALSE))</f>
        <v>2.3887999999999998</v>
      </c>
      <c r="AB23" s="3">
        <v>0.02</v>
      </c>
      <c r="AC23" s="3">
        <f>IF($E23="〇",AB23*基本シート!$E$2,AB23*VLOOKUP(LEFT(AC$6,FIND("(",AC$6)-1),基本シート!$B$6:$C$29,2,FALSE))</f>
        <v>0.59719999999999995</v>
      </c>
      <c r="AD23" s="3">
        <v>0.01</v>
      </c>
      <c r="AE23" s="3">
        <f>IF($E23="〇",AD23*基本シート!$E$2,AD23*VLOOKUP(LEFT(AE$6,FIND("(",AE$6)-1),基本シート!$B$6:$C$29,2,FALSE))</f>
        <v>0.29859999999999998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0.01</v>
      </c>
      <c r="AK23" s="3">
        <f>IF($E23="〇",AJ23*基本シート!$E$2,AJ23*VLOOKUP(LEFT(AK$6,FIND("(",AK$6)-1),基本シート!$B$6:$C$29,2,FALSE))</f>
        <v>0.29859999999999998</v>
      </c>
      <c r="AL23" s="3">
        <v>0.01</v>
      </c>
      <c r="AM23" s="3">
        <f>IF($E23="〇",AL23*基本シート!$E$2,AL23*VLOOKUP(LEFT(AM$6,FIND("(",AM$6)-1),基本シート!$B$6:$C$29,2,FALSE))</f>
        <v>0.29859999999999998</v>
      </c>
      <c r="AN23" s="3">
        <v>0.01</v>
      </c>
      <c r="AO23" s="3">
        <f>IF($E23="〇",AN23*基本シート!$E$2,AN23*VLOOKUP(LEFT(AO$6,FIND("(",AO$6)-1),基本シート!$B$6:$C$29,2,FALSE))</f>
        <v>0.29859999999999998</v>
      </c>
      <c r="AP23" s="3">
        <v>0.01</v>
      </c>
      <c r="AQ23" s="3">
        <f>IF($E23="〇",AP23*基本シート!$E$2,AP23*VLOOKUP(LEFT(AQ$6,FIND("(",AQ$6)-1),基本シート!$B$6:$C$29,2,FALSE))</f>
        <v>0.29859999999999998</v>
      </c>
      <c r="AR23" s="3">
        <v>0.01</v>
      </c>
      <c r="AS23" s="3">
        <f>IF($E23="〇",AR23*基本シート!$E$2,AR23*VLOOKUP(LEFT(AS$6,FIND("(",AS$6)-1),基本シート!$B$6:$C$29,2,FALSE))</f>
        <v>0.29859999999999998</v>
      </c>
      <c r="AT23" s="3">
        <v>0.67</v>
      </c>
      <c r="AU23" s="3">
        <f>IF($E23="〇",AT23*基本シート!$E$2,AT23*VLOOKUP(LEFT(AU$6,FIND("(",AU$6)-1),基本シート!$B$6:$C$29,2,FALSE))</f>
        <v>20.0062</v>
      </c>
      <c r="AV23" s="3">
        <v>0.93</v>
      </c>
      <c r="AW23" s="3">
        <f>IF($E23="〇",AV23*基本シート!$E$2,AV23*VLOOKUP(LEFT(AW$6,FIND("(",AW$6)-1),基本シート!$B$6:$C$29,2,FALSE))</f>
        <v>27.7698</v>
      </c>
      <c r="AX23" s="3">
        <v>0.52</v>
      </c>
      <c r="AY23" s="3">
        <f>IF($E23="〇",AX23*基本シート!$E$2,AX23*VLOOKUP(LEFT(AY$6,FIND("(",AY$6)-1),基本シート!$B$6:$C$29,2,FALSE))</f>
        <v>15.527200000000001</v>
      </c>
      <c r="AZ23" s="3">
        <v>0.45</v>
      </c>
      <c r="BA23" s="3">
        <f>IF($E23="〇",AZ23*基本シート!$E$2,AZ23*VLOOKUP(LEFT(BA$6,FIND("(",BA$6)-1),基本シート!$B$6:$C$29,2,FALSE))</f>
        <v>13.436999999999999</v>
      </c>
      <c r="BB23" s="3">
        <v>0.44</v>
      </c>
      <c r="BC23" s="3">
        <f>IF($E23="〇",BB23*基本シート!$E$2,BB23*VLOOKUP(LEFT(BC$6,FIND("(",BC$6)-1),基本シート!$B$6:$C$29,2,FALSE))</f>
        <v>13.138399999999999</v>
      </c>
      <c r="BD23" s="3">
        <f t="shared" si="7"/>
        <v>6.84</v>
      </c>
      <c r="BE23" s="3">
        <f t="shared" si="8"/>
        <v>204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0.35</v>
      </c>
      <c r="BO23" s="3">
        <v>0.57999999999999996</v>
      </c>
      <c r="BP23" s="3">
        <v>1.1599999999999999</v>
      </c>
      <c r="BQ23" s="3">
        <v>2.82</v>
      </c>
      <c r="BR23" s="3">
        <v>5.27</v>
      </c>
      <c r="BS23" s="3">
        <v>2.11</v>
      </c>
      <c r="BT23" s="3">
        <v>0.27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0.02</v>
      </c>
      <c r="CY23" s="3">
        <f>CX23*基本シート!$C$3</f>
        <v>0.32</v>
      </c>
      <c r="CZ23" s="3">
        <v>0.33</v>
      </c>
      <c r="DA23" s="3">
        <f>CZ23*基本シート!$C$3</f>
        <v>5.28</v>
      </c>
      <c r="DB23" s="3">
        <v>1.01</v>
      </c>
      <c r="DC23" s="3">
        <f>DB23*基本シート!$C$3</f>
        <v>16.16</v>
      </c>
      <c r="DD23" s="3">
        <v>1.1599999999999999</v>
      </c>
      <c r="DE23" s="3">
        <f>DD23*基本シート!$C$3</f>
        <v>18.559999999999999</v>
      </c>
      <c r="DF23" s="3">
        <v>7.0000000000000007E-2</v>
      </c>
      <c r="DG23" s="3">
        <f>DF23*基本シート!$C$3</f>
        <v>1.1200000000000001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2.629999999999999</v>
      </c>
      <c r="EA23" s="3">
        <f>ROUND(DZ23*基本シート!$C$3,0)</f>
        <v>42</v>
      </c>
      <c r="EB23" s="3">
        <v>0.03</v>
      </c>
      <c r="EC23" s="3">
        <v>0.02</v>
      </c>
      <c r="ED23" s="3">
        <v>0.03</v>
      </c>
      <c r="EE23" s="3">
        <v>0.03</v>
      </c>
      <c r="EF23" s="3">
        <v>0.03</v>
      </c>
      <c r="EG23" s="3">
        <v>0.03</v>
      </c>
      <c r="EH23" s="3">
        <v>0.01</v>
      </c>
      <c r="EI23" s="3">
        <v>0</v>
      </c>
      <c r="EJ23" s="3">
        <v>0.03</v>
      </c>
      <c r="EK23" s="3">
        <v>0.28000000000000003</v>
      </c>
      <c r="EL23" s="3">
        <v>0.6</v>
      </c>
      <c r="EM23" s="3">
        <v>2.0499999999999998</v>
      </c>
      <c r="EN23" s="3">
        <v>3.86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1"/>
        <v>7.120000000000001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0.09</v>
      </c>
      <c r="FO23" s="3">
        <v>0.26</v>
      </c>
      <c r="FP23" s="3">
        <v>0.36</v>
      </c>
      <c r="FQ23" s="3">
        <v>1.44</v>
      </c>
      <c r="FR23" s="3">
        <v>2.67</v>
      </c>
      <c r="FS23" s="3">
        <v>0.72</v>
      </c>
      <c r="FT23" s="3">
        <v>0.12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5.66</v>
      </c>
      <c r="FZ23" s="3">
        <v>0.41</v>
      </c>
      <c r="GA23" s="3">
        <v>0.43</v>
      </c>
      <c r="GB23" s="3">
        <v>0.4</v>
      </c>
      <c r="GC23" s="3">
        <v>0.39</v>
      </c>
      <c r="GD23" s="3">
        <v>0.41</v>
      </c>
      <c r="GE23" s="3">
        <v>0.4</v>
      </c>
      <c r="GF23" s="3">
        <v>0.45</v>
      </c>
      <c r="GG23" s="3">
        <v>0.57999999999999996</v>
      </c>
      <c r="GH23" s="3">
        <v>0.42</v>
      </c>
      <c r="GI23" s="3">
        <v>0.38</v>
      </c>
      <c r="GJ23" s="3">
        <v>0.56000000000000005</v>
      </c>
      <c r="GK23" s="3">
        <v>0.45</v>
      </c>
      <c r="GL23" s="3">
        <v>0.4</v>
      </c>
      <c r="GM23" s="3">
        <v>1.04</v>
      </c>
      <c r="GN23" s="3">
        <v>0.47</v>
      </c>
      <c r="GO23" s="3">
        <v>0.36</v>
      </c>
      <c r="GP23" s="3">
        <v>1.44</v>
      </c>
      <c r="GQ23" s="3">
        <v>2.67</v>
      </c>
      <c r="GR23" s="3">
        <v>0.72</v>
      </c>
      <c r="GS23" s="3">
        <v>0.79</v>
      </c>
      <c r="GT23" s="3">
        <v>0.9</v>
      </c>
      <c r="GU23" s="3">
        <v>0.49</v>
      </c>
      <c r="GV23" s="3">
        <v>0.42</v>
      </c>
      <c r="GW23" s="3">
        <v>0.41</v>
      </c>
      <c r="GX23" s="3">
        <f t="shared" si="13"/>
        <v>15.390000000000002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>TEXT(VLOOKUP(LEFT(B24,FIND("月",B24)),基本シート!$E$6:$F$17,2,FALSE)&amp;B24,"aaaa")</f>
        <v>月曜日</v>
      </c>
      <c r="D24" s="6"/>
      <c r="E24" s="6" t="str">
        <f t="shared" si="9"/>
        <v/>
      </c>
      <c r="F24" s="6" t="s">
        <v>299</v>
      </c>
      <c r="G24" s="6" t="s">
        <v>299</v>
      </c>
      <c r="H24" s="3">
        <v>0.45</v>
      </c>
      <c r="I24" s="3">
        <f>IF($E24="〇",H24*基本シート!$E$2,H24*VLOOKUP(LEFT(I$6,FIND("(",I$6)-1),基本シート!$B$6:$C$29,2,FALSE))</f>
        <v>13.436999999999999</v>
      </c>
      <c r="J24" s="3">
        <v>0.46</v>
      </c>
      <c r="K24" s="3">
        <f>IF($E24="〇",J24*基本シート!$E$2,J24*VLOOKUP(LEFT(K$6,FIND("(",K$6)-1),基本シート!$B$6:$C$29,2,FALSE))</f>
        <v>13.7356</v>
      </c>
      <c r="L24" s="3">
        <v>0.47</v>
      </c>
      <c r="M24" s="3">
        <f>IF($E24="〇",L24*基本シート!$E$2,L24*VLOOKUP(LEFT(M$6,FIND("(",M$6)-1),基本シート!$B$6:$C$29,2,FALSE))</f>
        <v>14.034199999999998</v>
      </c>
      <c r="N24" s="3">
        <v>0.47</v>
      </c>
      <c r="O24" s="3">
        <f>IF($E24="〇",N24*基本シート!$E$2,N24*VLOOKUP(LEFT(O$6,FIND("(",O$6)-1),基本シート!$B$6:$C$29,2,FALSE))</f>
        <v>14.034199999999998</v>
      </c>
      <c r="P24" s="3">
        <v>0.68</v>
      </c>
      <c r="Q24" s="3">
        <f>IF($E24="〇",P24*基本シート!$E$2,P24*VLOOKUP(LEFT(Q$6,FIND("(",Q$6)-1),基本シート!$B$6:$C$29,2,FALSE))</f>
        <v>20.3048</v>
      </c>
      <c r="R24" s="3">
        <v>1.23</v>
      </c>
      <c r="S24" s="3">
        <f>IF($E24="〇",R24*基本シート!$E$2,R24*VLOOKUP(LEFT(S$6,FIND("(",S$6)-1),基本シート!$B$6:$C$29,2,FALSE))</f>
        <v>36.727800000000002</v>
      </c>
      <c r="T24" s="3">
        <v>0.86</v>
      </c>
      <c r="U24" s="3">
        <f>IF($E24="〇",T24*基本シート!$E$2,T24*VLOOKUP(LEFT(U$6,FIND("(",U$6)-1),基本シート!$B$6:$C$29,2,FALSE))</f>
        <v>25.679600000000001</v>
      </c>
      <c r="V24" s="3">
        <v>0.15</v>
      </c>
      <c r="W24" s="3">
        <f>IF($E24="〇",V24*基本シート!$E$2,V24*VLOOKUP(LEFT(W$6,FIND("(",W$6)-1),基本シート!$B$6:$C$29,2,FALSE))</f>
        <v>5.5289999999999999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0.01</v>
      </c>
      <c r="AA24" s="3">
        <f>IF($E24="〇",Z24*基本シート!$E$2,Z24*VLOOKUP(LEFT(AA$6,FIND("(",AA$6)-1),基本シート!$B$6:$C$29,2,FALSE))</f>
        <v>0.36859999999999998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1.2</v>
      </c>
      <c r="AS24" s="3">
        <f>IF($E24="〇",AR24*基本シート!$E$2,AR24*VLOOKUP(LEFT(AS$6,FIND("(",AS$6)-1),基本シート!$B$6:$C$29,2,FALSE))</f>
        <v>44.231999999999999</v>
      </c>
      <c r="AT24" s="3">
        <v>0.92</v>
      </c>
      <c r="AU24" s="3">
        <f>IF($E24="〇",AT24*基本シート!$E$2,AT24*VLOOKUP(LEFT(AU$6,FIND("(",AU$6)-1),基本シート!$B$6:$C$29,2,FALSE))</f>
        <v>33.911200000000001</v>
      </c>
      <c r="AV24" s="3">
        <v>1.23</v>
      </c>
      <c r="AW24" s="3">
        <f>IF($E24="〇",AV24*基本シート!$E$2,AV24*VLOOKUP(LEFT(AW$6,FIND("(",AW$6)-1),基本シート!$B$6:$C$29,2,FALSE))</f>
        <v>45.337800000000001</v>
      </c>
      <c r="AX24" s="3">
        <v>0.64</v>
      </c>
      <c r="AY24" s="3">
        <f>IF($E24="〇",AX24*基本シート!$E$2,AX24*VLOOKUP(LEFT(AY$6,FIND("(",AY$6)-1),基本シート!$B$6:$C$29,2,FALSE))</f>
        <v>19.110399999999998</v>
      </c>
      <c r="AZ24" s="3">
        <v>0.52</v>
      </c>
      <c r="BA24" s="3">
        <f>IF($E24="〇",AZ24*基本シート!$E$2,AZ24*VLOOKUP(LEFT(BA$6,FIND("(",BA$6)-1),基本シート!$B$6:$C$29,2,FALSE))</f>
        <v>15.527200000000001</v>
      </c>
      <c r="BB24" s="3">
        <v>0.57999999999999996</v>
      </c>
      <c r="BC24" s="3">
        <f>IF($E24="〇",BB24*基本シート!$E$2,BB24*VLOOKUP(LEFT(BC$6,FIND("(",BC$6)-1),基本シート!$B$6:$C$29,2,FALSE))</f>
        <v>17.3188</v>
      </c>
      <c r="BD24" s="3">
        <f t="shared" si="7"/>
        <v>9.8800000000000008</v>
      </c>
      <c r="BE24" s="3">
        <f t="shared" si="8"/>
        <v>320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0.05</v>
      </c>
      <c r="BM24" s="3">
        <v>0.54</v>
      </c>
      <c r="BN24" s="3">
        <v>0.67</v>
      </c>
      <c r="BO24" s="3">
        <v>3.54</v>
      </c>
      <c r="BP24" s="3">
        <v>6.3</v>
      </c>
      <c r="BQ24" s="3">
        <v>3.23</v>
      </c>
      <c r="BR24" s="3">
        <v>4.53</v>
      </c>
      <c r="BS24" s="3">
        <v>2.1800000000000002</v>
      </c>
      <c r="BT24" s="3">
        <v>1.68</v>
      </c>
      <c r="BU24" s="3">
        <v>0.17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0.56999999999999995</v>
      </c>
      <c r="CW24" s="3">
        <f>CV24*基本シート!$C$3</f>
        <v>9.1199999999999992</v>
      </c>
      <c r="CX24" s="3">
        <v>1.83</v>
      </c>
      <c r="CY24" s="3">
        <f>CX24*基本シート!$C$3</f>
        <v>29.28</v>
      </c>
      <c r="CZ24" s="3">
        <v>2.76</v>
      </c>
      <c r="DA24" s="3">
        <f>CZ24*基本シート!$C$3</f>
        <v>44.16</v>
      </c>
      <c r="DB24" s="3">
        <v>3.83</v>
      </c>
      <c r="DC24" s="3">
        <f>DB24*基本シート!$C$3</f>
        <v>61.28</v>
      </c>
      <c r="DD24" s="3">
        <v>1.36</v>
      </c>
      <c r="DE24" s="3">
        <f>DD24*基本シート!$C$3</f>
        <v>21.76</v>
      </c>
      <c r="DF24" s="3">
        <v>1.21</v>
      </c>
      <c r="DG24" s="3">
        <f>DF24*基本シート!$C$3</f>
        <v>19.36</v>
      </c>
      <c r="DH24" s="3">
        <v>0.03</v>
      </c>
      <c r="DI24" s="3">
        <f>DH24*基本シート!$C$3</f>
        <v>0.48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11.589999999999998</v>
      </c>
      <c r="EA24" s="3">
        <f>ROUND(DZ24*基本シート!$C$3,0)</f>
        <v>185</v>
      </c>
      <c r="EB24" s="3">
        <v>0.03</v>
      </c>
      <c r="EC24" s="3">
        <v>0.03</v>
      </c>
      <c r="ED24" s="3">
        <v>0.03</v>
      </c>
      <c r="EE24" s="3">
        <v>0.03</v>
      </c>
      <c r="EF24" s="3">
        <v>0.03</v>
      </c>
      <c r="EG24" s="3">
        <v>0.04</v>
      </c>
      <c r="EH24" s="3">
        <v>0.03</v>
      </c>
      <c r="EI24" s="3">
        <v>0.1</v>
      </c>
      <c r="EJ24" s="3">
        <v>0.25</v>
      </c>
      <c r="EK24" s="3">
        <v>2.5099999999999998</v>
      </c>
      <c r="EL24" s="3">
        <v>4.03</v>
      </c>
      <c r="EM24" s="3">
        <v>0.04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0.03</v>
      </c>
      <c r="EV24" s="3">
        <v>0.05</v>
      </c>
      <c r="EW24" s="3">
        <v>0.04</v>
      </c>
      <c r="EX24" s="3">
        <v>0.03</v>
      </c>
      <c r="EY24" s="3">
        <v>0.04</v>
      </c>
      <c r="EZ24" s="3">
        <f t="shared" si="11"/>
        <v>7.3400000000000007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0.15</v>
      </c>
      <c r="FO24" s="3">
        <v>0</v>
      </c>
      <c r="FP24" s="3">
        <v>0.32</v>
      </c>
      <c r="FQ24" s="3">
        <v>1.54</v>
      </c>
      <c r="FR24" s="3">
        <v>2.38</v>
      </c>
      <c r="FS24" s="3">
        <v>0.74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5.1400000000000006</v>
      </c>
      <c r="FZ24" s="3">
        <v>0.42</v>
      </c>
      <c r="GA24" s="3">
        <v>0.43</v>
      </c>
      <c r="GB24" s="3">
        <v>0.44</v>
      </c>
      <c r="GC24" s="3">
        <v>0.44</v>
      </c>
      <c r="GD24" s="3">
        <v>0.65</v>
      </c>
      <c r="GE24" s="3">
        <v>1.19</v>
      </c>
      <c r="GF24" s="3">
        <v>0.88</v>
      </c>
      <c r="GG24" s="3">
        <v>0.59</v>
      </c>
      <c r="GH24" s="3">
        <v>0.42</v>
      </c>
      <c r="GI24" s="3">
        <v>0.47</v>
      </c>
      <c r="GJ24" s="3">
        <v>0.44</v>
      </c>
      <c r="GK24" s="3">
        <v>0.43</v>
      </c>
      <c r="GL24" s="3">
        <v>0.71</v>
      </c>
      <c r="GM24" s="3">
        <v>0.97</v>
      </c>
      <c r="GN24" s="3">
        <v>0.47</v>
      </c>
      <c r="GO24" s="3">
        <v>0.46</v>
      </c>
      <c r="GP24" s="3">
        <v>1.54</v>
      </c>
      <c r="GQ24" s="3">
        <v>2.39</v>
      </c>
      <c r="GR24" s="3">
        <v>1.94</v>
      </c>
      <c r="GS24" s="3">
        <v>0.89</v>
      </c>
      <c r="GT24" s="3">
        <v>1.18</v>
      </c>
      <c r="GU24" s="3">
        <v>0.6</v>
      </c>
      <c r="GV24" s="3">
        <v>0.49</v>
      </c>
      <c r="GW24" s="3">
        <v>0.54</v>
      </c>
      <c r="GX24" s="3">
        <f t="shared" si="13"/>
        <v>18.98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>TEXT(VLOOKUP(LEFT(B25,FIND("月",B25)),基本シート!$E$6:$F$17,2,FALSE)&amp;B25,"aaaa")</f>
        <v>火曜日</v>
      </c>
      <c r="D25" s="6"/>
      <c r="E25" s="6" t="str">
        <f t="shared" si="9"/>
        <v/>
      </c>
      <c r="F25" s="6" t="s">
        <v>301</v>
      </c>
      <c r="G25" s="6" t="s">
        <v>299</v>
      </c>
      <c r="H25" s="3">
        <v>0.65</v>
      </c>
      <c r="I25" s="3">
        <f>IF($E25="〇",H25*基本シート!$E$2,H25*VLOOKUP(LEFT(I$6,FIND("(",I$6)-1),基本シート!$B$6:$C$29,2,FALSE))</f>
        <v>19.408999999999999</v>
      </c>
      <c r="J25" s="3">
        <v>0.61</v>
      </c>
      <c r="K25" s="3">
        <f>IF($E25="〇",J25*基本シート!$E$2,J25*VLOOKUP(LEFT(K$6,FIND("(",K$6)-1),基本シート!$B$6:$C$29,2,FALSE))</f>
        <v>18.214600000000001</v>
      </c>
      <c r="L25" s="3">
        <v>0.57999999999999996</v>
      </c>
      <c r="M25" s="3">
        <f>IF($E25="〇",L25*基本シート!$E$2,L25*VLOOKUP(LEFT(M$6,FIND("(",M$6)-1),基本シート!$B$6:$C$29,2,FALSE))</f>
        <v>17.3188</v>
      </c>
      <c r="N25" s="3">
        <v>0.61</v>
      </c>
      <c r="O25" s="3">
        <f>IF($E25="〇",N25*基本シート!$E$2,N25*VLOOKUP(LEFT(O$6,FIND("(",O$6)-1),基本シート!$B$6:$C$29,2,FALSE))</f>
        <v>18.214600000000001</v>
      </c>
      <c r="P25" s="3">
        <v>0.74</v>
      </c>
      <c r="Q25" s="3">
        <f>IF($E25="〇",P25*基本シート!$E$2,P25*VLOOKUP(LEFT(Q$6,FIND("(",Q$6)-1),基本シート!$B$6:$C$29,2,FALSE))</f>
        <v>22.096399999999999</v>
      </c>
      <c r="R25" s="3">
        <v>0.74</v>
      </c>
      <c r="S25" s="3">
        <f>IF($E25="〇",R25*基本シート!$E$2,R25*VLOOKUP(LEFT(S$6,FIND("(",S$6)-1),基本シート!$B$6:$C$29,2,FALSE))</f>
        <v>22.096399999999999</v>
      </c>
      <c r="T25" s="3">
        <v>0.59</v>
      </c>
      <c r="U25" s="3">
        <f>IF($E25="〇",T25*基本シート!$E$2,T25*VLOOKUP(LEFT(U$6,FIND("(",U$6)-1),基本シート!$B$6:$C$29,2,FALSE))</f>
        <v>17.6174</v>
      </c>
      <c r="V25" s="3">
        <v>0.24</v>
      </c>
      <c r="W25" s="3">
        <f>IF($E25="〇",V25*基本シート!$E$2,V25*VLOOKUP(LEFT(W$6,FIND("(",W$6)-1),基本シート!$B$6:$C$29,2,FALSE))</f>
        <v>8.8463999999999992</v>
      </c>
      <c r="X25" s="3">
        <v>0.01</v>
      </c>
      <c r="Y25" s="3">
        <f>IF($E25="〇",X25*基本シート!$E$2,X25*VLOOKUP(LEFT(Y$6,FIND("(",Y$6)-1),基本シート!$B$6:$C$29,2,FALSE))</f>
        <v>0.36859999999999998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0.02</v>
      </c>
      <c r="AO25" s="3">
        <f>IF($E25="〇",AN25*基本シート!$E$2,AN25*VLOOKUP(LEFT(AO$6,FIND("(",AO$6)-1),基本シート!$B$6:$C$29,2,FALSE))</f>
        <v>0.73719999999999997</v>
      </c>
      <c r="AP25" s="3">
        <v>1.2</v>
      </c>
      <c r="AQ25" s="3">
        <f>IF($E25="〇",AP25*基本シート!$E$2,AP25*VLOOKUP(LEFT(AQ$6,FIND("(",AQ$6)-1),基本シート!$B$6:$C$29,2,FALSE))</f>
        <v>44.231999999999999</v>
      </c>
      <c r="AR25" s="3">
        <v>3.52</v>
      </c>
      <c r="AS25" s="3">
        <f>IF($E25="〇",AR25*基本シート!$E$2,AR25*VLOOKUP(LEFT(AS$6,FIND("(",AS$6)-1),基本シート!$B$6:$C$29,2,FALSE))</f>
        <v>129.74719999999999</v>
      </c>
      <c r="AT25" s="3">
        <v>2.0699999999999998</v>
      </c>
      <c r="AU25" s="3">
        <f>IF($E25="〇",AT25*基本シート!$E$2,AT25*VLOOKUP(LEFT(AU$6,FIND("(",AU$6)-1),基本シート!$B$6:$C$29,2,FALSE))</f>
        <v>76.30019999999999</v>
      </c>
      <c r="AV25" s="3">
        <v>1.26</v>
      </c>
      <c r="AW25" s="3">
        <f>IF($E25="〇",AV25*基本シート!$E$2,AV25*VLOOKUP(LEFT(AW$6,FIND("(",AW$6)-1),基本シート!$B$6:$C$29,2,FALSE))</f>
        <v>46.443599999999996</v>
      </c>
      <c r="AX25" s="3">
        <v>1.01</v>
      </c>
      <c r="AY25" s="3">
        <f>IF($E25="〇",AX25*基本シート!$E$2,AX25*VLOOKUP(LEFT(AY$6,FIND("(",AY$6)-1),基本シート!$B$6:$C$29,2,FALSE))</f>
        <v>30.1586</v>
      </c>
      <c r="AZ25" s="3">
        <v>0.63</v>
      </c>
      <c r="BA25" s="3">
        <f>IF($E25="〇",AZ25*基本シート!$E$2,AZ25*VLOOKUP(LEFT(BA$6,FIND("(",BA$6)-1),基本シート!$B$6:$C$29,2,FALSE))</f>
        <v>18.811799999999998</v>
      </c>
      <c r="BB25" s="3">
        <v>0.7</v>
      </c>
      <c r="BC25" s="3">
        <f>IF($E25="〇",BB25*基本シート!$E$2,BB25*VLOOKUP(LEFT(BC$6,FIND("(",BC$6)-1),基本シート!$B$6:$C$29,2,FALSE))</f>
        <v>20.901999999999997</v>
      </c>
      <c r="BD25" s="3">
        <f t="shared" si="7"/>
        <v>15.18</v>
      </c>
      <c r="BE25" s="3">
        <f t="shared" si="8"/>
        <v>512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0.06</v>
      </c>
      <c r="BM25" s="3">
        <v>0.69</v>
      </c>
      <c r="BN25" s="3">
        <v>1.71</v>
      </c>
      <c r="BO25" s="3">
        <v>5.63</v>
      </c>
      <c r="BP25" s="3">
        <v>2.0499999999999998</v>
      </c>
      <c r="BQ25" s="3">
        <v>3.29</v>
      </c>
      <c r="BR25" s="3">
        <v>5.21</v>
      </c>
      <c r="BS25" s="3">
        <v>5.57</v>
      </c>
      <c r="BT25" s="3">
        <v>3.77</v>
      </c>
      <c r="BU25" s="3">
        <v>0.68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0.13</v>
      </c>
      <c r="CU25" s="3">
        <f>CT25*基本シート!$C$3</f>
        <v>2.08</v>
      </c>
      <c r="CV25" s="3">
        <v>1.36</v>
      </c>
      <c r="CW25" s="3">
        <f>CV25*基本シート!$C$3</f>
        <v>21.76</v>
      </c>
      <c r="CX25" s="3">
        <v>0.51</v>
      </c>
      <c r="CY25" s="3">
        <f>CX25*基本シート!$C$3</f>
        <v>8.16</v>
      </c>
      <c r="CZ25" s="3">
        <v>2.78</v>
      </c>
      <c r="DA25" s="3">
        <f>CZ25*基本シート!$C$3</f>
        <v>44.48</v>
      </c>
      <c r="DB25" s="3">
        <v>4.7</v>
      </c>
      <c r="DC25" s="3">
        <f>DB25*基本シート!$C$3</f>
        <v>75.2</v>
      </c>
      <c r="DD25" s="3">
        <v>5.08</v>
      </c>
      <c r="DE25" s="3">
        <f>DD25*基本シート!$C$3</f>
        <v>81.28</v>
      </c>
      <c r="DF25" s="3">
        <v>3.28</v>
      </c>
      <c r="DG25" s="3">
        <f>DF25*基本シート!$C$3</f>
        <v>52.48</v>
      </c>
      <c r="DH25" s="3">
        <v>0.36</v>
      </c>
      <c r="DI25" s="3">
        <f>DH25*基本シート!$C$3</f>
        <v>5.76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18.21</v>
      </c>
      <c r="EA25" s="3">
        <f>ROUND(DZ25*基本シート!$C$3,0)</f>
        <v>291</v>
      </c>
      <c r="EB25" s="3">
        <v>0.04</v>
      </c>
      <c r="EC25" s="3">
        <v>0.03</v>
      </c>
      <c r="ED25" s="3">
        <v>0.04</v>
      </c>
      <c r="EE25" s="3">
        <v>0.04</v>
      </c>
      <c r="EF25" s="3">
        <v>0.04</v>
      </c>
      <c r="EG25" s="3">
        <v>0.04</v>
      </c>
      <c r="EH25" s="3">
        <v>0.02</v>
      </c>
      <c r="EI25" s="3">
        <v>0.32</v>
      </c>
      <c r="EJ25" s="3">
        <v>1.1200000000000001</v>
      </c>
      <c r="EK25" s="3">
        <v>3.78</v>
      </c>
      <c r="EL25" s="3">
        <v>0.99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0.02</v>
      </c>
      <c r="EZ25" s="3">
        <f t="shared" si="11"/>
        <v>6.6300000000000008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0.94</v>
      </c>
      <c r="FQ25" s="3">
        <v>2.5099999999999998</v>
      </c>
      <c r="FR25" s="3">
        <v>1.61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5.0599999999999996</v>
      </c>
      <c r="FZ25" s="3">
        <v>0.61</v>
      </c>
      <c r="GA25" s="3">
        <v>0.57999999999999996</v>
      </c>
      <c r="GB25" s="3">
        <v>0.54</v>
      </c>
      <c r="GC25" s="3">
        <v>0.56999999999999995</v>
      </c>
      <c r="GD25" s="3">
        <v>0.7</v>
      </c>
      <c r="GE25" s="3">
        <v>0.7</v>
      </c>
      <c r="GF25" s="3">
        <v>0.63</v>
      </c>
      <c r="GG25" s="3">
        <v>0.61</v>
      </c>
      <c r="GH25" s="3">
        <v>0.47</v>
      </c>
      <c r="GI25" s="3">
        <v>0.49</v>
      </c>
      <c r="GJ25" s="3">
        <v>0.55000000000000004</v>
      </c>
      <c r="GK25" s="3">
        <v>0.51</v>
      </c>
      <c r="GL25" s="3">
        <v>0.51</v>
      </c>
      <c r="GM25" s="3">
        <v>0.49</v>
      </c>
      <c r="GN25" s="3">
        <v>0.49</v>
      </c>
      <c r="GO25" s="3">
        <v>1.26</v>
      </c>
      <c r="GP25" s="3">
        <v>2.5299999999999998</v>
      </c>
      <c r="GQ25" s="3">
        <v>2.81</v>
      </c>
      <c r="GR25" s="3">
        <v>3.49</v>
      </c>
      <c r="GS25" s="3">
        <v>2.04</v>
      </c>
      <c r="GT25" s="3">
        <v>1.23</v>
      </c>
      <c r="GU25" s="3">
        <v>0.98</v>
      </c>
      <c r="GV25" s="3">
        <v>0.6</v>
      </c>
      <c r="GW25" s="3">
        <v>0.68</v>
      </c>
      <c r="GX25" s="3">
        <f t="shared" si="13"/>
        <v>24.07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>TEXT(VLOOKUP(LEFT(B26,FIND("月",B26)),基本シート!$E$6:$F$17,2,FALSE)&amp;B26,"aaaa")</f>
        <v>水曜日</v>
      </c>
      <c r="D26" s="6"/>
      <c r="E26" s="6" t="str">
        <f t="shared" si="9"/>
        <v/>
      </c>
      <c r="F26" s="6" t="s">
        <v>301</v>
      </c>
      <c r="G26" s="6" t="s">
        <v>299</v>
      </c>
      <c r="H26" s="3">
        <v>0.67</v>
      </c>
      <c r="I26" s="3">
        <f>IF($E26="〇",H26*基本シート!$E$2,H26*VLOOKUP(LEFT(I$6,FIND("(",I$6)-1),基本シート!$B$6:$C$29,2,FALSE))</f>
        <v>20.0062</v>
      </c>
      <c r="J26" s="3">
        <v>0.64</v>
      </c>
      <c r="K26" s="3">
        <f>IF($E26="〇",J26*基本シート!$E$2,J26*VLOOKUP(LEFT(K$6,FIND("(",K$6)-1),基本シート!$B$6:$C$29,2,FALSE))</f>
        <v>19.110399999999998</v>
      </c>
      <c r="L26" s="3">
        <v>0.81</v>
      </c>
      <c r="M26" s="3">
        <f>IF($E26="〇",L26*基本シート!$E$2,L26*VLOOKUP(LEFT(M$6,FIND("(",M$6)-1),基本シート!$B$6:$C$29,2,FALSE))</f>
        <v>24.186600000000002</v>
      </c>
      <c r="N26" s="3">
        <v>0.98</v>
      </c>
      <c r="O26" s="3">
        <f>IF($E26="〇",N26*基本シート!$E$2,N26*VLOOKUP(LEFT(O$6,FIND("(",O$6)-1),基本シート!$B$6:$C$29,2,FALSE))</f>
        <v>29.262799999999999</v>
      </c>
      <c r="P26" s="3">
        <v>0.67</v>
      </c>
      <c r="Q26" s="3">
        <f>IF($E26="〇",P26*基本シート!$E$2,P26*VLOOKUP(LEFT(Q$6,FIND("(",Q$6)-1),基本シート!$B$6:$C$29,2,FALSE))</f>
        <v>20.0062</v>
      </c>
      <c r="R26" s="3">
        <v>1</v>
      </c>
      <c r="S26" s="3">
        <f>IF($E26="〇",R26*基本シート!$E$2,R26*VLOOKUP(LEFT(S$6,FIND("(",S$6)-1),基本シート!$B$6:$C$29,2,FALSE))</f>
        <v>29.86</v>
      </c>
      <c r="T26" s="3">
        <v>0.88</v>
      </c>
      <c r="U26" s="3">
        <f>IF($E26="〇",T26*基本シート!$E$2,T26*VLOOKUP(LEFT(U$6,FIND("(",U$6)-1),基本シート!$B$6:$C$29,2,FALSE))</f>
        <v>26.276799999999998</v>
      </c>
      <c r="V26" s="3">
        <v>0.17</v>
      </c>
      <c r="W26" s="3">
        <f>IF($E26="〇",V26*基本シート!$E$2,V26*VLOOKUP(LEFT(W$6,FIND("(",W$6)-1),基本シート!$B$6:$C$29,2,FALSE))</f>
        <v>6.2662000000000004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0.06</v>
      </c>
      <c r="AQ26" s="3">
        <f>IF($E26="〇",AP26*基本シート!$E$2,AP26*VLOOKUP(LEFT(AQ$6,FIND("(",AQ$6)-1),基本シート!$B$6:$C$29,2,FALSE))</f>
        <v>2.2115999999999998</v>
      </c>
      <c r="AR26" s="3">
        <v>2.82</v>
      </c>
      <c r="AS26" s="3">
        <f>IF($E26="〇",AR26*基本シート!$E$2,AR26*VLOOKUP(LEFT(AS$6,FIND("(",AS$6)-1),基本シート!$B$6:$C$29,2,FALSE))</f>
        <v>103.94519999999999</v>
      </c>
      <c r="AT26" s="3">
        <v>1.98</v>
      </c>
      <c r="AU26" s="3">
        <f>IF($E26="〇",AT26*基本シート!$E$2,AT26*VLOOKUP(LEFT(AU$6,FIND("(",AU$6)-1),基本シート!$B$6:$C$29,2,FALSE))</f>
        <v>72.982799999999997</v>
      </c>
      <c r="AV26" s="3">
        <v>0.89</v>
      </c>
      <c r="AW26" s="3">
        <f>IF($E26="〇",AV26*基本シート!$E$2,AV26*VLOOKUP(LEFT(AW$6,FIND("(",AW$6)-1),基本シート!$B$6:$C$29,2,FALSE))</f>
        <v>32.805399999999999</v>
      </c>
      <c r="AX26" s="3">
        <v>0.96</v>
      </c>
      <c r="AY26" s="3">
        <f>IF($E26="〇",AX26*基本シート!$E$2,AX26*VLOOKUP(LEFT(AY$6,FIND("(",AY$6)-1),基本シート!$B$6:$C$29,2,FALSE))</f>
        <v>28.665599999999998</v>
      </c>
      <c r="AZ26" s="3">
        <v>0.65</v>
      </c>
      <c r="BA26" s="3">
        <f>IF($E26="〇",AZ26*基本シート!$E$2,AZ26*VLOOKUP(LEFT(BA$6,FIND("(",BA$6)-1),基本シート!$B$6:$C$29,2,FALSE))</f>
        <v>19.408999999999999</v>
      </c>
      <c r="BB26" s="3">
        <v>0.55000000000000004</v>
      </c>
      <c r="BC26" s="3">
        <f>IF($E26="〇",BB26*基本シート!$E$2,BB26*VLOOKUP(LEFT(BC$6,FIND("(",BC$6)-1),基本シート!$B$6:$C$29,2,FALSE))</f>
        <v>16.423000000000002</v>
      </c>
      <c r="BD26" s="3">
        <f t="shared" si="7"/>
        <v>13.74</v>
      </c>
      <c r="BE26" s="3">
        <f t="shared" si="8"/>
        <v>452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0.06</v>
      </c>
      <c r="BM26" s="3">
        <v>0.92</v>
      </c>
      <c r="BN26" s="3">
        <v>2.84</v>
      </c>
      <c r="BO26" s="3">
        <v>4.78</v>
      </c>
      <c r="BP26" s="3">
        <v>5.24</v>
      </c>
      <c r="BQ26" s="3">
        <v>5.47</v>
      </c>
      <c r="BR26" s="3">
        <v>5.42</v>
      </c>
      <c r="BS26" s="3">
        <v>4.57</v>
      </c>
      <c r="BT26" s="3">
        <v>2.85</v>
      </c>
      <c r="BU26" s="3">
        <v>0.64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0.64</v>
      </c>
      <c r="CU26" s="3">
        <f>CT26*基本シート!$C$3</f>
        <v>10.24</v>
      </c>
      <c r="CV26" s="3">
        <v>0.34</v>
      </c>
      <c r="CW26" s="3">
        <f>CV26*基本シート!$C$3</f>
        <v>5.44</v>
      </c>
      <c r="CX26" s="3">
        <v>4.2300000000000004</v>
      </c>
      <c r="CY26" s="3">
        <f>CX26*基本シート!$C$3</f>
        <v>67.680000000000007</v>
      </c>
      <c r="CZ26" s="3">
        <v>4.82</v>
      </c>
      <c r="DA26" s="3">
        <f>CZ26*基本シート!$C$3</f>
        <v>77.12</v>
      </c>
      <c r="DB26" s="3">
        <v>4.9400000000000004</v>
      </c>
      <c r="DC26" s="3">
        <f>DB26*基本シート!$C$3</f>
        <v>79.040000000000006</v>
      </c>
      <c r="DD26" s="3">
        <v>4.0599999999999996</v>
      </c>
      <c r="DE26" s="3">
        <f>DD26*基本シート!$C$3</f>
        <v>64.959999999999994</v>
      </c>
      <c r="DF26" s="3">
        <v>2.36</v>
      </c>
      <c r="DG26" s="3">
        <f>DF26*基本シート!$C$3</f>
        <v>37.76</v>
      </c>
      <c r="DH26" s="3">
        <v>0.25</v>
      </c>
      <c r="DI26" s="3">
        <f>DH26*基本シート!$C$3</f>
        <v>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21.660000000000004</v>
      </c>
      <c r="EA26" s="3">
        <f>ROUND(DZ26*基本シート!$C$3,0)</f>
        <v>347</v>
      </c>
      <c r="EB26" s="3">
        <v>0.04</v>
      </c>
      <c r="EC26" s="3">
        <v>0.04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0.1</v>
      </c>
      <c r="EJ26" s="3">
        <v>1.68</v>
      </c>
      <c r="EK26" s="3">
        <v>3.93</v>
      </c>
      <c r="EL26" s="3">
        <v>0.51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6.6000000000000005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0.01</v>
      </c>
      <c r="FM26" s="3">
        <v>0</v>
      </c>
      <c r="FN26" s="3">
        <v>0</v>
      </c>
      <c r="FO26" s="3">
        <v>0</v>
      </c>
      <c r="FP26" s="3">
        <v>0.85</v>
      </c>
      <c r="FQ26" s="3">
        <v>1.1599999999999999</v>
      </c>
      <c r="FR26" s="3">
        <v>2.81</v>
      </c>
      <c r="FS26" s="3">
        <v>0.13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4.96</v>
      </c>
      <c r="FZ26" s="3">
        <v>0.63</v>
      </c>
      <c r="GA26" s="3">
        <v>0.6</v>
      </c>
      <c r="GB26" s="3">
        <v>0.78</v>
      </c>
      <c r="GC26" s="3">
        <v>0.95</v>
      </c>
      <c r="GD26" s="3">
        <v>0.63</v>
      </c>
      <c r="GE26" s="3">
        <v>0.97</v>
      </c>
      <c r="GF26" s="3">
        <v>0.92</v>
      </c>
      <c r="GG26" s="3">
        <v>0.99</v>
      </c>
      <c r="GH26" s="3">
        <v>0.52</v>
      </c>
      <c r="GI26" s="3">
        <v>0.51</v>
      </c>
      <c r="GJ26" s="3">
        <v>0.5</v>
      </c>
      <c r="GK26" s="3">
        <v>0.66</v>
      </c>
      <c r="GL26" s="3">
        <v>0.48</v>
      </c>
      <c r="GM26" s="3">
        <v>0.51</v>
      </c>
      <c r="GN26" s="3">
        <v>0.49</v>
      </c>
      <c r="GO26" s="3">
        <v>1.24</v>
      </c>
      <c r="GP26" s="3">
        <v>1.1599999999999999</v>
      </c>
      <c r="GQ26" s="3">
        <v>2.86</v>
      </c>
      <c r="GR26" s="3">
        <v>2.95</v>
      </c>
      <c r="GS26" s="3">
        <v>1.95</v>
      </c>
      <c r="GT26" s="3">
        <v>0.86</v>
      </c>
      <c r="GU26" s="3">
        <v>0.93</v>
      </c>
      <c r="GV26" s="3">
        <v>0.62</v>
      </c>
      <c r="GW26" s="3">
        <v>0.52</v>
      </c>
      <c r="GX26" s="3">
        <f t="shared" si="13"/>
        <v>23.23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>TEXT(VLOOKUP(LEFT(B27,FIND("月",B27)),基本シート!$E$6:$F$17,2,FALSE)&amp;B27,"aaaa")</f>
        <v>木曜日</v>
      </c>
      <c r="D27" s="6"/>
      <c r="E27" s="6" t="str">
        <f t="shared" si="9"/>
        <v/>
      </c>
      <c r="F27" s="6" t="s">
        <v>301</v>
      </c>
      <c r="G27" s="6" t="s">
        <v>301</v>
      </c>
      <c r="H27" s="3">
        <v>0.56999999999999995</v>
      </c>
      <c r="I27" s="3">
        <f>IF($E27="〇",H27*基本シート!$E$2,H27*VLOOKUP(LEFT(I$6,FIND("(",I$6)-1),基本シート!$B$6:$C$29,2,FALSE))</f>
        <v>17.020199999999999</v>
      </c>
      <c r="J27" s="3">
        <v>0.77</v>
      </c>
      <c r="K27" s="3">
        <f>IF($E27="〇",J27*基本シート!$E$2,J27*VLOOKUP(LEFT(K$6,FIND("(",K$6)-1),基本シート!$B$6:$C$29,2,FALSE))</f>
        <v>22.9922</v>
      </c>
      <c r="L27" s="3">
        <v>0.52</v>
      </c>
      <c r="M27" s="3">
        <f>IF($E27="〇",L27*基本シート!$E$2,L27*VLOOKUP(LEFT(M$6,FIND("(",M$6)-1),基本シート!$B$6:$C$29,2,FALSE))</f>
        <v>15.527200000000001</v>
      </c>
      <c r="N27" s="3">
        <v>0.61</v>
      </c>
      <c r="O27" s="3">
        <f>IF($E27="〇",N27*基本シート!$E$2,N27*VLOOKUP(LEFT(O$6,FIND("(",O$6)-1),基本シート!$B$6:$C$29,2,FALSE))</f>
        <v>18.214600000000001</v>
      </c>
      <c r="P27" s="3">
        <v>0.97</v>
      </c>
      <c r="Q27" s="3">
        <f>IF($E27="〇",P27*基本シート!$E$2,P27*VLOOKUP(LEFT(Q$6,FIND("(",Q$6)-1),基本シート!$B$6:$C$29,2,FALSE))</f>
        <v>28.964199999999998</v>
      </c>
      <c r="R27" s="3">
        <v>0.7</v>
      </c>
      <c r="S27" s="3">
        <f>IF($E27="〇",R27*基本シート!$E$2,R27*VLOOKUP(LEFT(S$6,FIND("(",S$6)-1),基本シート!$B$6:$C$29,2,FALSE))</f>
        <v>20.901999999999997</v>
      </c>
      <c r="T27" s="3">
        <v>1.1399999999999999</v>
      </c>
      <c r="U27" s="3">
        <f>IF($E27="〇",T27*基本シート!$E$2,T27*VLOOKUP(LEFT(U$6,FIND("(",U$6)-1),基本シート!$B$6:$C$29,2,FALSE))</f>
        <v>34.040399999999998</v>
      </c>
      <c r="V27" s="3">
        <v>0.31</v>
      </c>
      <c r="W27" s="3">
        <f>IF($E27="〇",V27*基本シート!$E$2,V27*VLOOKUP(LEFT(W$6,FIND("(",W$6)-1),基本シート!$B$6:$C$29,2,FALSE))</f>
        <v>11.426600000000001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1.52</v>
      </c>
      <c r="AS27" s="3">
        <f>IF($E27="〇",AR27*基本シート!$E$2,AR27*VLOOKUP(LEFT(AS$6,FIND("(",AS$6)-1),基本シート!$B$6:$C$29,2,FALSE))</f>
        <v>56.027200000000001</v>
      </c>
      <c r="AT27" s="3">
        <v>2.0099999999999998</v>
      </c>
      <c r="AU27" s="3">
        <f>IF($E27="〇",AT27*基本シート!$E$2,AT27*VLOOKUP(LEFT(AU$6,FIND("(",AU$6)-1),基本シート!$B$6:$C$29,2,FALSE))</f>
        <v>74.088599999999985</v>
      </c>
      <c r="AV27" s="3">
        <v>1.1299999999999999</v>
      </c>
      <c r="AW27" s="3">
        <f>IF($E27="〇",AV27*基本シート!$E$2,AV27*VLOOKUP(LEFT(AW$6,FIND("(",AW$6)-1),基本シート!$B$6:$C$29,2,FALSE))</f>
        <v>41.651799999999994</v>
      </c>
      <c r="AX27" s="3">
        <v>0.78</v>
      </c>
      <c r="AY27" s="3">
        <f>IF($E27="〇",AX27*基本シート!$E$2,AX27*VLOOKUP(LEFT(AY$6,FIND("(",AY$6)-1),基本シート!$B$6:$C$29,2,FALSE))</f>
        <v>23.290800000000001</v>
      </c>
      <c r="AZ27" s="3">
        <v>0.57999999999999996</v>
      </c>
      <c r="BA27" s="3">
        <f>IF($E27="〇",AZ27*基本シート!$E$2,AZ27*VLOOKUP(LEFT(BA$6,FIND("(",BA$6)-1),基本シート!$B$6:$C$29,2,FALSE))</f>
        <v>17.3188</v>
      </c>
      <c r="BB27" s="3">
        <v>0.57999999999999996</v>
      </c>
      <c r="BC27" s="3">
        <f>IF($E27="〇",BB27*基本シート!$E$2,BB27*VLOOKUP(LEFT(BC$6,FIND("(",BC$6)-1),基本シート!$B$6:$C$29,2,FALSE))</f>
        <v>17.3188</v>
      </c>
      <c r="BD27" s="3">
        <f t="shared" si="7"/>
        <v>12.209999999999999</v>
      </c>
      <c r="BE27" s="3">
        <f t="shared" si="8"/>
        <v>400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1.04</v>
      </c>
      <c r="BN27" s="3">
        <v>3.37</v>
      </c>
      <c r="BO27" s="3">
        <v>5.04</v>
      </c>
      <c r="BP27" s="3">
        <v>5.29</v>
      </c>
      <c r="BQ27" s="3">
        <v>3.57</v>
      </c>
      <c r="BR27" s="3">
        <v>1.23</v>
      </c>
      <c r="BS27" s="3">
        <v>2.06</v>
      </c>
      <c r="BT27" s="3">
        <v>1.59</v>
      </c>
      <c r="BU27" s="3">
        <v>0.55000000000000004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0.02</v>
      </c>
      <c r="CU27" s="3">
        <f>CT27*基本シート!$C$3</f>
        <v>0.32</v>
      </c>
      <c r="CV27" s="3">
        <v>1.75</v>
      </c>
      <c r="CW27" s="3">
        <f>CV27*基本シート!$C$3</f>
        <v>28</v>
      </c>
      <c r="CX27" s="3">
        <v>4.82</v>
      </c>
      <c r="CY27" s="3">
        <f>CX27*基本シート!$C$3</f>
        <v>77.12</v>
      </c>
      <c r="CZ27" s="3">
        <v>3.11</v>
      </c>
      <c r="DA27" s="3">
        <f>CZ27*基本シート!$C$3</f>
        <v>49.76</v>
      </c>
      <c r="DB27" s="3">
        <v>0.8</v>
      </c>
      <c r="DC27" s="3">
        <f>DB27*基本シート!$C$3</f>
        <v>12.8</v>
      </c>
      <c r="DD27" s="3">
        <v>1.63</v>
      </c>
      <c r="DE27" s="3">
        <f>DD27*基本シート!$C$3</f>
        <v>26.08</v>
      </c>
      <c r="DF27" s="3">
        <v>1.17</v>
      </c>
      <c r="DG27" s="3">
        <f>DF27*基本シート!$C$3</f>
        <v>18.72</v>
      </c>
      <c r="DH27" s="3">
        <v>0.28999999999999998</v>
      </c>
      <c r="DI27" s="3">
        <f>DH27*基本シート!$C$3</f>
        <v>4.6399999999999997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13.609999999999998</v>
      </c>
      <c r="EA27" s="3">
        <f>ROUND(DZ27*基本シート!$C$3,0)</f>
        <v>218</v>
      </c>
      <c r="EB27" s="3">
        <v>0.03</v>
      </c>
      <c r="EC27" s="3">
        <v>0.03</v>
      </c>
      <c r="ED27" s="3">
        <v>0.02</v>
      </c>
      <c r="EE27" s="3">
        <v>0.03</v>
      </c>
      <c r="EF27" s="3">
        <v>0.05</v>
      </c>
      <c r="EG27" s="3">
        <v>0.03</v>
      </c>
      <c r="EH27" s="3">
        <v>0.02</v>
      </c>
      <c r="EI27" s="3">
        <v>0.54</v>
      </c>
      <c r="EJ27" s="3">
        <v>2.81</v>
      </c>
      <c r="EK27" s="3">
        <v>2.8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6.5100000000000007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0.01</v>
      </c>
      <c r="FL27" s="3">
        <v>0</v>
      </c>
      <c r="FM27" s="3">
        <v>0</v>
      </c>
      <c r="FN27" s="3">
        <v>0</v>
      </c>
      <c r="FO27" s="3">
        <v>0.01</v>
      </c>
      <c r="FP27" s="3">
        <v>0.16</v>
      </c>
      <c r="FQ27" s="3">
        <v>1.07</v>
      </c>
      <c r="FR27" s="3">
        <v>2.77</v>
      </c>
      <c r="FS27" s="3">
        <v>1.1299999999999999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5.1499999999999995</v>
      </c>
      <c r="FZ27" s="3">
        <v>0.54</v>
      </c>
      <c r="GA27" s="3">
        <v>0.74</v>
      </c>
      <c r="GB27" s="3">
        <v>0.5</v>
      </c>
      <c r="GC27" s="3">
        <v>0.57999999999999996</v>
      </c>
      <c r="GD27" s="3">
        <v>0.92</v>
      </c>
      <c r="GE27" s="3">
        <v>0.67</v>
      </c>
      <c r="GF27" s="3">
        <v>1.1499999999999999</v>
      </c>
      <c r="GG27" s="3">
        <v>0.81</v>
      </c>
      <c r="GH27" s="3">
        <v>0.54</v>
      </c>
      <c r="GI27" s="3">
        <v>0.49</v>
      </c>
      <c r="GJ27" s="3">
        <v>0.48</v>
      </c>
      <c r="GK27" s="3">
        <v>0.46</v>
      </c>
      <c r="GL27" s="3">
        <v>0.43</v>
      </c>
      <c r="GM27" s="3">
        <v>0.43</v>
      </c>
      <c r="GN27" s="3">
        <v>0.43</v>
      </c>
      <c r="GO27" s="3">
        <v>0.42</v>
      </c>
      <c r="GP27" s="3">
        <v>1.07</v>
      </c>
      <c r="GQ27" s="3">
        <v>2.77</v>
      </c>
      <c r="GR27" s="3">
        <v>2.65</v>
      </c>
      <c r="GS27" s="3">
        <v>1.98</v>
      </c>
      <c r="GT27" s="3">
        <v>1.1000000000000001</v>
      </c>
      <c r="GU27" s="3">
        <v>0.75</v>
      </c>
      <c r="GV27" s="3">
        <v>0.55000000000000004</v>
      </c>
      <c r="GW27" s="3">
        <v>0.55000000000000004</v>
      </c>
      <c r="GX27" s="3">
        <f t="shared" si="13"/>
        <v>21.01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>TEXT(VLOOKUP(LEFT(B28,FIND("月",B28)),基本シート!$E$6:$F$17,2,FALSE)&amp;B28,"aaaa")</f>
        <v>金曜日</v>
      </c>
      <c r="D28" s="6"/>
      <c r="E28" s="6" t="str">
        <f t="shared" si="9"/>
        <v/>
      </c>
      <c r="F28" s="6" t="s">
        <v>299</v>
      </c>
      <c r="G28" s="6" t="s">
        <v>300</v>
      </c>
      <c r="H28" s="3">
        <v>0.53</v>
      </c>
      <c r="I28" s="3">
        <f>IF($E28="〇",H28*基本シート!$E$2,H28*VLOOKUP(LEFT(I$6,FIND("(",I$6)-1),基本シート!$B$6:$C$29,2,FALSE))</f>
        <v>15.825800000000001</v>
      </c>
      <c r="J28" s="3">
        <v>0.59</v>
      </c>
      <c r="K28" s="3">
        <f>IF($E28="〇",J28*基本シート!$E$2,J28*VLOOKUP(LEFT(K$6,FIND("(",K$6)-1),基本シート!$B$6:$C$29,2,FALSE))</f>
        <v>17.6174</v>
      </c>
      <c r="L28" s="3">
        <v>0.5</v>
      </c>
      <c r="M28" s="3">
        <f>IF($E28="〇",L28*基本シート!$E$2,L28*VLOOKUP(LEFT(M$6,FIND("(",M$6)-1),基本シート!$B$6:$C$29,2,FALSE))</f>
        <v>14.93</v>
      </c>
      <c r="N28" s="3">
        <v>0.66</v>
      </c>
      <c r="O28" s="3">
        <f>IF($E28="〇",N28*基本シート!$E$2,N28*VLOOKUP(LEFT(O$6,FIND("(",O$6)-1),基本シート!$B$6:$C$29,2,FALSE))</f>
        <v>19.707599999999999</v>
      </c>
      <c r="P28" s="3">
        <v>0.64</v>
      </c>
      <c r="Q28" s="3">
        <f>IF($E28="〇",P28*基本シート!$E$2,P28*VLOOKUP(LEFT(Q$6,FIND("(",Q$6)-1),基本シート!$B$6:$C$29,2,FALSE))</f>
        <v>19.110399999999998</v>
      </c>
      <c r="R28" s="3">
        <v>0.62</v>
      </c>
      <c r="S28" s="3">
        <f>IF($E28="〇",R28*基本シート!$E$2,R28*VLOOKUP(LEFT(S$6,FIND("(",S$6)-1),基本シート!$B$6:$C$29,2,FALSE))</f>
        <v>18.513200000000001</v>
      </c>
      <c r="T28" s="3">
        <v>0.63</v>
      </c>
      <c r="U28" s="3">
        <f>IF($E28="〇",T28*基本シート!$E$2,T28*VLOOKUP(LEFT(U$6,FIND("(",U$6)-1),基本シート!$B$6:$C$29,2,FALSE))</f>
        <v>18.811799999999998</v>
      </c>
      <c r="V28" s="3">
        <v>0.36</v>
      </c>
      <c r="W28" s="3">
        <f>IF($E28="〇",V28*基本シート!$E$2,V28*VLOOKUP(LEFT(W$6,FIND("(",W$6)-1),基本シート!$B$6:$C$29,2,FALSE))</f>
        <v>13.269599999999999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0.01</v>
      </c>
      <c r="AC28" s="3">
        <f>IF($E28="〇",AB28*基本シート!$E$2,AB28*VLOOKUP(LEFT(AC$6,FIND("(",AC$6)-1),基本シート!$B$6:$C$29,2,FALSE))</f>
        <v>0.36859999999999998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0.73719999999999997</v>
      </c>
      <c r="AP28" s="3">
        <v>0.02</v>
      </c>
      <c r="AQ28" s="3">
        <f>IF($E28="〇",AP28*基本シート!$E$2,AP28*VLOOKUP(LEFT(AQ$6,FIND("(",AQ$6)-1),基本シート!$B$6:$C$29,2,FALSE))</f>
        <v>0.73719999999999997</v>
      </c>
      <c r="AR28" s="3">
        <v>0.64</v>
      </c>
      <c r="AS28" s="3">
        <f>IF($E28="〇",AR28*基本シート!$E$2,AR28*VLOOKUP(LEFT(AS$6,FIND("(",AS$6)-1),基本シート!$B$6:$C$29,2,FALSE))</f>
        <v>23.590399999999999</v>
      </c>
      <c r="AT28" s="3">
        <v>2.12</v>
      </c>
      <c r="AU28" s="3">
        <f>IF($E28="〇",AT28*基本シート!$E$2,AT28*VLOOKUP(LEFT(AU$6,FIND("(",AU$6)-1),基本シート!$B$6:$C$29,2,FALSE))</f>
        <v>78.143200000000007</v>
      </c>
      <c r="AV28" s="3">
        <v>0.68</v>
      </c>
      <c r="AW28" s="3">
        <f>IF($E28="〇",AV28*基本シート!$E$2,AV28*VLOOKUP(LEFT(AW$6,FIND("(",AW$6)-1),基本シート!$B$6:$C$29,2,FALSE))</f>
        <v>25.064800000000002</v>
      </c>
      <c r="AX28" s="3">
        <v>0.56000000000000005</v>
      </c>
      <c r="AY28" s="3">
        <f>IF($E28="〇",AX28*基本シート!$E$2,AX28*VLOOKUP(LEFT(AY$6,FIND("(",AY$6)-1),基本シート!$B$6:$C$29,2,FALSE))</f>
        <v>16.721600000000002</v>
      </c>
      <c r="AZ28" s="3">
        <v>0.56000000000000005</v>
      </c>
      <c r="BA28" s="3">
        <f>IF($E28="〇",AZ28*基本シート!$E$2,AZ28*VLOOKUP(LEFT(BA$6,FIND("(",BA$6)-1),基本シート!$B$6:$C$29,2,FALSE))</f>
        <v>16.721600000000002</v>
      </c>
      <c r="BB28" s="3">
        <v>0.53</v>
      </c>
      <c r="BC28" s="3">
        <f>IF($E28="〇",BB28*基本シート!$E$2,BB28*VLOOKUP(LEFT(BC$6,FIND("(",BC$6)-1),基本シート!$B$6:$C$29,2,FALSE))</f>
        <v>15.825800000000001</v>
      </c>
      <c r="BD28" s="3">
        <f t="shared" si="7"/>
        <v>9.67</v>
      </c>
      <c r="BE28" s="3">
        <f t="shared" si="8"/>
        <v>316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0.25</v>
      </c>
      <c r="BN28" s="3">
        <v>1.4</v>
      </c>
      <c r="BO28" s="3">
        <v>2.11</v>
      </c>
      <c r="BP28" s="3">
        <v>4.46</v>
      </c>
      <c r="BQ28" s="3">
        <v>4.28</v>
      </c>
      <c r="BR28" s="3">
        <v>1.61</v>
      </c>
      <c r="BS28" s="3">
        <v>3.83</v>
      </c>
      <c r="BT28" s="3">
        <v>0.72</v>
      </c>
      <c r="BU28" s="3">
        <v>0.23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0.01</v>
      </c>
      <c r="CU28" s="3">
        <f>CT28*基本シート!$C$3</f>
        <v>0.16</v>
      </c>
      <c r="CV28" s="3">
        <v>7.0000000000000007E-2</v>
      </c>
      <c r="CW28" s="3">
        <f>CV28*基本シート!$C$3</f>
        <v>1.1200000000000001</v>
      </c>
      <c r="CX28" s="3">
        <v>0.81</v>
      </c>
      <c r="CY28" s="3">
        <f>CX28*基本シート!$C$3</f>
        <v>12.96</v>
      </c>
      <c r="CZ28" s="3">
        <v>3.19</v>
      </c>
      <c r="DA28" s="3">
        <f>CZ28*基本シート!$C$3</f>
        <v>51.04</v>
      </c>
      <c r="DB28" s="3">
        <v>1.19</v>
      </c>
      <c r="DC28" s="3">
        <f>DB28*基本シート!$C$3</f>
        <v>19.04</v>
      </c>
      <c r="DD28" s="3">
        <v>3.41</v>
      </c>
      <c r="DE28" s="3">
        <f>DD28*基本シート!$C$3</f>
        <v>54.56</v>
      </c>
      <c r="DF28" s="3">
        <v>0.37</v>
      </c>
      <c r="DG28" s="3">
        <f>DF28*基本シート!$C$3</f>
        <v>5.92</v>
      </c>
      <c r="DH28" s="3">
        <v>0.02</v>
      </c>
      <c r="DI28" s="3">
        <f>DH28*基本シート!$C$3</f>
        <v>0.32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9.0999999999999979</v>
      </c>
      <c r="EA28" s="3">
        <f>ROUND(DZ28*基本シート!$C$3,0)</f>
        <v>146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0.01</v>
      </c>
      <c r="EI28" s="3">
        <v>0.01</v>
      </c>
      <c r="EJ28" s="3">
        <v>0.96</v>
      </c>
      <c r="EK28" s="3">
        <v>1.62</v>
      </c>
      <c r="EL28" s="3">
        <v>3.14</v>
      </c>
      <c r="EM28" s="3">
        <v>0.63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0.03</v>
      </c>
      <c r="EZ28" s="3">
        <f t="shared" si="11"/>
        <v>6.6900000000000013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0.09</v>
      </c>
      <c r="FP28" s="3">
        <v>0.23</v>
      </c>
      <c r="FQ28" s="3">
        <v>1.08</v>
      </c>
      <c r="FR28" s="3">
        <v>2.4900000000000002</v>
      </c>
      <c r="FS28" s="3">
        <v>1.48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5.370000000000001</v>
      </c>
      <c r="FZ28" s="3">
        <v>0.51</v>
      </c>
      <c r="GA28" s="3">
        <v>0.56000000000000005</v>
      </c>
      <c r="GB28" s="3">
        <v>0.47</v>
      </c>
      <c r="GC28" s="3">
        <v>0.63</v>
      </c>
      <c r="GD28" s="3">
        <v>0.61</v>
      </c>
      <c r="GE28" s="3">
        <v>0.59</v>
      </c>
      <c r="GF28" s="3">
        <v>0.62</v>
      </c>
      <c r="GG28" s="3">
        <v>0.6</v>
      </c>
      <c r="GH28" s="3">
        <v>0.43</v>
      </c>
      <c r="GI28" s="3">
        <v>0.42</v>
      </c>
      <c r="GJ28" s="3">
        <v>0.52</v>
      </c>
      <c r="GK28" s="3">
        <v>0.46</v>
      </c>
      <c r="GL28" s="3">
        <v>0.42</v>
      </c>
      <c r="GM28" s="3">
        <v>0.42</v>
      </c>
      <c r="GN28" s="3">
        <v>0.44</v>
      </c>
      <c r="GO28" s="3">
        <v>0.44</v>
      </c>
      <c r="GP28" s="3">
        <v>1.0900000000000001</v>
      </c>
      <c r="GQ28" s="3">
        <v>2.5</v>
      </c>
      <c r="GR28" s="3">
        <v>2.11</v>
      </c>
      <c r="GS28" s="3">
        <v>2.09</v>
      </c>
      <c r="GT28" s="3">
        <v>0.65</v>
      </c>
      <c r="GU28" s="3">
        <v>0.53</v>
      </c>
      <c r="GV28" s="3">
        <v>0.53</v>
      </c>
      <c r="GW28" s="3">
        <v>0.5</v>
      </c>
      <c r="GX28" s="3">
        <f t="shared" si="13"/>
        <v>18.14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>TEXT(VLOOKUP(LEFT(B29,FIND("月",B29)),基本シート!$E$6:$F$17,2,FALSE)&amp;B29,"aaaa")</f>
        <v>土曜日</v>
      </c>
      <c r="D29" s="6"/>
      <c r="E29" s="6" t="str">
        <f t="shared" si="9"/>
        <v>〇</v>
      </c>
      <c r="F29" s="6" t="s">
        <v>299</v>
      </c>
      <c r="G29" s="6" t="s">
        <v>301</v>
      </c>
      <c r="H29" s="3">
        <v>0.54</v>
      </c>
      <c r="I29" s="3">
        <f>IF($E29="〇",H29*基本シート!$E$2,H29*VLOOKUP(LEFT(I$6,FIND("(",I$6)-1),基本シート!$B$6:$C$29,2,FALSE))</f>
        <v>16.124400000000001</v>
      </c>
      <c r="J29" s="3">
        <v>0.57999999999999996</v>
      </c>
      <c r="K29" s="3">
        <f>IF($E29="〇",J29*基本シート!$E$2,J29*VLOOKUP(LEFT(K$6,FIND("(",K$6)-1),基本シート!$B$6:$C$29,2,FALSE))</f>
        <v>17.3188</v>
      </c>
      <c r="L29" s="3">
        <v>0.59</v>
      </c>
      <c r="M29" s="3">
        <f>IF($E29="〇",L29*基本シート!$E$2,L29*VLOOKUP(LEFT(M$6,FIND("(",M$6)-1),基本シート!$B$6:$C$29,2,FALSE))</f>
        <v>17.6174</v>
      </c>
      <c r="N29" s="3">
        <v>0.57999999999999996</v>
      </c>
      <c r="O29" s="3">
        <f>IF($E29="〇",N29*基本シート!$E$2,N29*VLOOKUP(LEFT(O$6,FIND("(",O$6)-1),基本シート!$B$6:$C$29,2,FALSE))</f>
        <v>17.3188</v>
      </c>
      <c r="P29" s="3">
        <v>0.61</v>
      </c>
      <c r="Q29" s="3">
        <f>IF($E29="〇",P29*基本シート!$E$2,P29*VLOOKUP(LEFT(Q$6,FIND("(",Q$6)-1),基本シート!$B$6:$C$29,2,FALSE))</f>
        <v>18.214600000000001</v>
      </c>
      <c r="R29" s="3">
        <v>0.61</v>
      </c>
      <c r="S29" s="3">
        <f>IF($E29="〇",R29*基本シート!$E$2,R29*VLOOKUP(LEFT(S$6,FIND("(",S$6)-1),基本シート!$B$6:$C$29,2,FALSE))</f>
        <v>18.214600000000001</v>
      </c>
      <c r="T29" s="3">
        <v>0.55000000000000004</v>
      </c>
      <c r="U29" s="3">
        <f>IF($E29="〇",T29*基本シート!$E$2,T29*VLOOKUP(LEFT(U$6,FIND("(",U$6)-1),基本シート!$B$6:$C$29,2,FALSE))</f>
        <v>16.423000000000002</v>
      </c>
      <c r="V29" s="3">
        <v>0.15</v>
      </c>
      <c r="W29" s="3">
        <f>IF($E29="〇",V29*基本シート!$E$2,V29*VLOOKUP(LEFT(W$6,FIND("(",W$6)-1),基本シート!$B$6:$C$29,2,FALSE))</f>
        <v>4.4790000000000001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0.02</v>
      </c>
      <c r="AC29" s="3">
        <f>IF($E29="〇",AB29*基本シート!$E$2,AB29*VLOOKUP(LEFT(AC$6,FIND("(",AC$6)-1),基本シート!$B$6:$C$29,2,FALSE))</f>
        <v>0.59719999999999995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0.1</v>
      </c>
      <c r="AU29" s="3">
        <f>IF($E29="〇",AT29*基本シート!$E$2,AT29*VLOOKUP(LEFT(AU$6,FIND("(",AU$6)-1),基本シート!$B$6:$C$29,2,FALSE))</f>
        <v>2.9860000000000002</v>
      </c>
      <c r="AV29" s="3">
        <v>0.61</v>
      </c>
      <c r="AW29" s="3">
        <f>IF($E29="〇",AV29*基本シート!$E$2,AV29*VLOOKUP(LEFT(AW$6,FIND("(",AW$6)-1),基本シート!$B$6:$C$29,2,FALSE))</f>
        <v>18.214600000000001</v>
      </c>
      <c r="AX29" s="3">
        <v>0.87</v>
      </c>
      <c r="AY29" s="3">
        <f>IF($E29="〇",AX29*基本シート!$E$2,AX29*VLOOKUP(LEFT(AY$6,FIND("(",AY$6)-1),基本シート!$B$6:$C$29,2,FALSE))</f>
        <v>25.978200000000001</v>
      </c>
      <c r="AZ29" s="3">
        <v>0.61</v>
      </c>
      <c r="BA29" s="3">
        <f>IF($E29="〇",AZ29*基本シート!$E$2,AZ29*VLOOKUP(LEFT(BA$6,FIND("(",BA$6)-1),基本シート!$B$6:$C$29,2,FALSE))</f>
        <v>18.214600000000001</v>
      </c>
      <c r="BB29" s="3">
        <v>0.57999999999999996</v>
      </c>
      <c r="BC29" s="3">
        <f>IF($E29="〇",BB29*基本シート!$E$2,BB29*VLOOKUP(LEFT(BC$6,FIND("(",BC$6)-1),基本シート!$B$6:$C$29,2,FALSE))</f>
        <v>17.3188</v>
      </c>
      <c r="BD29" s="3">
        <f t="shared" si="7"/>
        <v>7</v>
      </c>
      <c r="BE29" s="3">
        <f t="shared" si="8"/>
        <v>209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0.91</v>
      </c>
      <c r="BN29" s="3">
        <v>1.79</v>
      </c>
      <c r="BO29" s="3">
        <v>4.54</v>
      </c>
      <c r="BP29" s="3">
        <v>3.01</v>
      </c>
      <c r="BQ29" s="3">
        <v>3.43</v>
      </c>
      <c r="BR29" s="3">
        <v>3.35</v>
      </c>
      <c r="BS29" s="3">
        <v>1.42</v>
      </c>
      <c r="BT29" s="3">
        <v>1.1299999999999999</v>
      </c>
      <c r="BU29" s="3">
        <v>0.51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0.01</v>
      </c>
      <c r="CU29" s="3">
        <f>CT29*基本シート!$C$3</f>
        <v>0.16</v>
      </c>
      <c r="CV29" s="3">
        <v>0.63</v>
      </c>
      <c r="CW29" s="3">
        <f>CV29*基本シート!$C$3</f>
        <v>10.08</v>
      </c>
      <c r="CX29" s="3">
        <v>0.43</v>
      </c>
      <c r="CY29" s="3">
        <f>CX29*基本シート!$C$3</f>
        <v>6.88</v>
      </c>
      <c r="CZ29" s="3">
        <v>2.74</v>
      </c>
      <c r="DA29" s="3">
        <f>CZ29*基本シート!$C$3</f>
        <v>43.84</v>
      </c>
      <c r="DB29" s="3">
        <v>2.8</v>
      </c>
      <c r="DC29" s="3">
        <f>DB29*基本シート!$C$3</f>
        <v>44.8</v>
      </c>
      <c r="DD29" s="3">
        <v>0.93</v>
      </c>
      <c r="DE29" s="3">
        <f>DD29*基本シート!$C$3</f>
        <v>14.88</v>
      </c>
      <c r="DF29" s="3">
        <v>0.64</v>
      </c>
      <c r="DG29" s="3">
        <f>DF29*基本シート!$C$3</f>
        <v>10.24</v>
      </c>
      <c r="DH29" s="3">
        <v>0.26</v>
      </c>
      <c r="DI29" s="3">
        <f>DH29*基本シート!$C$3</f>
        <v>4.16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8.4499999999999993</v>
      </c>
      <c r="EA29" s="3">
        <f>ROUND(DZ29*基本シート!$C$3,0)</f>
        <v>135</v>
      </c>
      <c r="EB29" s="3">
        <v>0.03</v>
      </c>
      <c r="EC29" s="3">
        <v>0.03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0.31</v>
      </c>
      <c r="EJ29" s="3">
        <v>1.2</v>
      </c>
      <c r="EK29" s="3">
        <v>2.94</v>
      </c>
      <c r="EL29" s="3">
        <v>1.91</v>
      </c>
      <c r="EM29" s="3">
        <v>0.18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1"/>
        <v>6.8900000000000006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0.23</v>
      </c>
      <c r="FQ29" s="3">
        <v>1.29</v>
      </c>
      <c r="FR29" s="3">
        <v>2.33</v>
      </c>
      <c r="FS29" s="3">
        <v>1.23</v>
      </c>
      <c r="FT29" s="3">
        <v>0.4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5.49</v>
      </c>
      <c r="FZ29" s="3">
        <v>0.51</v>
      </c>
      <c r="GA29" s="3">
        <v>0.55000000000000004</v>
      </c>
      <c r="GB29" s="3">
        <v>0.55000000000000004</v>
      </c>
      <c r="GC29" s="3">
        <v>0.54</v>
      </c>
      <c r="GD29" s="3">
        <v>0.56999999999999995</v>
      </c>
      <c r="GE29" s="3">
        <v>0.57999999999999996</v>
      </c>
      <c r="GF29" s="3">
        <v>0.53</v>
      </c>
      <c r="GG29" s="3">
        <v>0.74</v>
      </c>
      <c r="GH29" s="3">
        <v>0.57999999999999996</v>
      </c>
      <c r="GI29" s="3">
        <v>0.97</v>
      </c>
      <c r="GJ29" s="3">
        <v>0.69</v>
      </c>
      <c r="GK29" s="3">
        <v>0.51</v>
      </c>
      <c r="GL29" s="3">
        <v>0.55000000000000004</v>
      </c>
      <c r="GM29" s="3">
        <v>0.49</v>
      </c>
      <c r="GN29" s="3">
        <v>0.5</v>
      </c>
      <c r="GO29" s="3">
        <v>0.48</v>
      </c>
      <c r="GP29" s="3">
        <v>1.29</v>
      </c>
      <c r="GQ29" s="3">
        <v>2.33</v>
      </c>
      <c r="GR29" s="3">
        <v>1.23</v>
      </c>
      <c r="GS29" s="3">
        <v>0.5</v>
      </c>
      <c r="GT29" s="3">
        <v>0.57999999999999996</v>
      </c>
      <c r="GU29" s="3">
        <v>0.84</v>
      </c>
      <c r="GV29" s="3">
        <v>0.57999999999999996</v>
      </c>
      <c r="GW29" s="3">
        <v>0.55000000000000004</v>
      </c>
      <c r="GX29" s="3">
        <f t="shared" si="13"/>
        <v>17.239999999999998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>TEXT(VLOOKUP(LEFT(B30,FIND("月",B30)),基本シート!$E$6:$F$17,2,FALSE)&amp;B30,"aaaa")</f>
        <v>日曜日</v>
      </c>
      <c r="D30" s="6"/>
      <c r="E30" s="6" t="str">
        <f t="shared" si="9"/>
        <v>〇</v>
      </c>
      <c r="F30" s="6" t="s">
        <v>299</v>
      </c>
      <c r="G30" s="6" t="s">
        <v>301</v>
      </c>
      <c r="H30" s="3">
        <v>0.59</v>
      </c>
      <c r="I30" s="3">
        <f>IF($E30="〇",H30*基本シート!$E$2,H30*VLOOKUP(LEFT(I$6,FIND("(",I$6)-1),基本シート!$B$6:$C$29,2,FALSE))</f>
        <v>17.6174</v>
      </c>
      <c r="J30" s="3">
        <v>0.57999999999999996</v>
      </c>
      <c r="K30" s="3">
        <f>IF($E30="〇",J30*基本シート!$E$2,J30*VLOOKUP(LEFT(K$6,FIND("(",K$6)-1),基本シート!$B$6:$C$29,2,FALSE))</f>
        <v>17.3188</v>
      </c>
      <c r="L30" s="3">
        <v>0.63</v>
      </c>
      <c r="M30" s="3">
        <f>IF($E30="〇",L30*基本シート!$E$2,L30*VLOOKUP(LEFT(M$6,FIND("(",M$6)-1),基本シート!$B$6:$C$29,2,FALSE))</f>
        <v>18.811799999999998</v>
      </c>
      <c r="N30" s="3">
        <v>0.59</v>
      </c>
      <c r="O30" s="3">
        <f>IF($E30="〇",N30*基本シート!$E$2,N30*VLOOKUP(LEFT(O$6,FIND("(",O$6)-1),基本シート!$B$6:$C$29,2,FALSE))</f>
        <v>17.6174</v>
      </c>
      <c r="P30" s="3">
        <v>0.61</v>
      </c>
      <c r="Q30" s="3">
        <f>IF($E30="〇",P30*基本シート!$E$2,P30*VLOOKUP(LEFT(Q$6,FIND("(",Q$6)-1),基本シート!$B$6:$C$29,2,FALSE))</f>
        <v>18.214600000000001</v>
      </c>
      <c r="R30" s="3">
        <v>0.53</v>
      </c>
      <c r="S30" s="3">
        <f>IF($E30="〇",R30*基本シート!$E$2,R30*VLOOKUP(LEFT(S$6,FIND("(",S$6)-1),基本シート!$B$6:$C$29,2,FALSE))</f>
        <v>15.825800000000001</v>
      </c>
      <c r="T30" s="3">
        <v>0.64</v>
      </c>
      <c r="U30" s="3">
        <f>IF($E30="〇",T30*基本シート!$E$2,T30*VLOOKUP(LEFT(U$6,FIND("(",U$6)-1),基本シート!$B$6:$C$29,2,FALSE))</f>
        <v>19.110399999999998</v>
      </c>
      <c r="V30" s="3">
        <v>0.38</v>
      </c>
      <c r="W30" s="3">
        <f>IF($E30="〇",V30*基本シート!$E$2,V30*VLOOKUP(LEFT(W$6,FIND("(",W$6)-1),基本シート!$B$6:$C$29,2,FALSE))</f>
        <v>11.3468</v>
      </c>
      <c r="X30" s="3">
        <v>0.01</v>
      </c>
      <c r="Y30" s="3">
        <f>IF($E30="〇",X30*基本シート!$E$2,X30*VLOOKUP(LEFT(Y$6,FIND("(",Y$6)-1),基本シート!$B$6:$C$29,2,FALSE))</f>
        <v>0.29859999999999998</v>
      </c>
      <c r="Z30" s="3">
        <v>0.01</v>
      </c>
      <c r="AA30" s="3">
        <f>IF($E30="〇",Z30*基本シート!$E$2,Z30*VLOOKUP(LEFT(AA$6,FIND("(",AA$6)-1),基本シート!$B$6:$C$29,2,FALSE))</f>
        <v>0.29859999999999998</v>
      </c>
      <c r="AB30" s="3">
        <v>0.01</v>
      </c>
      <c r="AC30" s="3">
        <f>IF($E30="〇",AB30*基本シート!$E$2,AB30*VLOOKUP(LEFT(AC$6,FIND("(",AC$6)-1),基本シート!$B$6:$C$29,2,FALSE))</f>
        <v>0.29859999999999998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0.01</v>
      </c>
      <c r="AG30" s="3">
        <f>IF($E30="〇",AF30*基本シート!$E$2,AF30*VLOOKUP(LEFT(AG$6,FIND("(",AG$6)-1),基本シート!$B$6:$C$29,2,FALSE))</f>
        <v>0.29859999999999998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1.42</v>
      </c>
      <c r="AQ30" s="3">
        <f>IF($E30="〇",AP30*基本シート!$E$2,AP30*VLOOKUP(LEFT(AQ$6,FIND("(",AQ$6)-1),基本シート!$B$6:$C$29,2,FALSE))</f>
        <v>42.401199999999996</v>
      </c>
      <c r="AR30" s="3">
        <v>2.61</v>
      </c>
      <c r="AS30" s="3">
        <f>IF($E30="〇",AR30*基本シート!$E$2,AR30*VLOOKUP(LEFT(AS$6,FIND("(",AS$6)-1),基本シート!$B$6:$C$29,2,FALSE))</f>
        <v>77.934599999999989</v>
      </c>
      <c r="AT30" s="3">
        <v>0.78</v>
      </c>
      <c r="AU30" s="3">
        <f>IF($E30="〇",AT30*基本シート!$E$2,AT30*VLOOKUP(LEFT(AU$6,FIND("(",AU$6)-1),基本シート!$B$6:$C$29,2,FALSE))</f>
        <v>23.290800000000001</v>
      </c>
      <c r="AV30" s="3">
        <v>1.37</v>
      </c>
      <c r="AW30" s="3">
        <f>IF($E30="〇",AV30*基本シート!$E$2,AV30*VLOOKUP(LEFT(AW$6,FIND("(",AW$6)-1),基本シート!$B$6:$C$29,2,FALSE))</f>
        <v>40.908200000000001</v>
      </c>
      <c r="AX30" s="3">
        <v>0.79</v>
      </c>
      <c r="AY30" s="3">
        <f>IF($E30="〇",AX30*基本シート!$E$2,AX30*VLOOKUP(LEFT(AY$6,FIND("(",AY$6)-1),基本シート!$B$6:$C$29,2,FALSE))</f>
        <v>23.589400000000001</v>
      </c>
      <c r="AZ30" s="3">
        <v>0.54</v>
      </c>
      <c r="BA30" s="3">
        <f>IF($E30="〇",AZ30*基本シート!$E$2,AZ30*VLOOKUP(LEFT(BA$6,FIND("(",BA$6)-1),基本シート!$B$6:$C$29,2,FALSE))</f>
        <v>16.124400000000001</v>
      </c>
      <c r="BB30" s="3">
        <v>0.64</v>
      </c>
      <c r="BC30" s="3">
        <f>IF($E30="〇",BB30*基本シート!$E$2,BB30*VLOOKUP(LEFT(BC$6,FIND("(",BC$6)-1),基本シート!$B$6:$C$29,2,FALSE))</f>
        <v>19.110399999999998</v>
      </c>
      <c r="BD30" s="3">
        <f t="shared" si="7"/>
        <v>12.739999999999995</v>
      </c>
      <c r="BE30" s="3">
        <f t="shared" si="8"/>
        <v>380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0.25</v>
      </c>
      <c r="BN30" s="3">
        <v>1.0900000000000001</v>
      </c>
      <c r="BO30" s="3">
        <v>1.33</v>
      </c>
      <c r="BP30" s="3">
        <v>1.72</v>
      </c>
      <c r="BQ30" s="3">
        <v>2.31</v>
      </c>
      <c r="BR30" s="3">
        <v>2.81</v>
      </c>
      <c r="BS30" s="3">
        <v>3.83</v>
      </c>
      <c r="BT30" s="3">
        <v>2.39</v>
      </c>
      <c r="BU30" s="3">
        <v>0.38</v>
      </c>
      <c r="BV30" s="3">
        <v>0.01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0.02</v>
      </c>
      <c r="CU30" s="3">
        <f>CT30*基本シート!$C$3</f>
        <v>0.32</v>
      </c>
      <c r="CV30" s="3">
        <v>0.01</v>
      </c>
      <c r="CW30" s="3">
        <f>CV30*基本シート!$C$3</f>
        <v>0.16</v>
      </c>
      <c r="CX30" s="3">
        <v>0.02</v>
      </c>
      <c r="CY30" s="3">
        <f>CX30*基本シート!$C$3</f>
        <v>0.32</v>
      </c>
      <c r="CZ30" s="3">
        <v>0.04</v>
      </c>
      <c r="DA30" s="3">
        <f>CZ30*基本シート!$C$3</f>
        <v>0.64</v>
      </c>
      <c r="DB30" s="3">
        <v>0.28999999999999998</v>
      </c>
      <c r="DC30" s="3">
        <f>DB30*基本シート!$C$3</f>
        <v>4.6399999999999997</v>
      </c>
      <c r="DD30" s="3">
        <v>2</v>
      </c>
      <c r="DE30" s="3">
        <f>DD30*基本シート!$C$3</f>
        <v>32</v>
      </c>
      <c r="DF30" s="3">
        <v>1.93</v>
      </c>
      <c r="DG30" s="3">
        <f>DF30*基本シート!$C$3</f>
        <v>30.88</v>
      </c>
      <c r="DH30" s="3">
        <v>7.0000000000000007E-2</v>
      </c>
      <c r="DI30" s="3">
        <f>DH30*基本シート!$C$3</f>
        <v>1.1200000000000001</v>
      </c>
      <c r="DJ30" s="3">
        <v>0.01</v>
      </c>
      <c r="DK30" s="3">
        <f>DJ30*基本シート!$C$3</f>
        <v>0.16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4.3899999999999997</v>
      </c>
      <c r="EA30" s="3">
        <f>ROUND(DZ30*基本シート!$C$3,0)</f>
        <v>70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0.01</v>
      </c>
      <c r="EI30" s="3">
        <v>0.01</v>
      </c>
      <c r="EJ30" s="3">
        <v>0.48</v>
      </c>
      <c r="EK30" s="3">
        <v>0.69</v>
      </c>
      <c r="EL30" s="3">
        <v>1.1299999999999999</v>
      </c>
      <c r="EM30" s="3">
        <v>1.46</v>
      </c>
      <c r="EN30" s="3">
        <v>1.65</v>
      </c>
      <c r="EO30" s="3">
        <v>1.3</v>
      </c>
      <c r="EP30" s="3">
        <v>0</v>
      </c>
      <c r="EQ30" s="3">
        <v>0</v>
      </c>
      <c r="ER30" s="3">
        <v>0</v>
      </c>
      <c r="ES30" s="3">
        <v>0</v>
      </c>
      <c r="ET30" s="3">
        <v>0.03</v>
      </c>
      <c r="EU30" s="3">
        <v>0.04</v>
      </c>
      <c r="EV30" s="3">
        <v>0.03</v>
      </c>
      <c r="EW30" s="3">
        <v>0.04</v>
      </c>
      <c r="EX30" s="3">
        <v>0.04</v>
      </c>
      <c r="EY30" s="3">
        <v>0.05</v>
      </c>
      <c r="EZ30" s="3">
        <f t="shared" si="11"/>
        <v>7.14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0.03</v>
      </c>
      <c r="FP30" s="3">
        <v>1.27</v>
      </c>
      <c r="FQ30" s="3">
        <v>2.31</v>
      </c>
      <c r="FR30" s="3">
        <v>1.61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5.2200000000000006</v>
      </c>
      <c r="FZ30" s="3">
        <v>0.56000000000000005</v>
      </c>
      <c r="GA30" s="3">
        <v>0.55000000000000004</v>
      </c>
      <c r="GB30" s="3">
        <v>0.6</v>
      </c>
      <c r="GC30" s="3">
        <v>0.56000000000000005</v>
      </c>
      <c r="GD30" s="3">
        <v>0.57999999999999996</v>
      </c>
      <c r="GE30" s="3">
        <v>0.5</v>
      </c>
      <c r="GF30" s="3">
        <v>0.63</v>
      </c>
      <c r="GG30" s="3">
        <v>0.62</v>
      </c>
      <c r="GH30" s="3">
        <v>0.6</v>
      </c>
      <c r="GI30" s="3">
        <v>0.64</v>
      </c>
      <c r="GJ30" s="3">
        <v>0.57999999999999996</v>
      </c>
      <c r="GK30" s="3">
        <v>0.81</v>
      </c>
      <c r="GL30" s="3">
        <v>0.88</v>
      </c>
      <c r="GM30" s="3">
        <v>0.53</v>
      </c>
      <c r="GN30" s="3">
        <v>0.49</v>
      </c>
      <c r="GO30" s="3">
        <v>1.58</v>
      </c>
      <c r="GP30" s="3">
        <v>2.31</v>
      </c>
      <c r="GQ30" s="3">
        <v>3.03</v>
      </c>
      <c r="GR30" s="3">
        <v>2.58</v>
      </c>
      <c r="GS30" s="3">
        <v>0.74</v>
      </c>
      <c r="GT30" s="3">
        <v>1.34</v>
      </c>
      <c r="GU30" s="3">
        <v>0.75</v>
      </c>
      <c r="GV30" s="3">
        <v>0.5</v>
      </c>
      <c r="GW30" s="3">
        <v>0.59</v>
      </c>
      <c r="GX30" s="3">
        <f t="shared" si="13"/>
        <v>22.55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>TEXT(VLOOKUP(LEFT(B31,FIND("月",B31)),基本シート!$E$6:$F$17,2,FALSE)&amp;B31,"aaaa")</f>
        <v>月曜日</v>
      </c>
      <c r="D31" s="6"/>
      <c r="E31" s="6" t="str">
        <f t="shared" si="9"/>
        <v/>
      </c>
      <c r="F31" s="6" t="s">
        <v>296</v>
      </c>
      <c r="G31" s="6" t="s">
        <v>298</v>
      </c>
      <c r="H31" s="3">
        <v>0.63</v>
      </c>
      <c r="I31" s="3">
        <f>IF($E31="〇",H31*基本シート!$E$2,H31*VLOOKUP(LEFT(I$6,FIND("(",I$6)-1),基本シート!$B$6:$C$29,2,FALSE))</f>
        <v>18.811799999999998</v>
      </c>
      <c r="J31" s="3">
        <v>0.52</v>
      </c>
      <c r="K31" s="3">
        <f>IF($E31="〇",J31*基本シート!$E$2,J31*VLOOKUP(LEFT(K$6,FIND("(",K$6)-1),基本シート!$B$6:$C$29,2,FALSE))</f>
        <v>15.527200000000001</v>
      </c>
      <c r="L31" s="3">
        <v>0.64</v>
      </c>
      <c r="M31" s="3">
        <f>IF($E31="〇",L31*基本シート!$E$2,L31*VLOOKUP(LEFT(M$6,FIND("(",M$6)-1),基本シート!$B$6:$C$29,2,FALSE))</f>
        <v>19.110399999999998</v>
      </c>
      <c r="N31" s="3">
        <v>0.61</v>
      </c>
      <c r="O31" s="3">
        <f>IF($E31="〇",N31*基本シート!$E$2,N31*VLOOKUP(LEFT(O$6,FIND("(",O$6)-1),基本シート!$B$6:$C$29,2,FALSE))</f>
        <v>18.214600000000001</v>
      </c>
      <c r="P31" s="3">
        <v>1.3</v>
      </c>
      <c r="Q31" s="3">
        <f>IF($E31="〇",P31*基本シート!$E$2,P31*VLOOKUP(LEFT(Q$6,FIND("(",Q$6)-1),基本シート!$B$6:$C$29,2,FALSE))</f>
        <v>38.817999999999998</v>
      </c>
      <c r="R31" s="3">
        <v>0.59</v>
      </c>
      <c r="S31" s="3">
        <f>IF($E31="〇",R31*基本シート!$E$2,R31*VLOOKUP(LEFT(S$6,FIND("(",S$6)-1),基本シート!$B$6:$C$29,2,FALSE))</f>
        <v>17.6174</v>
      </c>
      <c r="T31" s="3">
        <v>0.9</v>
      </c>
      <c r="U31" s="3">
        <f>IF($E31="〇",T31*基本シート!$E$2,T31*VLOOKUP(LEFT(U$6,FIND("(",U$6)-1),基本シート!$B$6:$C$29,2,FALSE))</f>
        <v>26.873999999999999</v>
      </c>
      <c r="V31" s="3">
        <v>0.24</v>
      </c>
      <c r="W31" s="3">
        <f>IF($E31="〇",V31*基本シート!$E$2,V31*VLOOKUP(LEFT(W$6,FIND("(",W$6)-1),基本シート!$B$6:$C$29,2,FALSE))</f>
        <v>8.8463999999999992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0.01</v>
      </c>
      <c r="AC31" s="3">
        <f>IF($E31="〇",AB31*基本シート!$E$2,AB31*VLOOKUP(LEFT(AC$6,FIND("(",AC$6)-1),基本シート!$B$6:$C$29,2,FALSE))</f>
        <v>0.36859999999999998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0.73719999999999997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2.75</v>
      </c>
      <c r="AS31" s="3">
        <f>IF($E31="〇",AR31*基本シート!$E$2,AR31*VLOOKUP(LEFT(AS$6,FIND("(",AS$6)-1),基本シート!$B$6:$C$29,2,FALSE))</f>
        <v>101.36499999999999</v>
      </c>
      <c r="AT31" s="3">
        <v>2.48</v>
      </c>
      <c r="AU31" s="3">
        <f>IF($E31="〇",AT31*基本シート!$E$2,AT31*VLOOKUP(LEFT(AU$6,FIND("(",AU$6)-1),基本シート!$B$6:$C$29,2,FALSE))</f>
        <v>91.412800000000004</v>
      </c>
      <c r="AV31" s="3">
        <v>1.04</v>
      </c>
      <c r="AW31" s="3">
        <f>IF($E31="〇",AV31*基本シート!$E$2,AV31*VLOOKUP(LEFT(AW$6,FIND("(",AW$6)-1),基本シート!$B$6:$C$29,2,FALSE))</f>
        <v>38.334400000000002</v>
      </c>
      <c r="AX31" s="3">
        <v>0.69</v>
      </c>
      <c r="AY31" s="3">
        <f>IF($E31="〇",AX31*基本シート!$E$2,AX31*VLOOKUP(LEFT(AY$6,FIND("(",AY$6)-1),基本シート!$B$6:$C$29,2,FALSE))</f>
        <v>20.603399999999997</v>
      </c>
      <c r="AZ31" s="3">
        <v>0.68</v>
      </c>
      <c r="BA31" s="3">
        <f>IF($E31="〇",AZ31*基本シート!$E$2,AZ31*VLOOKUP(LEFT(BA$6,FIND("(",BA$6)-1),基本シート!$B$6:$C$29,2,FALSE))</f>
        <v>20.3048</v>
      </c>
      <c r="BB31" s="3">
        <v>0.64</v>
      </c>
      <c r="BC31" s="3">
        <f>IF($E31="〇",BB31*基本シート!$E$2,BB31*VLOOKUP(LEFT(BC$6,FIND("(",BC$6)-1),基本シート!$B$6:$C$29,2,FALSE))</f>
        <v>19.110399999999998</v>
      </c>
      <c r="BD31" s="3">
        <f t="shared" si="7"/>
        <v>13.76</v>
      </c>
      <c r="BE31" s="3">
        <f t="shared" si="8"/>
        <v>457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0.01</v>
      </c>
      <c r="BM31" s="3">
        <v>0.43</v>
      </c>
      <c r="BN31" s="3">
        <v>1.36</v>
      </c>
      <c r="BO31" s="3">
        <v>3.01</v>
      </c>
      <c r="BP31" s="3">
        <v>5.01</v>
      </c>
      <c r="BQ31" s="3">
        <v>5.15</v>
      </c>
      <c r="BR31" s="3">
        <v>6.14</v>
      </c>
      <c r="BS31" s="3">
        <v>4.45</v>
      </c>
      <c r="BT31" s="3">
        <v>2.66</v>
      </c>
      <c r="BU31" s="3">
        <v>0.63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0.04</v>
      </c>
      <c r="CU31" s="3">
        <f>CT31*基本シート!$C$3</f>
        <v>0.64</v>
      </c>
      <c r="CV31" s="3">
        <v>0.22</v>
      </c>
      <c r="CW31" s="3">
        <f>CV31*基本シート!$C$3</f>
        <v>3.52</v>
      </c>
      <c r="CX31" s="3">
        <v>0.9</v>
      </c>
      <c r="CY31" s="3">
        <f>CX31*基本シート!$C$3</f>
        <v>14.4</v>
      </c>
      <c r="CZ31" s="3">
        <v>4.4400000000000004</v>
      </c>
      <c r="DA31" s="3">
        <f>CZ31*基本シート!$C$3</f>
        <v>71.040000000000006</v>
      </c>
      <c r="DB31" s="3">
        <v>5.66</v>
      </c>
      <c r="DC31" s="3">
        <f>DB31*基本シート!$C$3</f>
        <v>90.56</v>
      </c>
      <c r="DD31" s="3">
        <v>4.01</v>
      </c>
      <c r="DE31" s="3">
        <f>DD31*基本シート!$C$3</f>
        <v>64.16</v>
      </c>
      <c r="DF31" s="3">
        <v>2.2400000000000002</v>
      </c>
      <c r="DG31" s="3">
        <f>DF31*基本シート!$C$3</f>
        <v>35.840000000000003</v>
      </c>
      <c r="DH31" s="3">
        <v>0.25</v>
      </c>
      <c r="DI31" s="3">
        <f>DH31*基本シート!$C$3</f>
        <v>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17.780000000000005</v>
      </c>
      <c r="EA31" s="3">
        <f>ROUND(DZ31*基本シート!$C$3,0)</f>
        <v>284</v>
      </c>
      <c r="EB31" s="3">
        <v>0.03</v>
      </c>
      <c r="EC31" s="3">
        <v>0.04</v>
      </c>
      <c r="ED31" s="3">
        <v>0.05</v>
      </c>
      <c r="EE31" s="3">
        <v>0.03</v>
      </c>
      <c r="EF31" s="3">
        <v>0.04</v>
      </c>
      <c r="EG31" s="3">
        <v>0.04</v>
      </c>
      <c r="EH31" s="3">
        <v>0.02</v>
      </c>
      <c r="EI31" s="3">
        <v>0.03</v>
      </c>
      <c r="EJ31" s="3">
        <v>0.85</v>
      </c>
      <c r="EK31" s="3">
        <v>2.29</v>
      </c>
      <c r="EL31" s="3">
        <v>2.91</v>
      </c>
      <c r="EM31" s="3">
        <v>0.17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0.03</v>
      </c>
      <c r="EV31" s="3">
        <v>0.04</v>
      </c>
      <c r="EW31" s="3">
        <v>0.03</v>
      </c>
      <c r="EX31" s="3">
        <v>0.05</v>
      </c>
      <c r="EY31" s="3">
        <v>0.04</v>
      </c>
      <c r="EZ31" s="3">
        <f t="shared" si="11"/>
        <v>6.69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0.12</v>
      </c>
      <c r="FQ31" s="3">
        <v>1.92</v>
      </c>
      <c r="FR31" s="3">
        <v>2.64</v>
      </c>
      <c r="FS31" s="3">
        <v>0.44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5.12</v>
      </c>
      <c r="FZ31" s="3">
        <v>0.6</v>
      </c>
      <c r="GA31" s="3">
        <v>0.48</v>
      </c>
      <c r="GB31" s="3">
        <v>0.59</v>
      </c>
      <c r="GC31" s="3">
        <v>0.57999999999999996</v>
      </c>
      <c r="GD31" s="3">
        <v>1.26</v>
      </c>
      <c r="GE31" s="3">
        <v>0.55000000000000004</v>
      </c>
      <c r="GF31" s="3">
        <v>0.89</v>
      </c>
      <c r="GG31" s="3">
        <v>0.64</v>
      </c>
      <c r="GH31" s="3">
        <v>0.47</v>
      </c>
      <c r="GI31" s="3">
        <v>0.51</v>
      </c>
      <c r="GJ31" s="3">
        <v>1.21</v>
      </c>
      <c r="GK31" s="3">
        <v>0.54</v>
      </c>
      <c r="GL31" s="3">
        <v>0.48</v>
      </c>
      <c r="GM31" s="3">
        <v>0.44</v>
      </c>
      <c r="GN31" s="3">
        <v>0.42</v>
      </c>
      <c r="GO31" s="3">
        <v>0.5</v>
      </c>
      <c r="GP31" s="3">
        <v>1.93</v>
      </c>
      <c r="GQ31" s="3">
        <v>2.64</v>
      </c>
      <c r="GR31" s="3">
        <v>3.19</v>
      </c>
      <c r="GS31" s="3">
        <v>2.4500000000000002</v>
      </c>
      <c r="GT31" s="3">
        <v>1</v>
      </c>
      <c r="GU31" s="3">
        <v>0.66</v>
      </c>
      <c r="GV31" s="3">
        <v>0.63</v>
      </c>
      <c r="GW31" s="3">
        <v>0.6</v>
      </c>
      <c r="GX31" s="3">
        <f t="shared" si="13"/>
        <v>23.259999999999998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>TEXT(VLOOKUP(LEFT(B32,FIND("月",B32)),基本シート!$E$6:$F$17,2,FALSE)&amp;B32,"aaaa")</f>
        <v>火曜日</v>
      </c>
      <c r="D32" s="6"/>
      <c r="E32" s="6" t="str">
        <f t="shared" si="9"/>
        <v/>
      </c>
      <c r="F32" s="6" t="s">
        <v>296</v>
      </c>
      <c r="G32" s="6" t="s">
        <v>297</v>
      </c>
      <c r="H32" s="3">
        <v>0.64</v>
      </c>
      <c r="I32" s="3">
        <f>IF($E32="〇",H32*基本シート!$E$2,H32*VLOOKUP(LEFT(I$6,FIND("(",I$6)-1),基本シート!$B$6:$C$29,2,FALSE))</f>
        <v>19.110399999999998</v>
      </c>
      <c r="J32" s="3">
        <v>0.83</v>
      </c>
      <c r="K32" s="3">
        <f>IF($E32="〇",J32*基本シート!$E$2,J32*VLOOKUP(LEFT(K$6,FIND("(",K$6)-1),基本シート!$B$6:$C$29,2,FALSE))</f>
        <v>24.783799999999999</v>
      </c>
      <c r="L32" s="3">
        <v>0.85</v>
      </c>
      <c r="M32" s="3">
        <f>IF($E32="〇",L32*基本シート!$E$2,L32*VLOOKUP(LEFT(M$6,FIND("(",M$6)-1),基本シート!$B$6:$C$29,2,FALSE))</f>
        <v>25.381</v>
      </c>
      <c r="N32" s="3">
        <v>0.87</v>
      </c>
      <c r="O32" s="3">
        <f>IF($E32="〇",N32*基本シート!$E$2,N32*VLOOKUP(LEFT(O$6,FIND("(",O$6)-1),基本シート!$B$6:$C$29,2,FALSE))</f>
        <v>25.978200000000001</v>
      </c>
      <c r="P32" s="3">
        <v>1.1000000000000001</v>
      </c>
      <c r="Q32" s="3">
        <f>IF($E32="〇",P32*基本シート!$E$2,P32*VLOOKUP(LEFT(Q$6,FIND("(",Q$6)-1),基本シート!$B$6:$C$29,2,FALSE))</f>
        <v>32.846000000000004</v>
      </c>
      <c r="R32" s="3">
        <v>0.93</v>
      </c>
      <c r="S32" s="3">
        <f>IF($E32="〇",R32*基本シート!$E$2,R32*VLOOKUP(LEFT(S$6,FIND("(",S$6)-1),基本シート!$B$6:$C$29,2,FALSE))</f>
        <v>27.7698</v>
      </c>
      <c r="T32" s="3">
        <v>1.28</v>
      </c>
      <c r="U32" s="3">
        <f>IF($E32="〇",T32*基本シート!$E$2,T32*VLOOKUP(LEFT(U$6,FIND("(",U$6)-1),基本シート!$B$6:$C$29,2,FALSE))</f>
        <v>38.220799999999997</v>
      </c>
      <c r="V32" s="3">
        <v>0.22</v>
      </c>
      <c r="W32" s="3">
        <f>IF($E32="〇",V32*基本シート!$E$2,V32*VLOOKUP(LEFT(W$6,FIND("(",W$6)-1),基本シート!$B$6:$C$29,2,FALSE))</f>
        <v>8.1091999999999995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0.02</v>
      </c>
      <c r="AO32" s="3">
        <f>IF($E32="〇",AN32*基本シート!$E$2,AN32*VLOOKUP(LEFT(AO$6,FIND("(",AO$6)-1),基本シート!$B$6:$C$29,2,FALSE))</f>
        <v>0.73719999999999997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3.03</v>
      </c>
      <c r="AS32" s="3">
        <f>IF($E32="〇",AR32*基本シート!$E$2,AR32*VLOOKUP(LEFT(AS$6,FIND("(",AS$6)-1),基本シート!$B$6:$C$29,2,FALSE))</f>
        <v>111.68579999999999</v>
      </c>
      <c r="AT32" s="3">
        <v>1.85</v>
      </c>
      <c r="AU32" s="3">
        <f>IF($E32="〇",AT32*基本シート!$E$2,AT32*VLOOKUP(LEFT(AU$6,FIND("(",AU$6)-1),基本シート!$B$6:$C$29,2,FALSE))</f>
        <v>68.191000000000003</v>
      </c>
      <c r="AV32" s="3">
        <v>0.99</v>
      </c>
      <c r="AW32" s="3">
        <f>IF($E32="〇",AV32*基本シート!$E$2,AV32*VLOOKUP(LEFT(AW$6,FIND("(",AW$6)-1),基本シート!$B$6:$C$29,2,FALSE))</f>
        <v>36.491399999999999</v>
      </c>
      <c r="AX32" s="3">
        <v>0.89</v>
      </c>
      <c r="AY32" s="3">
        <f>IF($E32="〇",AX32*基本シート!$E$2,AX32*VLOOKUP(LEFT(AY$6,FIND("(",AY$6)-1),基本シート!$B$6:$C$29,2,FALSE))</f>
        <v>26.575399999999998</v>
      </c>
      <c r="AZ32" s="3">
        <v>0.47</v>
      </c>
      <c r="BA32" s="3">
        <f>IF($E32="〇",AZ32*基本シート!$E$2,AZ32*VLOOKUP(LEFT(BA$6,FIND("(",BA$6)-1),基本シート!$B$6:$C$29,2,FALSE))</f>
        <v>14.034199999999998</v>
      </c>
      <c r="BB32" s="3">
        <v>0.5</v>
      </c>
      <c r="BC32" s="3">
        <f>IF($E32="〇",BB32*基本シート!$E$2,BB32*VLOOKUP(LEFT(BC$6,FIND("(",BC$6)-1),基本シート!$B$6:$C$29,2,FALSE))</f>
        <v>14.93</v>
      </c>
      <c r="BD32" s="3">
        <f t="shared" si="7"/>
        <v>14.48</v>
      </c>
      <c r="BE32" s="3">
        <f t="shared" si="8"/>
        <v>475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0.02</v>
      </c>
      <c r="BM32" s="3">
        <v>0.78</v>
      </c>
      <c r="BN32" s="3">
        <v>2.4300000000000002</v>
      </c>
      <c r="BO32" s="3">
        <v>4.2</v>
      </c>
      <c r="BP32" s="3">
        <v>5.47</v>
      </c>
      <c r="BQ32" s="3">
        <v>5.82</v>
      </c>
      <c r="BR32" s="3">
        <v>5.09</v>
      </c>
      <c r="BS32" s="3">
        <v>3.73</v>
      </c>
      <c r="BT32" s="3">
        <v>1.48</v>
      </c>
      <c r="BU32" s="3">
        <v>0.22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0.31</v>
      </c>
      <c r="CU32" s="3">
        <f>CT32*基本シート!$C$3</f>
        <v>4.96</v>
      </c>
      <c r="CV32" s="3">
        <v>0.24</v>
      </c>
      <c r="CW32" s="3">
        <f>CV32*基本シート!$C$3</f>
        <v>3.84</v>
      </c>
      <c r="CX32" s="3">
        <v>3.69</v>
      </c>
      <c r="CY32" s="3">
        <f>CX32*基本シート!$C$3</f>
        <v>59.04</v>
      </c>
      <c r="CZ32" s="3">
        <v>5.2</v>
      </c>
      <c r="DA32" s="3">
        <f>CZ32*基本シート!$C$3</f>
        <v>83.2</v>
      </c>
      <c r="DB32" s="3">
        <v>4.5999999999999996</v>
      </c>
      <c r="DC32" s="3">
        <f>DB32*基本シート!$C$3</f>
        <v>73.599999999999994</v>
      </c>
      <c r="DD32" s="3">
        <v>3.25</v>
      </c>
      <c r="DE32" s="3">
        <f>DD32*基本シート!$C$3</f>
        <v>52</v>
      </c>
      <c r="DF32" s="3">
        <v>1.02</v>
      </c>
      <c r="DG32" s="3">
        <f>DF32*基本シート!$C$3</f>
        <v>16.32</v>
      </c>
      <c r="DH32" s="3">
        <v>0.04</v>
      </c>
      <c r="DI32" s="3">
        <f>DH32*基本シート!$C$3</f>
        <v>0.64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18.37</v>
      </c>
      <c r="EA32" s="3">
        <f>ROUND(DZ32*基本シート!$C$3,0)</f>
        <v>294</v>
      </c>
      <c r="EB32" s="3">
        <v>0.03</v>
      </c>
      <c r="EC32" s="3">
        <v>0.04</v>
      </c>
      <c r="ED32" s="3">
        <v>0.05</v>
      </c>
      <c r="EE32" s="3">
        <v>0.03</v>
      </c>
      <c r="EF32" s="3">
        <v>0.04</v>
      </c>
      <c r="EG32" s="3">
        <v>0.04</v>
      </c>
      <c r="EH32" s="3">
        <v>0.03</v>
      </c>
      <c r="EI32" s="3">
        <v>0.22</v>
      </c>
      <c r="EJ32" s="3">
        <v>1.51</v>
      </c>
      <c r="EK32" s="3">
        <v>3.35</v>
      </c>
      <c r="EL32" s="3">
        <v>1.1599999999999999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0.04</v>
      </c>
      <c r="EV32" s="3">
        <v>0.03</v>
      </c>
      <c r="EW32" s="3">
        <v>0.04</v>
      </c>
      <c r="EX32" s="3">
        <v>0.04</v>
      </c>
      <c r="EY32" s="3">
        <v>0.04</v>
      </c>
      <c r="EZ32" s="3">
        <f t="shared" si="11"/>
        <v>6.69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0.28000000000000003</v>
      </c>
      <c r="FQ32" s="3">
        <v>1.92</v>
      </c>
      <c r="FR32" s="3">
        <v>2.83</v>
      </c>
      <c r="FS32" s="3">
        <v>0.05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5.09</v>
      </c>
      <c r="FZ32" s="3">
        <v>0.61</v>
      </c>
      <c r="GA32" s="3">
        <v>0.79</v>
      </c>
      <c r="GB32" s="3">
        <v>0.8</v>
      </c>
      <c r="GC32" s="3">
        <v>0.84</v>
      </c>
      <c r="GD32" s="3">
        <v>1.06</v>
      </c>
      <c r="GE32" s="3">
        <v>0.89</v>
      </c>
      <c r="GF32" s="3">
        <v>1.27</v>
      </c>
      <c r="GG32" s="3">
        <v>0.78</v>
      </c>
      <c r="GH32" s="3">
        <v>0.61</v>
      </c>
      <c r="GI32" s="3">
        <v>0.61</v>
      </c>
      <c r="GJ32" s="3">
        <v>0.62</v>
      </c>
      <c r="GK32" s="3">
        <v>0.63</v>
      </c>
      <c r="GL32" s="3">
        <v>0.49</v>
      </c>
      <c r="GM32" s="3">
        <v>0.48</v>
      </c>
      <c r="GN32" s="3">
        <v>0.46</v>
      </c>
      <c r="GO32" s="3">
        <v>0.46</v>
      </c>
      <c r="GP32" s="3">
        <v>1.93</v>
      </c>
      <c r="GQ32" s="3">
        <v>2.83</v>
      </c>
      <c r="GR32" s="3">
        <v>3.08</v>
      </c>
      <c r="GS32" s="3">
        <v>1.81</v>
      </c>
      <c r="GT32" s="3">
        <v>0.96</v>
      </c>
      <c r="GU32" s="3">
        <v>0.85</v>
      </c>
      <c r="GV32" s="3">
        <v>0.43</v>
      </c>
      <c r="GW32" s="3">
        <v>0.46</v>
      </c>
      <c r="GX32" s="3">
        <f t="shared" si="13"/>
        <v>23.750000000000004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>TEXT(VLOOKUP(LEFT(B33,FIND("月",B33)),基本シート!$E$6:$F$17,2,FALSE)&amp;B33,"aaaa")</f>
        <v>水曜日</v>
      </c>
      <c r="D33" s="6"/>
      <c r="E33" s="6" t="str">
        <f t="shared" si="9"/>
        <v/>
      </c>
      <c r="F33" s="6" t="s">
        <v>296</v>
      </c>
      <c r="G33" s="6" t="s">
        <v>297</v>
      </c>
      <c r="H33" s="3">
        <v>0.5</v>
      </c>
      <c r="I33" s="3">
        <f>IF($E33="〇",H33*基本シート!$E$2,H33*VLOOKUP(LEFT(I$6,FIND("(",I$6)-1),基本シート!$B$6:$C$29,2,FALSE))</f>
        <v>14.93</v>
      </c>
      <c r="J33" s="3">
        <v>0.48</v>
      </c>
      <c r="K33" s="3">
        <f>IF($E33="〇",J33*基本シート!$E$2,J33*VLOOKUP(LEFT(K$6,FIND("(",K$6)-1),基本シート!$B$6:$C$29,2,FALSE))</f>
        <v>14.332799999999999</v>
      </c>
      <c r="L33" s="3">
        <v>0.49</v>
      </c>
      <c r="M33" s="3">
        <f>IF($E33="〇",L33*基本シート!$E$2,L33*VLOOKUP(LEFT(M$6,FIND("(",M$6)-1),基本シート!$B$6:$C$29,2,FALSE))</f>
        <v>14.631399999999999</v>
      </c>
      <c r="N33" s="3">
        <v>0.49</v>
      </c>
      <c r="O33" s="3">
        <f>IF($E33="〇",N33*基本シート!$E$2,N33*VLOOKUP(LEFT(O$6,FIND("(",O$6)-1),基本シート!$B$6:$C$29,2,FALSE))</f>
        <v>14.631399999999999</v>
      </c>
      <c r="P33" s="3">
        <v>0.7</v>
      </c>
      <c r="Q33" s="3">
        <f>IF($E33="〇",P33*基本シート!$E$2,P33*VLOOKUP(LEFT(Q$6,FIND("(",Q$6)-1),基本シート!$B$6:$C$29,2,FALSE))</f>
        <v>20.901999999999997</v>
      </c>
      <c r="R33" s="3">
        <v>0.5</v>
      </c>
      <c r="S33" s="3">
        <f>IF($E33="〇",R33*基本シート!$E$2,R33*VLOOKUP(LEFT(S$6,FIND("(",S$6)-1),基本シート!$B$6:$C$29,2,FALSE))</f>
        <v>14.93</v>
      </c>
      <c r="T33" s="3">
        <v>0.83</v>
      </c>
      <c r="U33" s="3">
        <f>IF($E33="〇",T33*基本シート!$E$2,T33*VLOOKUP(LEFT(U$6,FIND("(",U$6)-1),基本シート!$B$6:$C$29,2,FALSE))</f>
        <v>24.783799999999999</v>
      </c>
      <c r="V33" s="3">
        <v>0.08</v>
      </c>
      <c r="W33" s="3">
        <f>IF($E33="〇",V33*基本シート!$E$2,V33*VLOOKUP(LEFT(W$6,FIND("(",W$6)-1),基本シート!$B$6:$C$29,2,FALSE))</f>
        <v>2.9487999999999999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0.01</v>
      </c>
      <c r="AA33" s="3">
        <f>IF($E33="〇",Z33*基本シート!$E$2,Z33*VLOOKUP(LEFT(AA$6,FIND("(",AA$6)-1),基本シート!$B$6:$C$29,2,FALSE))</f>
        <v>0.36859999999999998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0.02</v>
      </c>
      <c r="AO33" s="3">
        <f>IF($E33="〇",AN33*基本シート!$E$2,AN33*VLOOKUP(LEFT(AO$6,FIND("(",AO$6)-1),基本シート!$B$6:$C$29,2,FALSE))</f>
        <v>0.73719999999999997</v>
      </c>
      <c r="AP33" s="3">
        <v>0.02</v>
      </c>
      <c r="AQ33" s="3">
        <f>IF($E33="〇",AP33*基本シート!$E$2,AP33*VLOOKUP(LEFT(AQ$6,FIND("(",AQ$6)-1),基本シート!$B$6:$C$29,2,FALSE))</f>
        <v>0.73719999999999997</v>
      </c>
      <c r="AR33" s="3">
        <v>1.22</v>
      </c>
      <c r="AS33" s="3">
        <f>IF($E33="〇",AR33*基本シート!$E$2,AR33*VLOOKUP(LEFT(AS$6,FIND("(",AS$6)-1),基本シート!$B$6:$C$29,2,FALSE))</f>
        <v>44.969200000000001</v>
      </c>
      <c r="AT33" s="3">
        <v>1.41</v>
      </c>
      <c r="AU33" s="3">
        <f>IF($E33="〇",AT33*基本シート!$E$2,AT33*VLOOKUP(LEFT(AU$6,FIND("(",AU$6)-1),基本シート!$B$6:$C$29,2,FALSE))</f>
        <v>51.972599999999993</v>
      </c>
      <c r="AV33" s="3">
        <v>0.96</v>
      </c>
      <c r="AW33" s="3">
        <f>IF($E33="〇",AV33*基本シート!$E$2,AV33*VLOOKUP(LEFT(AW$6,FIND("(",AW$6)-1),基本シート!$B$6:$C$29,2,FALSE))</f>
        <v>35.385599999999997</v>
      </c>
      <c r="AX33" s="3">
        <v>0.55000000000000004</v>
      </c>
      <c r="AY33" s="3">
        <f>IF($E33="〇",AX33*基本シート!$E$2,AX33*VLOOKUP(LEFT(AY$6,FIND("(",AY$6)-1),基本シート!$B$6:$C$29,2,FALSE))</f>
        <v>16.423000000000002</v>
      </c>
      <c r="AZ33" s="3">
        <v>0.53</v>
      </c>
      <c r="BA33" s="3">
        <f>IF($E33="〇",AZ33*基本シート!$E$2,AZ33*VLOOKUP(LEFT(BA$6,FIND("(",BA$6)-1),基本シート!$B$6:$C$29,2,FALSE))</f>
        <v>15.825800000000001</v>
      </c>
      <c r="BB33" s="3">
        <v>0.7</v>
      </c>
      <c r="BC33" s="3">
        <f>IF($E33="〇",BB33*基本シート!$E$2,BB33*VLOOKUP(LEFT(BC$6,FIND("(",BC$6)-1),基本シート!$B$6:$C$29,2,FALSE))</f>
        <v>20.901999999999997</v>
      </c>
      <c r="BD33" s="3">
        <f t="shared" si="7"/>
        <v>9.4899999999999984</v>
      </c>
      <c r="BE33" s="3">
        <f t="shared" si="8"/>
        <v>309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0.02</v>
      </c>
      <c r="BM33" s="3">
        <v>1.2</v>
      </c>
      <c r="BN33" s="3">
        <v>2.65</v>
      </c>
      <c r="BO33" s="3">
        <v>4.09</v>
      </c>
      <c r="BP33" s="3">
        <v>2.79</v>
      </c>
      <c r="BQ33" s="3">
        <v>2.27</v>
      </c>
      <c r="BR33" s="3">
        <v>0.76</v>
      </c>
      <c r="BS33" s="3">
        <v>0.3</v>
      </c>
      <c r="BT33" s="3">
        <v>0.97</v>
      </c>
      <c r="BU33" s="3">
        <v>0.16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0.39</v>
      </c>
      <c r="CW33" s="3">
        <f>CV33*基本シート!$C$3</f>
        <v>6.24</v>
      </c>
      <c r="CX33" s="3">
        <v>2.34</v>
      </c>
      <c r="CY33" s="3">
        <f>CX33*基本シート!$C$3</f>
        <v>37.44</v>
      </c>
      <c r="CZ33" s="3">
        <v>1.7</v>
      </c>
      <c r="DA33" s="3">
        <f>CZ33*基本シート!$C$3</f>
        <v>27.2</v>
      </c>
      <c r="DB33" s="3">
        <v>0.37</v>
      </c>
      <c r="DC33" s="3">
        <f>DB33*基本シート!$C$3</f>
        <v>5.92</v>
      </c>
      <c r="DD33" s="3">
        <v>0.04</v>
      </c>
      <c r="DE33" s="3">
        <f>DD33*基本シート!$C$3</f>
        <v>0.64</v>
      </c>
      <c r="DF33" s="3">
        <v>0.67</v>
      </c>
      <c r="DG33" s="3">
        <f>DF33*基本シート!$C$3</f>
        <v>10.72</v>
      </c>
      <c r="DH33" s="3">
        <v>7.0000000000000007E-2</v>
      </c>
      <c r="DI33" s="3">
        <f>DH33*基本シート!$C$3</f>
        <v>1.1200000000000001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5.6099999999999994</v>
      </c>
      <c r="EA33" s="3">
        <f>ROUND(DZ33*基本シート!$C$3,0)</f>
        <v>90</v>
      </c>
      <c r="EB33" s="3">
        <v>0.03</v>
      </c>
      <c r="EC33" s="3">
        <v>0.03</v>
      </c>
      <c r="ED33" s="3">
        <v>0.04</v>
      </c>
      <c r="EE33" s="3">
        <v>0.03</v>
      </c>
      <c r="EF33" s="3">
        <v>0.04</v>
      </c>
      <c r="EG33" s="3">
        <v>0.04</v>
      </c>
      <c r="EH33" s="3">
        <v>0.02</v>
      </c>
      <c r="EI33" s="3">
        <v>0.74</v>
      </c>
      <c r="EJ33" s="3">
        <v>2.14</v>
      </c>
      <c r="EK33" s="3">
        <v>3.29</v>
      </c>
      <c r="EL33" s="3">
        <v>0.03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0.04</v>
      </c>
      <c r="EV33" s="3">
        <v>0.03</v>
      </c>
      <c r="EW33" s="3">
        <v>0.04</v>
      </c>
      <c r="EX33" s="3">
        <v>0.05</v>
      </c>
      <c r="EY33" s="3">
        <v>0.03</v>
      </c>
      <c r="EZ33" s="3">
        <f t="shared" si="11"/>
        <v>6.620000000000001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0.02</v>
      </c>
      <c r="FN33" s="3">
        <v>0.16</v>
      </c>
      <c r="FO33" s="3">
        <v>0.1</v>
      </c>
      <c r="FP33" s="3">
        <v>0.3</v>
      </c>
      <c r="FQ33" s="3">
        <v>1.0900000000000001</v>
      </c>
      <c r="FR33" s="3">
        <v>2.4</v>
      </c>
      <c r="FS33" s="3">
        <v>1.36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5.4300000000000006</v>
      </c>
      <c r="FZ33" s="3">
        <v>0.47</v>
      </c>
      <c r="GA33" s="3">
        <v>0.45</v>
      </c>
      <c r="GB33" s="3">
        <v>0.45</v>
      </c>
      <c r="GC33" s="3">
        <v>0.46</v>
      </c>
      <c r="GD33" s="3">
        <v>0.66</v>
      </c>
      <c r="GE33" s="3">
        <v>0.46</v>
      </c>
      <c r="GF33" s="3">
        <v>0.83</v>
      </c>
      <c r="GG33" s="3">
        <v>0.54</v>
      </c>
      <c r="GH33" s="3">
        <v>0.5</v>
      </c>
      <c r="GI33" s="3">
        <v>0.42</v>
      </c>
      <c r="GJ33" s="3">
        <v>0.42</v>
      </c>
      <c r="GK33" s="3">
        <v>0.56999999999999995</v>
      </c>
      <c r="GL33" s="3">
        <v>0.41</v>
      </c>
      <c r="GM33" s="3">
        <v>0.42</v>
      </c>
      <c r="GN33" s="3">
        <v>0.4</v>
      </c>
      <c r="GO33" s="3">
        <v>0.39</v>
      </c>
      <c r="GP33" s="3">
        <v>1.1000000000000001</v>
      </c>
      <c r="GQ33" s="3">
        <v>2.41</v>
      </c>
      <c r="GR33" s="3">
        <v>2.58</v>
      </c>
      <c r="GS33" s="3">
        <v>1.37</v>
      </c>
      <c r="GT33" s="3">
        <v>0.93</v>
      </c>
      <c r="GU33" s="3">
        <v>0.51</v>
      </c>
      <c r="GV33" s="3">
        <v>0.48</v>
      </c>
      <c r="GW33" s="3">
        <v>0.67</v>
      </c>
      <c r="GX33" s="3">
        <f t="shared" si="13"/>
        <v>17.900000000000006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>TEXT(VLOOKUP(LEFT(B34,FIND("月",B34)),基本シート!$E$6:$F$17,2,FALSE)&amp;B34,"aaaa")</f>
        <v>木曜日</v>
      </c>
      <c r="D34" s="6"/>
      <c r="E34" s="6" t="str">
        <f t="shared" si="9"/>
        <v/>
      </c>
      <c r="F34" s="6" t="s">
        <v>297</v>
      </c>
      <c r="G34" s="6" t="s">
        <v>297</v>
      </c>
      <c r="H34" s="3">
        <v>0.54</v>
      </c>
      <c r="I34" s="3">
        <f>IF($E34="〇",H34*基本シート!$E$2,H34*VLOOKUP(LEFT(I$6,FIND("(",I$6)-1),基本シート!$B$6:$C$29,2,FALSE))</f>
        <v>16.124400000000001</v>
      </c>
      <c r="J34" s="3">
        <v>0.47</v>
      </c>
      <c r="K34" s="3">
        <f>IF($E34="〇",J34*基本シート!$E$2,J34*VLOOKUP(LEFT(K$6,FIND("(",K$6)-1),基本シート!$B$6:$C$29,2,FALSE))</f>
        <v>14.034199999999998</v>
      </c>
      <c r="L34" s="3">
        <v>0.54</v>
      </c>
      <c r="M34" s="3">
        <f>IF($E34="〇",L34*基本シート!$E$2,L34*VLOOKUP(LEFT(M$6,FIND("(",M$6)-1),基本シート!$B$6:$C$29,2,FALSE))</f>
        <v>16.124400000000001</v>
      </c>
      <c r="N34" s="3">
        <v>0.5</v>
      </c>
      <c r="O34" s="3">
        <f>IF($E34="〇",N34*基本シート!$E$2,N34*VLOOKUP(LEFT(O$6,FIND("(",O$6)-1),基本シート!$B$6:$C$29,2,FALSE))</f>
        <v>14.93</v>
      </c>
      <c r="P34" s="3">
        <v>0.68</v>
      </c>
      <c r="Q34" s="3">
        <f>IF($E34="〇",P34*基本シート!$E$2,P34*VLOOKUP(LEFT(Q$6,FIND("(",Q$6)-1),基本シート!$B$6:$C$29,2,FALSE))</f>
        <v>20.3048</v>
      </c>
      <c r="R34" s="3">
        <v>0.52</v>
      </c>
      <c r="S34" s="3">
        <f>IF($E34="〇",R34*基本シート!$E$2,R34*VLOOKUP(LEFT(S$6,FIND("(",S$6)-1),基本シート!$B$6:$C$29,2,FALSE))</f>
        <v>15.527200000000001</v>
      </c>
      <c r="T34" s="3">
        <v>0.73</v>
      </c>
      <c r="U34" s="3">
        <f>IF($E34="〇",T34*基本シート!$E$2,T34*VLOOKUP(LEFT(U$6,FIND("(",U$6)-1),基本シート!$B$6:$C$29,2,FALSE))</f>
        <v>21.797799999999999</v>
      </c>
      <c r="V34" s="3">
        <v>0.5</v>
      </c>
      <c r="W34" s="3">
        <f>IF($E34="〇",V34*基本シート!$E$2,V34*VLOOKUP(LEFT(W$6,FIND("(",W$6)-1),基本シート!$B$6:$C$29,2,FALSE))</f>
        <v>18.43</v>
      </c>
      <c r="X34" s="3">
        <v>0.12</v>
      </c>
      <c r="Y34" s="3">
        <f>IF($E34="〇",X34*基本シート!$E$2,X34*VLOOKUP(LEFT(Y$6,FIND("(",Y$6)-1),基本シート!$B$6:$C$29,2,FALSE))</f>
        <v>4.4231999999999996</v>
      </c>
      <c r="Z34" s="3">
        <v>0.01</v>
      </c>
      <c r="AA34" s="3">
        <f>IF($E34="〇",Z34*基本シート!$E$2,Z34*VLOOKUP(LEFT(AA$6,FIND("(",AA$6)-1),基本シート!$B$6:$C$29,2,FALSE))</f>
        <v>0.36859999999999998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1.94</v>
      </c>
      <c r="AS34" s="3">
        <f>IF($E34="〇",AR34*基本シート!$E$2,AR34*VLOOKUP(LEFT(AS$6,FIND("(",AS$6)-1),基本シート!$B$6:$C$29,2,FALSE))</f>
        <v>71.508399999999995</v>
      </c>
      <c r="AT34" s="3">
        <v>2.2999999999999998</v>
      </c>
      <c r="AU34" s="3">
        <f>IF($E34="〇",AT34*基本シート!$E$2,AT34*VLOOKUP(LEFT(AU$6,FIND("(",AU$6)-1),基本シート!$B$6:$C$29,2,FALSE))</f>
        <v>84.777999999999992</v>
      </c>
      <c r="AV34" s="3">
        <v>1.0900000000000001</v>
      </c>
      <c r="AW34" s="3">
        <f>IF($E34="〇",AV34*基本シート!$E$2,AV34*VLOOKUP(LEFT(AW$6,FIND("(",AW$6)-1),基本シート!$B$6:$C$29,2,FALSE))</f>
        <v>40.177400000000006</v>
      </c>
      <c r="AX34" s="3">
        <v>0.68</v>
      </c>
      <c r="AY34" s="3">
        <f>IF($E34="〇",AX34*基本シート!$E$2,AX34*VLOOKUP(LEFT(AY$6,FIND("(",AY$6)-1),基本シート!$B$6:$C$29,2,FALSE))</f>
        <v>20.3048</v>
      </c>
      <c r="AZ34" s="3">
        <v>0.57999999999999996</v>
      </c>
      <c r="BA34" s="3">
        <f>IF($E34="〇",AZ34*基本シート!$E$2,AZ34*VLOOKUP(LEFT(BA$6,FIND("(",BA$6)-1),基本シート!$B$6:$C$29,2,FALSE))</f>
        <v>17.3188</v>
      </c>
      <c r="BB34" s="3">
        <v>0.51</v>
      </c>
      <c r="BC34" s="3">
        <f>IF($E34="〇",BB34*基本シート!$E$2,BB34*VLOOKUP(LEFT(BC$6,FIND("(",BC$6)-1),基本シート!$B$6:$C$29,2,FALSE))</f>
        <v>15.2286</v>
      </c>
      <c r="BD34" s="3">
        <f t="shared" si="7"/>
        <v>11.73</v>
      </c>
      <c r="BE34" s="3">
        <f t="shared" si="8"/>
        <v>392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0.4</v>
      </c>
      <c r="BO34" s="3">
        <v>1.1299999999999999</v>
      </c>
      <c r="BP34" s="3">
        <v>2.46</v>
      </c>
      <c r="BQ34" s="3">
        <v>4.01</v>
      </c>
      <c r="BR34" s="3">
        <v>1.86</v>
      </c>
      <c r="BS34" s="3">
        <v>1.27</v>
      </c>
      <c r="BT34" s="3">
        <v>0.82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0.02</v>
      </c>
      <c r="CW34" s="3">
        <f>CV34*基本シート!$C$3</f>
        <v>0.32</v>
      </c>
      <c r="CX34" s="3">
        <v>0.34</v>
      </c>
      <c r="CY34" s="3">
        <f>CX34*基本シート!$C$3</f>
        <v>5.44</v>
      </c>
      <c r="CZ34" s="3">
        <v>0.39</v>
      </c>
      <c r="DA34" s="3">
        <f>CZ34*基本シート!$C$3</f>
        <v>6.24</v>
      </c>
      <c r="DB34" s="3">
        <v>0.28999999999999998</v>
      </c>
      <c r="DC34" s="3">
        <f>DB34*基本シート!$C$3</f>
        <v>4.6399999999999997</v>
      </c>
      <c r="DD34" s="3">
        <v>0.75</v>
      </c>
      <c r="DE34" s="3">
        <f>DD34*基本シート!$C$3</f>
        <v>12</v>
      </c>
      <c r="DF34" s="3">
        <v>0.37</v>
      </c>
      <c r="DG34" s="3">
        <f>DF34*基本シート!$C$3</f>
        <v>5.92</v>
      </c>
      <c r="DH34" s="3">
        <v>0.01</v>
      </c>
      <c r="DI34" s="3">
        <f>DH34*基本シート!$C$3</f>
        <v>0.16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2.1899999999999995</v>
      </c>
      <c r="EA34" s="3">
        <f>ROUND(DZ34*基本シート!$C$3,0)</f>
        <v>35</v>
      </c>
      <c r="EB34" s="3">
        <v>0.03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0.02</v>
      </c>
      <c r="EI34" s="3">
        <v>0.02</v>
      </c>
      <c r="EJ34" s="3">
        <v>0.05</v>
      </c>
      <c r="EK34" s="3">
        <v>0.67</v>
      </c>
      <c r="EL34" s="3">
        <v>1.65</v>
      </c>
      <c r="EM34" s="3">
        <v>3.08</v>
      </c>
      <c r="EN34" s="3">
        <v>1.07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0.03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1"/>
        <v>6.9800000000000013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0.01</v>
      </c>
      <c r="FO34" s="3">
        <v>0.03</v>
      </c>
      <c r="FP34" s="3">
        <v>0.41</v>
      </c>
      <c r="FQ34" s="3">
        <v>1.46</v>
      </c>
      <c r="FR34" s="3">
        <v>2.59</v>
      </c>
      <c r="FS34" s="3">
        <v>0.76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5.26</v>
      </c>
      <c r="FZ34" s="3">
        <v>0.51</v>
      </c>
      <c r="GA34" s="3">
        <v>0.43</v>
      </c>
      <c r="GB34" s="3">
        <v>0.5</v>
      </c>
      <c r="GC34" s="3">
        <v>0.46</v>
      </c>
      <c r="GD34" s="3">
        <v>0.64</v>
      </c>
      <c r="GE34" s="3">
        <v>0.48</v>
      </c>
      <c r="GF34" s="3">
        <v>0.71</v>
      </c>
      <c r="GG34" s="3">
        <v>0.52</v>
      </c>
      <c r="GH34" s="3">
        <v>0.47</v>
      </c>
      <c r="GI34" s="3">
        <v>0.45</v>
      </c>
      <c r="GJ34" s="3">
        <v>0.47</v>
      </c>
      <c r="GK34" s="3">
        <v>0.54</v>
      </c>
      <c r="GL34" s="3">
        <v>0.5</v>
      </c>
      <c r="GM34" s="3">
        <v>0.53</v>
      </c>
      <c r="GN34" s="3">
        <v>0.48</v>
      </c>
      <c r="GO34" s="3">
        <v>0.49</v>
      </c>
      <c r="GP34" s="3">
        <v>1.46</v>
      </c>
      <c r="GQ34" s="3">
        <v>2.59</v>
      </c>
      <c r="GR34" s="3">
        <v>2.7</v>
      </c>
      <c r="GS34" s="3">
        <v>2.27</v>
      </c>
      <c r="GT34" s="3">
        <v>1.05</v>
      </c>
      <c r="GU34" s="3">
        <v>0.64</v>
      </c>
      <c r="GV34" s="3">
        <v>0.54</v>
      </c>
      <c r="GW34" s="3">
        <v>0.47</v>
      </c>
      <c r="GX34" s="3">
        <f t="shared" si="13"/>
        <v>19.899999999999999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>TEXT(VLOOKUP(LEFT(B35,FIND("月",B35)),基本シート!$E$6:$F$17,2,FALSE)&amp;B35,"aaaa")</f>
        <v>金曜日</v>
      </c>
      <c r="D35" s="6"/>
      <c r="E35" s="6" t="str">
        <f t="shared" si="9"/>
        <v/>
      </c>
      <c r="F35" s="6" t="s">
        <v>296</v>
      </c>
      <c r="G35" s="6" t="s">
        <v>298</v>
      </c>
      <c r="H35" s="3">
        <v>0.57999999999999996</v>
      </c>
      <c r="I35" s="3">
        <f>IF($E35="〇",H35*基本シート!$E$2,H35*VLOOKUP(LEFT(I$6,FIND("(",I$6)-1),基本シート!$B$6:$C$29,2,FALSE))</f>
        <v>17.3188</v>
      </c>
      <c r="J35" s="3">
        <v>0.55000000000000004</v>
      </c>
      <c r="K35" s="3">
        <f>IF($E35="〇",J35*基本シート!$E$2,J35*VLOOKUP(LEFT(K$6,FIND("(",K$6)-1),基本シート!$B$6:$C$29,2,FALSE))</f>
        <v>16.423000000000002</v>
      </c>
      <c r="L35" s="3">
        <v>0.57999999999999996</v>
      </c>
      <c r="M35" s="3">
        <f>IF($E35="〇",L35*基本シート!$E$2,L35*VLOOKUP(LEFT(M$6,FIND("(",M$6)-1),基本シート!$B$6:$C$29,2,FALSE))</f>
        <v>17.3188</v>
      </c>
      <c r="N35" s="3">
        <v>0.57999999999999996</v>
      </c>
      <c r="O35" s="3">
        <f>IF($E35="〇",N35*基本シート!$E$2,N35*VLOOKUP(LEFT(O$6,FIND("(",O$6)-1),基本シート!$B$6:$C$29,2,FALSE))</f>
        <v>17.3188</v>
      </c>
      <c r="P35" s="3">
        <v>0.77</v>
      </c>
      <c r="Q35" s="3">
        <f>IF($E35="〇",P35*基本シート!$E$2,P35*VLOOKUP(LEFT(Q$6,FIND("(",Q$6)-1),基本シート!$B$6:$C$29,2,FALSE))</f>
        <v>22.9922</v>
      </c>
      <c r="R35" s="3">
        <v>0.61</v>
      </c>
      <c r="S35" s="3">
        <f>IF($E35="〇",R35*基本シート!$E$2,R35*VLOOKUP(LEFT(S$6,FIND("(",S$6)-1),基本シート!$B$6:$C$29,2,FALSE))</f>
        <v>18.214600000000001</v>
      </c>
      <c r="T35" s="3">
        <v>0.89</v>
      </c>
      <c r="U35" s="3">
        <f>IF($E35="〇",T35*基本シート!$E$2,T35*VLOOKUP(LEFT(U$6,FIND("(",U$6)-1),基本シート!$B$6:$C$29,2,FALSE))</f>
        <v>26.575399999999998</v>
      </c>
      <c r="V35" s="3">
        <v>0.41</v>
      </c>
      <c r="W35" s="3">
        <f>IF($E35="〇",V35*基本シート!$E$2,V35*VLOOKUP(LEFT(W$6,FIND("(",W$6)-1),基本シート!$B$6:$C$29,2,FALSE))</f>
        <v>15.112599999999999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0.01</v>
      </c>
      <c r="AC35" s="3">
        <f>IF($E35="〇",AB35*基本シート!$E$2,AB35*VLOOKUP(LEFT(AC$6,FIND("(",AC$6)-1),基本シート!$B$6:$C$29,2,FALSE))</f>
        <v>0.36859999999999998</v>
      </c>
      <c r="AD35" s="3">
        <v>0.02</v>
      </c>
      <c r="AE35" s="3">
        <f>IF($E35="〇",AD35*基本シート!$E$2,AD35*VLOOKUP(LEFT(AE$6,FIND("(",AE$6)-1),基本シート!$B$6:$C$29,2,FALSE))</f>
        <v>0.73719999999999997</v>
      </c>
      <c r="AF35" s="3">
        <v>0.01</v>
      </c>
      <c r="AG35" s="3">
        <f>IF($E35="〇",AF35*基本シート!$E$2,AF35*VLOOKUP(LEFT(AG$6,FIND("(",AG$6)-1),基本シート!$B$6:$C$29,2,FALSE))</f>
        <v>0.36859999999999998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0.02</v>
      </c>
      <c r="AO35" s="3">
        <f>IF($E35="〇",AN35*基本シート!$E$2,AN35*VLOOKUP(LEFT(AO$6,FIND("(",AO$6)-1),基本シート!$B$6:$C$29,2,FALSE))</f>
        <v>0.73719999999999997</v>
      </c>
      <c r="AP35" s="3">
        <v>0.2</v>
      </c>
      <c r="AQ35" s="3">
        <f>IF($E35="〇",AP35*基本シート!$E$2,AP35*VLOOKUP(LEFT(AQ$6,FIND("(",AQ$6)-1),基本シート!$B$6:$C$29,2,FALSE))</f>
        <v>7.3719999999999999</v>
      </c>
      <c r="AR35" s="3">
        <v>2.58</v>
      </c>
      <c r="AS35" s="3">
        <f>IF($E35="〇",AR35*基本シート!$E$2,AR35*VLOOKUP(LEFT(AS$6,FIND("(",AS$6)-1),基本シート!$B$6:$C$29,2,FALSE))</f>
        <v>95.098799999999997</v>
      </c>
      <c r="AT35" s="3">
        <v>1.99</v>
      </c>
      <c r="AU35" s="3">
        <f>IF($E35="〇",AT35*基本シート!$E$2,AT35*VLOOKUP(LEFT(AU$6,FIND("(",AU$6)-1),基本シート!$B$6:$C$29,2,FALSE))</f>
        <v>73.351399999999998</v>
      </c>
      <c r="AV35" s="3">
        <v>0.76</v>
      </c>
      <c r="AW35" s="3">
        <f>IF($E35="〇",AV35*基本シート!$E$2,AV35*VLOOKUP(LEFT(AW$6,FIND("(",AW$6)-1),基本シート!$B$6:$C$29,2,FALSE))</f>
        <v>28.0136</v>
      </c>
      <c r="AX35" s="3">
        <v>0.57999999999999996</v>
      </c>
      <c r="AY35" s="3">
        <f>IF($E35="〇",AX35*基本シート!$E$2,AX35*VLOOKUP(LEFT(AY$6,FIND("(",AY$6)-1),基本シート!$B$6:$C$29,2,FALSE))</f>
        <v>17.3188</v>
      </c>
      <c r="AZ35" s="3">
        <v>0.59</v>
      </c>
      <c r="BA35" s="3">
        <f>IF($E35="〇",AZ35*基本シート!$E$2,AZ35*VLOOKUP(LEFT(BA$6,FIND("(",BA$6)-1),基本シート!$B$6:$C$29,2,FALSE))</f>
        <v>17.6174</v>
      </c>
      <c r="BB35" s="3">
        <v>0.57999999999999996</v>
      </c>
      <c r="BC35" s="3">
        <f>IF($E35="〇",BB35*基本シート!$E$2,BB35*VLOOKUP(LEFT(BC$6,FIND("(",BC$6)-1),基本シート!$B$6:$C$29,2,FALSE))</f>
        <v>17.3188</v>
      </c>
      <c r="BD35" s="3">
        <f t="shared" si="7"/>
        <v>12.309999999999999</v>
      </c>
      <c r="BE35" s="3">
        <f t="shared" si="8"/>
        <v>410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0.37</v>
      </c>
      <c r="BN35" s="3">
        <v>1.59</v>
      </c>
      <c r="BO35" s="3">
        <v>0.68</v>
      </c>
      <c r="BP35" s="3">
        <v>2.41</v>
      </c>
      <c r="BQ35" s="3">
        <v>2.15</v>
      </c>
      <c r="BR35" s="3">
        <v>5.0599999999999996</v>
      </c>
      <c r="BS35" s="3">
        <v>4.75</v>
      </c>
      <c r="BT35" s="3">
        <v>3.14</v>
      </c>
      <c r="BU35" s="3">
        <v>0.4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0.01</v>
      </c>
      <c r="CU35" s="3">
        <f>CT35*基本シート!$C$3</f>
        <v>0.16</v>
      </c>
      <c r="CV35" s="3">
        <v>0</v>
      </c>
      <c r="CW35" s="3">
        <f>CV35*基本シート!$C$3</f>
        <v>0</v>
      </c>
      <c r="CX35" s="3">
        <v>0.3</v>
      </c>
      <c r="CY35" s="3">
        <f>CX35*基本シート!$C$3</f>
        <v>4.8</v>
      </c>
      <c r="CZ35" s="3">
        <v>0.23</v>
      </c>
      <c r="DA35" s="3">
        <f>CZ35*基本シート!$C$3</f>
        <v>3.68</v>
      </c>
      <c r="DB35" s="3">
        <v>2.54</v>
      </c>
      <c r="DC35" s="3">
        <f>DB35*基本シート!$C$3</f>
        <v>40.64</v>
      </c>
      <c r="DD35" s="3">
        <v>4.18</v>
      </c>
      <c r="DE35" s="3">
        <f>DD35*基本シート!$C$3</f>
        <v>66.88</v>
      </c>
      <c r="DF35" s="3">
        <v>2.59</v>
      </c>
      <c r="DG35" s="3">
        <f>DF35*基本シート!$C$3</f>
        <v>41.44</v>
      </c>
      <c r="DH35" s="3">
        <v>0.15</v>
      </c>
      <c r="DI35" s="3">
        <f>DH35*基本シート!$C$3</f>
        <v>2.4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10.01</v>
      </c>
      <c r="EA35" s="3">
        <f>ROUND(DZ35*基本シート!$C$3,0)</f>
        <v>160</v>
      </c>
      <c r="EB35" s="3">
        <v>0.03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0.12</v>
      </c>
      <c r="EJ35" s="3">
        <v>1.02</v>
      </c>
      <c r="EK35" s="3">
        <v>0.16</v>
      </c>
      <c r="EL35" s="3">
        <v>1.64</v>
      </c>
      <c r="EM35" s="3">
        <v>1.34</v>
      </c>
      <c r="EN35" s="3">
        <v>2.0099999999999998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0.02</v>
      </c>
      <c r="EZ35" s="3">
        <f t="shared" si="11"/>
        <v>6.7200000000000006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0.27</v>
      </c>
      <c r="FQ35" s="3">
        <v>2.37</v>
      </c>
      <c r="FR35" s="3">
        <v>2.56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5.2</v>
      </c>
      <c r="FZ35" s="3">
        <v>0.55000000000000004</v>
      </c>
      <c r="GA35" s="3">
        <v>0.51</v>
      </c>
      <c r="GB35" s="3">
        <v>0.54</v>
      </c>
      <c r="GC35" s="3">
        <v>0.54</v>
      </c>
      <c r="GD35" s="3">
        <v>0.73</v>
      </c>
      <c r="GE35" s="3">
        <v>0.56999999999999995</v>
      </c>
      <c r="GF35" s="3">
        <v>0.86</v>
      </c>
      <c r="GG35" s="3">
        <v>0.66</v>
      </c>
      <c r="GH35" s="3">
        <v>0.56000000000000005</v>
      </c>
      <c r="GI35" s="3">
        <v>0.52</v>
      </c>
      <c r="GJ35" s="3">
        <v>0.48</v>
      </c>
      <c r="GK35" s="3">
        <v>0.6</v>
      </c>
      <c r="GL35" s="3">
        <v>0.52</v>
      </c>
      <c r="GM35" s="3">
        <v>0.56999999999999995</v>
      </c>
      <c r="GN35" s="3">
        <v>0.55000000000000004</v>
      </c>
      <c r="GO35" s="3">
        <v>0.52</v>
      </c>
      <c r="GP35" s="3">
        <v>2.38</v>
      </c>
      <c r="GQ35" s="3">
        <v>2.76</v>
      </c>
      <c r="GR35" s="3">
        <v>2.5499999999999998</v>
      </c>
      <c r="GS35" s="3">
        <v>1.96</v>
      </c>
      <c r="GT35" s="3">
        <v>0.73</v>
      </c>
      <c r="GU35" s="3">
        <v>0.55000000000000004</v>
      </c>
      <c r="GV35" s="3">
        <v>0.56000000000000005</v>
      </c>
      <c r="GW35" s="3">
        <v>0.56000000000000005</v>
      </c>
      <c r="GX35" s="3">
        <f t="shared" si="13"/>
        <v>21.33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>TEXT(VLOOKUP(LEFT(B36,FIND("月",B36)),基本シート!$E$6:$F$17,2,FALSE)&amp;B36,"aaaa")</f>
        <v>土曜日</v>
      </c>
      <c r="D36" s="6"/>
      <c r="E36" s="6" t="str">
        <f t="shared" si="9"/>
        <v>〇</v>
      </c>
      <c r="F36" s="6" t="s">
        <v>298</v>
      </c>
      <c r="G36" s="6" t="s">
        <v>298</v>
      </c>
      <c r="H36" s="3">
        <v>0.56000000000000005</v>
      </c>
      <c r="I36" s="3">
        <f>IF($E36="〇",H36*基本シート!$E$2,H36*VLOOKUP(LEFT(I$6,FIND("(",I$6)-1),基本シート!$B$6:$C$29,2,FALSE))</f>
        <v>16.721600000000002</v>
      </c>
      <c r="J36" s="3">
        <v>0.6</v>
      </c>
      <c r="K36" s="3">
        <f>IF($E36="〇",J36*基本シート!$E$2,J36*VLOOKUP(LEFT(K$6,FIND("(",K$6)-1),基本シート!$B$6:$C$29,2,FALSE))</f>
        <v>17.916</v>
      </c>
      <c r="L36" s="3">
        <v>0.6</v>
      </c>
      <c r="M36" s="3">
        <f>IF($E36="〇",L36*基本シート!$E$2,L36*VLOOKUP(LEFT(M$6,FIND("(",M$6)-1),基本シート!$B$6:$C$29,2,FALSE))</f>
        <v>17.916</v>
      </c>
      <c r="N36" s="3">
        <v>0.62</v>
      </c>
      <c r="O36" s="3">
        <f>IF($E36="〇",N36*基本シート!$E$2,N36*VLOOKUP(LEFT(O$6,FIND("(",O$6)-1),基本シート!$B$6:$C$29,2,FALSE))</f>
        <v>18.513200000000001</v>
      </c>
      <c r="P36" s="3">
        <v>0.66</v>
      </c>
      <c r="Q36" s="3">
        <f>IF($E36="〇",P36*基本シート!$E$2,P36*VLOOKUP(LEFT(Q$6,FIND("(",Q$6)-1),基本シート!$B$6:$C$29,2,FALSE))</f>
        <v>19.707599999999999</v>
      </c>
      <c r="R36" s="3">
        <v>0.68</v>
      </c>
      <c r="S36" s="3">
        <f>IF($E36="〇",R36*基本シート!$E$2,R36*VLOOKUP(LEFT(S$6,FIND("(",S$6)-1),基本シート!$B$6:$C$29,2,FALSE))</f>
        <v>20.3048</v>
      </c>
      <c r="T36" s="3">
        <v>0.64</v>
      </c>
      <c r="U36" s="3">
        <f>IF($E36="〇",T36*基本シート!$E$2,T36*VLOOKUP(LEFT(U$6,FIND("(",U$6)-1),基本シート!$B$6:$C$29,2,FALSE))</f>
        <v>19.110399999999998</v>
      </c>
      <c r="V36" s="3">
        <v>0.49</v>
      </c>
      <c r="W36" s="3">
        <f>IF($E36="〇",V36*基本シート!$E$2,V36*VLOOKUP(LEFT(W$6,FIND("(",W$6)-1),基本シート!$B$6:$C$29,2,FALSE))</f>
        <v>14.631399999999999</v>
      </c>
      <c r="X36" s="3">
        <v>0.78</v>
      </c>
      <c r="Y36" s="3">
        <f>IF($E36="〇",X36*基本シート!$E$2,X36*VLOOKUP(LEFT(Y$6,FIND("(",Y$6)-1),基本シート!$B$6:$C$29,2,FALSE))</f>
        <v>23.290800000000001</v>
      </c>
      <c r="Z36" s="3">
        <v>0.47</v>
      </c>
      <c r="AA36" s="3">
        <f>IF($E36="〇",Z36*基本シート!$E$2,Z36*VLOOKUP(LEFT(AA$6,FIND("(",AA$6)-1),基本シート!$B$6:$C$29,2,FALSE))</f>
        <v>14.034199999999998</v>
      </c>
      <c r="AB36" s="3">
        <v>0.02</v>
      </c>
      <c r="AC36" s="3">
        <f>IF($E36="〇",AB36*基本シート!$E$2,AB36*VLOOKUP(LEFT(AC$6,FIND("(",AC$6)-1),基本シート!$B$6:$C$29,2,FALSE))</f>
        <v>0.59719999999999995</v>
      </c>
      <c r="AD36" s="3">
        <v>0.01</v>
      </c>
      <c r="AE36" s="3">
        <f>IF($E36="〇",AD36*基本シート!$E$2,AD36*VLOOKUP(LEFT(AE$6,FIND("(",AE$6)-1),基本シート!$B$6:$C$29,2,FALSE))</f>
        <v>0.29859999999999998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0.28000000000000003</v>
      </c>
      <c r="AQ36" s="3">
        <f>IF($E36="〇",AP36*基本シート!$E$2,AP36*VLOOKUP(LEFT(AQ$6,FIND("(",AQ$6)-1),基本シート!$B$6:$C$29,2,FALSE))</f>
        <v>8.3608000000000011</v>
      </c>
      <c r="AR36" s="3">
        <v>0.63</v>
      </c>
      <c r="AS36" s="3">
        <f>IF($E36="〇",AR36*基本シート!$E$2,AR36*VLOOKUP(LEFT(AS$6,FIND("(",AS$6)-1),基本シート!$B$6:$C$29,2,FALSE))</f>
        <v>18.811799999999998</v>
      </c>
      <c r="AT36" s="3">
        <v>0.73</v>
      </c>
      <c r="AU36" s="3">
        <f>IF($E36="〇",AT36*基本シート!$E$2,AT36*VLOOKUP(LEFT(AU$6,FIND("(",AU$6)-1),基本シート!$B$6:$C$29,2,FALSE))</f>
        <v>21.797799999999999</v>
      </c>
      <c r="AV36" s="3">
        <v>0.75</v>
      </c>
      <c r="AW36" s="3">
        <f>IF($E36="〇",AV36*基本シート!$E$2,AV36*VLOOKUP(LEFT(AW$6,FIND("(",AW$6)-1),基本シート!$B$6:$C$29,2,FALSE))</f>
        <v>22.395</v>
      </c>
      <c r="AX36" s="3">
        <v>1</v>
      </c>
      <c r="AY36" s="3">
        <f>IF($E36="〇",AX36*基本シート!$E$2,AX36*VLOOKUP(LEFT(AY$6,FIND("(",AY$6)-1),基本シート!$B$6:$C$29,2,FALSE))</f>
        <v>29.86</v>
      </c>
      <c r="AZ36" s="3">
        <v>0.64</v>
      </c>
      <c r="BA36" s="3">
        <f>IF($E36="〇",AZ36*基本シート!$E$2,AZ36*VLOOKUP(LEFT(BA$6,FIND("(",BA$6)-1),基本シート!$B$6:$C$29,2,FALSE))</f>
        <v>19.110399999999998</v>
      </c>
      <c r="BB36" s="3">
        <v>0.65</v>
      </c>
      <c r="BC36" s="3">
        <f>IF($E36="〇",BB36*基本シート!$E$2,BB36*VLOOKUP(LEFT(BC$6,FIND("(",BC$6)-1),基本シート!$B$6:$C$29,2,FALSE))</f>
        <v>19.408999999999999</v>
      </c>
      <c r="BD36" s="3">
        <f t="shared" si="7"/>
        <v>10.81</v>
      </c>
      <c r="BE36" s="3">
        <f t="shared" si="8"/>
        <v>323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7.0000000000000007E-2</v>
      </c>
      <c r="BN36" s="3">
        <v>0.15</v>
      </c>
      <c r="BO36" s="3">
        <v>0.74</v>
      </c>
      <c r="BP36" s="3">
        <v>3.49</v>
      </c>
      <c r="BQ36" s="3">
        <v>6.08</v>
      </c>
      <c r="BR36" s="3">
        <v>4.43</v>
      </c>
      <c r="BS36" s="3">
        <v>3.67</v>
      </c>
      <c r="BT36" s="3">
        <v>2.4300000000000002</v>
      </c>
      <c r="BU36" s="3">
        <v>0.21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0.23</v>
      </c>
      <c r="CY36" s="3">
        <f>CX36*基本シート!$C$3</f>
        <v>3.68</v>
      </c>
      <c r="CZ36" s="3">
        <v>1.68</v>
      </c>
      <c r="DA36" s="3">
        <f>CZ36*基本シート!$C$3</f>
        <v>26.88</v>
      </c>
      <c r="DB36" s="3">
        <v>3.75</v>
      </c>
      <c r="DC36" s="3">
        <f>DB36*基本シート!$C$3</f>
        <v>60</v>
      </c>
      <c r="DD36" s="3">
        <v>3.14</v>
      </c>
      <c r="DE36" s="3">
        <f>DD36*基本シート!$C$3</f>
        <v>50.24</v>
      </c>
      <c r="DF36" s="3">
        <v>1.88</v>
      </c>
      <c r="DG36" s="3">
        <f>DF36*基本シート!$C$3</f>
        <v>30.08</v>
      </c>
      <c r="DH36" s="3">
        <v>0.01</v>
      </c>
      <c r="DI36" s="3">
        <f>DH36*基本シート!$C$3</f>
        <v>0.16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10.700000000000001</v>
      </c>
      <c r="EA36" s="3">
        <f>ROUND(DZ36*基本シート!$C$3,0)</f>
        <v>171</v>
      </c>
      <c r="EB36" s="3">
        <v>0.03</v>
      </c>
      <c r="EC36" s="3">
        <v>0.03</v>
      </c>
      <c r="ED36" s="3">
        <v>0.03</v>
      </c>
      <c r="EE36" s="3">
        <v>0.02</v>
      </c>
      <c r="EF36" s="3">
        <v>0.02</v>
      </c>
      <c r="EG36" s="3">
        <v>0.03</v>
      </c>
      <c r="EH36" s="3">
        <v>0.03</v>
      </c>
      <c r="EI36" s="3">
        <v>0.01</v>
      </c>
      <c r="EJ36" s="3">
        <v>0.02</v>
      </c>
      <c r="EK36" s="3">
        <v>0.23</v>
      </c>
      <c r="EL36" s="3">
        <v>2.4300000000000002</v>
      </c>
      <c r="EM36" s="3">
        <v>3.68</v>
      </c>
      <c r="EN36" s="3">
        <v>0.08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6.8800000000000008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0.01</v>
      </c>
      <c r="FO36" s="3">
        <v>0.01</v>
      </c>
      <c r="FP36" s="3">
        <v>0.77</v>
      </c>
      <c r="FQ36" s="3">
        <v>2.56</v>
      </c>
      <c r="FR36" s="3">
        <v>1.9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5.25</v>
      </c>
      <c r="FZ36" s="3">
        <v>0.53</v>
      </c>
      <c r="GA36" s="3">
        <v>0.56999999999999995</v>
      </c>
      <c r="GB36" s="3">
        <v>0.56999999999999995</v>
      </c>
      <c r="GC36" s="3">
        <v>0.6</v>
      </c>
      <c r="GD36" s="3">
        <v>0.64</v>
      </c>
      <c r="GE36" s="3">
        <v>0.65</v>
      </c>
      <c r="GF36" s="3">
        <v>0.61</v>
      </c>
      <c r="GG36" s="3">
        <v>0.55000000000000004</v>
      </c>
      <c r="GH36" s="3">
        <v>0.91</v>
      </c>
      <c r="GI36" s="3">
        <v>0.97</v>
      </c>
      <c r="GJ36" s="3">
        <v>0.85</v>
      </c>
      <c r="GK36" s="3">
        <v>0.73</v>
      </c>
      <c r="GL36" s="3">
        <v>0.6</v>
      </c>
      <c r="GM36" s="3">
        <v>0.54</v>
      </c>
      <c r="GN36" s="3">
        <v>0.56000000000000005</v>
      </c>
      <c r="GO36" s="3">
        <v>0.97</v>
      </c>
      <c r="GP36" s="3">
        <v>2.56</v>
      </c>
      <c r="GQ36" s="3">
        <v>2.1800000000000002</v>
      </c>
      <c r="GR36" s="3">
        <v>0.59</v>
      </c>
      <c r="GS36" s="3">
        <v>0.69</v>
      </c>
      <c r="GT36" s="3">
        <v>0.71</v>
      </c>
      <c r="GU36" s="3">
        <v>0.96</v>
      </c>
      <c r="GV36" s="3">
        <v>0.6</v>
      </c>
      <c r="GW36" s="3">
        <v>0.61</v>
      </c>
      <c r="GX36" s="3">
        <f t="shared" si="13"/>
        <v>19.750000000000007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4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15.270000000000003</v>
      </c>
      <c r="I38" s="3">
        <f t="shared" ref="I38:BT38" si="15">SUM(I7:I36)</f>
        <v>455.9622</v>
      </c>
      <c r="J38" s="3">
        <f t="shared" si="15"/>
        <v>15.34</v>
      </c>
      <c r="K38" s="3">
        <f t="shared" si="15"/>
        <v>458.05240000000009</v>
      </c>
      <c r="L38" s="3">
        <f t="shared" si="15"/>
        <v>15.500000000000004</v>
      </c>
      <c r="M38" s="3">
        <f t="shared" si="15"/>
        <v>462.82999999999993</v>
      </c>
      <c r="N38" s="3">
        <f t="shared" si="15"/>
        <v>15.999999999999998</v>
      </c>
      <c r="O38" s="3">
        <f t="shared" si="15"/>
        <v>477.76</v>
      </c>
      <c r="P38" s="3">
        <f t="shared" si="15"/>
        <v>19.849999999999998</v>
      </c>
      <c r="Q38" s="3">
        <f t="shared" si="15"/>
        <v>592.721</v>
      </c>
      <c r="R38" s="3">
        <f t="shared" si="15"/>
        <v>18.079999999999995</v>
      </c>
      <c r="S38" s="3">
        <f t="shared" si="15"/>
        <v>539.86879999999996</v>
      </c>
      <c r="T38" s="3">
        <f t="shared" si="15"/>
        <v>19.950000000000003</v>
      </c>
      <c r="U38" s="3">
        <f t="shared" si="15"/>
        <v>595.70699999999999</v>
      </c>
      <c r="V38" s="3">
        <f t="shared" si="15"/>
        <v>6.81</v>
      </c>
      <c r="W38" s="3">
        <f t="shared" si="15"/>
        <v>228.33659999999998</v>
      </c>
      <c r="X38" s="3">
        <f t="shared" si="15"/>
        <v>1.35</v>
      </c>
      <c r="Y38" s="3">
        <f t="shared" si="15"/>
        <v>41.361000000000004</v>
      </c>
      <c r="Z38" s="3">
        <f t="shared" si="15"/>
        <v>0.67</v>
      </c>
      <c r="AA38" s="3">
        <f t="shared" si="15"/>
        <v>20.286199999999997</v>
      </c>
      <c r="AB38" s="3">
        <f t="shared" si="15"/>
        <v>0.12999999999999998</v>
      </c>
      <c r="AC38" s="3">
        <f t="shared" si="15"/>
        <v>4.2317999999999998</v>
      </c>
      <c r="AD38" s="3">
        <f t="shared" si="15"/>
        <v>6.9999999999999993E-2</v>
      </c>
      <c r="AE38" s="3">
        <f t="shared" si="15"/>
        <v>2.3702000000000001</v>
      </c>
      <c r="AF38" s="3">
        <f t="shared" si="15"/>
        <v>0.03</v>
      </c>
      <c r="AG38" s="3">
        <f t="shared" si="15"/>
        <v>0.96579999999999999</v>
      </c>
      <c r="AH38" s="3">
        <f t="shared" si="15"/>
        <v>0</v>
      </c>
      <c r="AI38" s="3">
        <f t="shared" si="15"/>
        <v>0</v>
      </c>
      <c r="AJ38" s="3">
        <f t="shared" si="15"/>
        <v>0.01</v>
      </c>
      <c r="AK38" s="3">
        <f t="shared" si="15"/>
        <v>0.29859999999999998</v>
      </c>
      <c r="AL38" s="3">
        <f t="shared" si="15"/>
        <v>0.01</v>
      </c>
      <c r="AM38" s="3">
        <f t="shared" si="15"/>
        <v>0.29859999999999998</v>
      </c>
      <c r="AN38" s="3">
        <f t="shared" si="15"/>
        <v>0.31000000000000005</v>
      </c>
      <c r="AO38" s="3">
        <f t="shared" si="15"/>
        <v>10.866599999999998</v>
      </c>
      <c r="AP38" s="3">
        <f t="shared" si="15"/>
        <v>4.0599999999999996</v>
      </c>
      <c r="AQ38" s="3">
        <f t="shared" si="15"/>
        <v>133.06160000000003</v>
      </c>
      <c r="AR38" s="3">
        <f t="shared" si="15"/>
        <v>32.6</v>
      </c>
      <c r="AS38" s="3">
        <f t="shared" si="15"/>
        <v>1163.0659999999998</v>
      </c>
      <c r="AT38" s="3">
        <f t="shared" si="15"/>
        <v>38.530000000000008</v>
      </c>
      <c r="AU38" s="3">
        <f t="shared" si="15"/>
        <v>1361.0658000000001</v>
      </c>
      <c r="AV38" s="3">
        <f t="shared" si="15"/>
        <v>25.919999999999998</v>
      </c>
      <c r="AW38" s="3">
        <f t="shared" si="15"/>
        <v>895.42119999999977</v>
      </c>
      <c r="AX38" s="3">
        <f t="shared" si="15"/>
        <v>19.919999999999998</v>
      </c>
      <c r="AY38" s="3">
        <f t="shared" si="15"/>
        <v>594.8112000000001</v>
      </c>
      <c r="AZ38" s="3">
        <f t="shared" si="15"/>
        <v>15.980000000000002</v>
      </c>
      <c r="BA38" s="3">
        <f t="shared" si="15"/>
        <v>477.16280000000006</v>
      </c>
      <c r="BB38" s="3">
        <f t="shared" si="15"/>
        <v>15.600000000000001</v>
      </c>
      <c r="BC38" s="3">
        <f t="shared" si="15"/>
        <v>465.81600000000014</v>
      </c>
      <c r="BD38" s="3">
        <f t="shared" si="15"/>
        <v>281.98999999999995</v>
      </c>
      <c r="BE38" s="3">
        <f t="shared" si="15"/>
        <v>8984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</v>
      </c>
      <c r="BL38" s="3">
        <f t="shared" si="15"/>
        <v>1.3700000000000003</v>
      </c>
      <c r="BM38" s="3">
        <f t="shared" si="15"/>
        <v>23.400000000000002</v>
      </c>
      <c r="BN38" s="3">
        <f t="shared" si="15"/>
        <v>68.19000000000004</v>
      </c>
      <c r="BO38" s="3">
        <f t="shared" si="15"/>
        <v>111.61000000000003</v>
      </c>
      <c r="BP38" s="3">
        <f t="shared" si="15"/>
        <v>127.64999999999998</v>
      </c>
      <c r="BQ38" s="3">
        <f t="shared" si="15"/>
        <v>132.95000000000005</v>
      </c>
      <c r="BR38" s="3">
        <f t="shared" si="15"/>
        <v>122.49000000000001</v>
      </c>
      <c r="BS38" s="3">
        <f t="shared" si="15"/>
        <v>101.1</v>
      </c>
      <c r="BT38" s="3">
        <f t="shared" si="15"/>
        <v>61.940000000000005</v>
      </c>
      <c r="BU38" s="3">
        <f t="shared" ref="BU38:EF38" si="16">SUM(BU7:BU36)</f>
        <v>16.78</v>
      </c>
      <c r="BV38" s="3">
        <f t="shared" si="16"/>
        <v>0.38000000000000006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si="16"/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si="16"/>
        <v>0</v>
      </c>
      <c r="CH38" s="3">
        <f t="shared" si="16"/>
        <v>0</v>
      </c>
      <c r="CI38" s="3">
        <f t="shared" si="16"/>
        <v>0</v>
      </c>
      <c r="CJ38" s="3">
        <f t="shared" si="16"/>
        <v>0</v>
      </c>
      <c r="CK38" s="3">
        <f t="shared" si="16"/>
        <v>0</v>
      </c>
      <c r="CL38" s="3">
        <f t="shared" si="16"/>
        <v>0</v>
      </c>
      <c r="CM38" s="3">
        <f t="shared" si="16"/>
        <v>0</v>
      </c>
      <c r="CN38" s="3">
        <f t="shared" si="16"/>
        <v>0</v>
      </c>
      <c r="CO38" s="3">
        <f t="shared" si="16"/>
        <v>0</v>
      </c>
      <c r="CP38" s="3">
        <f t="shared" si="16"/>
        <v>0</v>
      </c>
      <c r="CQ38" s="3">
        <f t="shared" si="16"/>
        <v>0</v>
      </c>
      <c r="CR38" s="3">
        <f t="shared" si="16"/>
        <v>0.04</v>
      </c>
      <c r="CS38" s="3">
        <f t="shared" si="16"/>
        <v>0.64</v>
      </c>
      <c r="CT38" s="3">
        <f t="shared" si="16"/>
        <v>1.7700000000000002</v>
      </c>
      <c r="CU38" s="3">
        <f t="shared" si="16"/>
        <v>28.320000000000004</v>
      </c>
      <c r="CV38" s="3">
        <f t="shared" si="16"/>
        <v>32.159999999999997</v>
      </c>
      <c r="CW38" s="3">
        <f t="shared" si="16"/>
        <v>514.55999999999995</v>
      </c>
      <c r="CX38" s="3">
        <f t="shared" si="16"/>
        <v>80.710000000000022</v>
      </c>
      <c r="CY38" s="3">
        <f t="shared" si="16"/>
        <v>1291.3600000000004</v>
      </c>
      <c r="CZ38" s="3">
        <f t="shared" si="16"/>
        <v>100.82000000000001</v>
      </c>
      <c r="DA38" s="3">
        <f t="shared" si="16"/>
        <v>1613.1200000000001</v>
      </c>
      <c r="DB38" s="3">
        <f t="shared" si="16"/>
        <v>97.510000000000019</v>
      </c>
      <c r="DC38" s="3">
        <f t="shared" si="16"/>
        <v>1560.1600000000003</v>
      </c>
      <c r="DD38" s="3">
        <f t="shared" si="16"/>
        <v>84.23</v>
      </c>
      <c r="DE38" s="3">
        <f t="shared" si="16"/>
        <v>1347.68</v>
      </c>
      <c r="DF38" s="3">
        <f t="shared" si="16"/>
        <v>50.160000000000004</v>
      </c>
      <c r="DG38" s="3">
        <f t="shared" si="16"/>
        <v>802.56000000000006</v>
      </c>
      <c r="DH38" s="3">
        <f t="shared" si="16"/>
        <v>9.1</v>
      </c>
      <c r="DI38" s="3">
        <f t="shared" si="16"/>
        <v>145.6</v>
      </c>
      <c r="DJ38" s="3">
        <f t="shared" si="16"/>
        <v>0.26000000000000006</v>
      </c>
      <c r="DK38" s="3">
        <f t="shared" si="16"/>
        <v>4.160000000000001</v>
      </c>
      <c r="DL38" s="3">
        <f t="shared" si="16"/>
        <v>0.21000000000000005</v>
      </c>
      <c r="DM38" s="3">
        <f t="shared" si="16"/>
        <v>3.3600000000000008</v>
      </c>
      <c r="DN38" s="3">
        <f t="shared" si="16"/>
        <v>0.09</v>
      </c>
      <c r="DO38" s="3">
        <f t="shared" si="16"/>
        <v>1.44</v>
      </c>
      <c r="DP38" s="3">
        <f t="shared" si="16"/>
        <v>0.01</v>
      </c>
      <c r="DQ38" s="3">
        <f t="shared" si="16"/>
        <v>0.16</v>
      </c>
      <c r="DR38" s="3">
        <f t="shared" si="16"/>
        <v>0.01</v>
      </c>
      <c r="DS38" s="3">
        <f t="shared" si="16"/>
        <v>0.16</v>
      </c>
      <c r="DT38" s="3">
        <f t="shared" si="16"/>
        <v>0</v>
      </c>
      <c r="DU38" s="3">
        <f t="shared" si="16"/>
        <v>0</v>
      </c>
      <c r="DV38" s="3">
        <f t="shared" si="16"/>
        <v>0</v>
      </c>
      <c r="DW38" s="3">
        <f t="shared" si="16"/>
        <v>0</v>
      </c>
      <c r="DX38" s="3">
        <f t="shared" si="16"/>
        <v>0.01</v>
      </c>
      <c r="DY38" s="3">
        <f t="shared" si="16"/>
        <v>0.16</v>
      </c>
      <c r="DZ38" s="3">
        <f t="shared" si="16"/>
        <v>457.09000000000009</v>
      </c>
      <c r="EA38" s="3">
        <f t="shared" si="16"/>
        <v>7315</v>
      </c>
      <c r="EB38" s="3">
        <f t="shared" si="16"/>
        <v>0.93000000000000038</v>
      </c>
      <c r="EC38" s="3">
        <f t="shared" si="16"/>
        <v>0.98000000000000043</v>
      </c>
      <c r="ED38" s="3">
        <f t="shared" si="16"/>
        <v>1.0300000000000005</v>
      </c>
      <c r="EE38" s="3">
        <f t="shared" si="16"/>
        <v>1.0000000000000004</v>
      </c>
      <c r="EF38" s="3">
        <f t="shared" si="16"/>
        <v>1.0600000000000003</v>
      </c>
      <c r="EG38" s="3">
        <f t="shared" ref="EG38:GR38" si="17">SUM(EG7:EG36)</f>
        <v>1.0300000000000005</v>
      </c>
      <c r="EH38" s="3">
        <f t="shared" si="17"/>
        <v>0.55000000000000016</v>
      </c>
      <c r="EI38" s="3">
        <f t="shared" si="17"/>
        <v>11.829999999999998</v>
      </c>
      <c r="EJ38" s="3">
        <f t="shared" si="17"/>
        <v>53.050000000000004</v>
      </c>
      <c r="EK38" s="3">
        <f t="shared" si="17"/>
        <v>65.36999999999999</v>
      </c>
      <c r="EL38" s="3">
        <f t="shared" si="17"/>
        <v>32.07</v>
      </c>
      <c r="EM38" s="3">
        <f t="shared" si="17"/>
        <v>17.79</v>
      </c>
      <c r="EN38" s="3">
        <f t="shared" si="17"/>
        <v>11.26</v>
      </c>
      <c r="EO38" s="3">
        <f t="shared" si="17"/>
        <v>2.25</v>
      </c>
      <c r="EP38" s="3">
        <f t="shared" si="17"/>
        <v>0.18000000000000002</v>
      </c>
      <c r="EQ38" s="3">
        <f t="shared" si="17"/>
        <v>0.01</v>
      </c>
      <c r="ER38" s="3">
        <f t="shared" si="17"/>
        <v>0</v>
      </c>
      <c r="ES38" s="3">
        <f t="shared" si="17"/>
        <v>0</v>
      </c>
      <c r="ET38" s="3">
        <f t="shared" si="17"/>
        <v>0.17</v>
      </c>
      <c r="EU38" s="3">
        <f t="shared" si="17"/>
        <v>0.76000000000000045</v>
      </c>
      <c r="EV38" s="3">
        <f t="shared" si="17"/>
        <v>0.92000000000000048</v>
      </c>
      <c r="EW38" s="3">
        <f t="shared" si="17"/>
        <v>0.97000000000000053</v>
      </c>
      <c r="EX38" s="3">
        <f t="shared" si="17"/>
        <v>0.98000000000000065</v>
      </c>
      <c r="EY38" s="3">
        <f t="shared" si="17"/>
        <v>0.97000000000000053</v>
      </c>
      <c r="EZ38" s="3">
        <f t="shared" si="17"/>
        <v>205.15999999999997</v>
      </c>
      <c r="FA38" s="3">
        <f t="shared" si="17"/>
        <v>0.06</v>
      </c>
      <c r="FB38" s="3">
        <f t="shared" si="17"/>
        <v>0</v>
      </c>
      <c r="FC38" s="3">
        <f t="shared" si="17"/>
        <v>0</v>
      </c>
      <c r="FD38" s="3">
        <f t="shared" si="17"/>
        <v>0</v>
      </c>
      <c r="FE38" s="3">
        <f t="shared" si="17"/>
        <v>0</v>
      </c>
      <c r="FF38" s="3">
        <f t="shared" si="17"/>
        <v>0</v>
      </c>
      <c r="FG38" s="3">
        <f t="shared" si="17"/>
        <v>0</v>
      </c>
      <c r="FH38" s="3">
        <f t="shared" si="17"/>
        <v>0</v>
      </c>
      <c r="FI38" s="3">
        <f t="shared" si="17"/>
        <v>0</v>
      </c>
      <c r="FJ38" s="3">
        <f t="shared" si="17"/>
        <v>0</v>
      </c>
      <c r="FK38" s="3">
        <f t="shared" si="17"/>
        <v>0.03</v>
      </c>
      <c r="FL38" s="3">
        <f t="shared" si="17"/>
        <v>0.03</v>
      </c>
      <c r="FM38" s="3">
        <f t="shared" si="17"/>
        <v>7.0000000000000007E-2</v>
      </c>
      <c r="FN38" s="3">
        <f t="shared" si="17"/>
        <v>0.43000000000000005</v>
      </c>
      <c r="FO38" s="3">
        <f t="shared" si="17"/>
        <v>0.54</v>
      </c>
      <c r="FP38" s="3">
        <f t="shared" si="17"/>
        <v>8.7500000000000018</v>
      </c>
      <c r="FQ38" s="3">
        <f t="shared" si="17"/>
        <v>43.95000000000001</v>
      </c>
      <c r="FR38" s="3">
        <f t="shared" si="17"/>
        <v>70.130000000000024</v>
      </c>
      <c r="FS38" s="3">
        <f t="shared" si="17"/>
        <v>30.439999999999998</v>
      </c>
      <c r="FT38" s="3">
        <f t="shared" si="17"/>
        <v>2.06</v>
      </c>
      <c r="FU38" s="3">
        <f t="shared" si="17"/>
        <v>0.65</v>
      </c>
      <c r="FV38" s="3">
        <f t="shared" si="17"/>
        <v>0.53</v>
      </c>
      <c r="FW38" s="3">
        <f t="shared" si="17"/>
        <v>0.24</v>
      </c>
      <c r="FX38" s="3">
        <f t="shared" si="17"/>
        <v>0.24</v>
      </c>
      <c r="FY38" s="3">
        <f t="shared" si="17"/>
        <v>158.14999999999998</v>
      </c>
      <c r="FZ38" s="3">
        <f t="shared" si="17"/>
        <v>14.4</v>
      </c>
      <c r="GA38" s="3">
        <f t="shared" si="17"/>
        <v>14.360000000000001</v>
      </c>
      <c r="GB38" s="3">
        <f t="shared" si="17"/>
        <v>14.470000000000002</v>
      </c>
      <c r="GC38" s="3">
        <f t="shared" si="17"/>
        <v>15.000000000000002</v>
      </c>
      <c r="GD38" s="3">
        <f t="shared" si="17"/>
        <v>18.79</v>
      </c>
      <c r="GE38" s="3">
        <f t="shared" si="17"/>
        <v>17.05</v>
      </c>
      <c r="GF38" s="3">
        <f t="shared" si="17"/>
        <v>20.769999999999996</v>
      </c>
      <c r="GG38" s="3">
        <f t="shared" si="17"/>
        <v>18.34</v>
      </c>
      <c r="GH38" s="3">
        <f t="shared" si="17"/>
        <v>14.72</v>
      </c>
      <c r="GI38" s="3">
        <f t="shared" si="17"/>
        <v>14.749999999999998</v>
      </c>
      <c r="GJ38" s="3">
        <f t="shared" si="17"/>
        <v>15.030000000000001</v>
      </c>
      <c r="GK38" s="3">
        <f t="shared" si="17"/>
        <v>14.440000000000003</v>
      </c>
      <c r="GL38" s="3">
        <f t="shared" si="17"/>
        <v>13.820000000000002</v>
      </c>
      <c r="GM38" s="3">
        <f t="shared" si="17"/>
        <v>15.05</v>
      </c>
      <c r="GN38" s="3">
        <f t="shared" si="17"/>
        <v>12.150000000000002</v>
      </c>
      <c r="GO38" s="3">
        <f t="shared" si="17"/>
        <v>16.43</v>
      </c>
      <c r="GP38" s="3">
        <f t="shared" si="17"/>
        <v>44.38</v>
      </c>
      <c r="GQ38" s="3">
        <f t="shared" si="17"/>
        <v>73.980000000000032</v>
      </c>
      <c r="GR38" s="3">
        <f t="shared" si="17"/>
        <v>62.779999999999994</v>
      </c>
      <c r="GS38" s="3">
        <f t="shared" ref="GS38:GX38" si="18">SUM(GS7:GS36)</f>
        <v>39.82</v>
      </c>
      <c r="GT38" s="3">
        <f t="shared" si="18"/>
        <v>25.64</v>
      </c>
      <c r="GU38" s="3">
        <f t="shared" si="18"/>
        <v>19.480000000000004</v>
      </c>
      <c r="GV38" s="3">
        <f t="shared" si="18"/>
        <v>15.240000000000002</v>
      </c>
      <c r="GW38" s="3">
        <f t="shared" si="18"/>
        <v>14.860000000000001</v>
      </c>
      <c r="GX38" s="3">
        <f t="shared" si="18"/>
        <v>545.75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1" priority="92" percent="1" rank="10"/>
  </conditionalFormatting>
  <conditionalFormatting sqref="AZ7 H7 J7 L7 N7 P7 R7 T7 V7 X7 Z7 AB7 AD7 AF7 AH7 AJ7 AL7 AN7 AP7 AR7 AT7 AV7 AX7">
    <cfRule type="top10" dxfId="550" priority="91" percent="1" rank="10"/>
  </conditionalFormatting>
  <conditionalFormatting sqref="FA7:FX7 FZ7:GW7">
    <cfRule type="top10" dxfId="549" priority="90" percent="1" rank="10"/>
  </conditionalFormatting>
  <conditionalFormatting sqref="H8 J8 L8 N8 P8 R8 T8 V8 X8 Z8 AB8 AD8 AF8 AH8 AJ8 AL8 AN8 AP8 AR8 AT8 AV8 AX8 AZ8 BB8">
    <cfRule type="top10" dxfId="548" priority="89" percent="1" rank="10"/>
  </conditionalFormatting>
  <conditionalFormatting sqref="H9 J9 L9 N9 P9 R9 T9 V9 X9 Z9 AB9 AD9 AF9 AH9 AJ9 AL9 AN9 AP9 AR9 AT9 AV9 AZ9 AX9 BB9">
    <cfRule type="top10" dxfId="547" priority="88" percent="1" rank="10"/>
  </conditionalFormatting>
  <conditionalFormatting sqref="J10 H10 L10 N10 P10 R10 T10 V10 X10 Z10 AB10 AD10 AF10 AH10 AJ10 AL10 AN10 AP10 AR10 AT10 AV10 AX10 AZ10 BB10">
    <cfRule type="top10" dxfId="546" priority="87" percent="1" rank="10"/>
  </conditionalFormatting>
  <conditionalFormatting sqref="BB11 AZ11 AX11 AV11 AT11 AR11 AP11 AN11 AL11 AJ11 AH11 AF11 AD11 AB11 Z11 X11 V11 T11 R11 P11 N11 L11 J11 H11">
    <cfRule type="top10" dxfId="545" priority="86" percent="1" rank="10"/>
  </conditionalFormatting>
  <conditionalFormatting sqref="BB12 AZ12 AX12 AV12 AT12 AR12 AP12 AN12 AL12 AJ12 AH12 AF12 AD12 AB12 Z12 X12 V12 T12 R12 P12 N12 L12 J12 H12">
    <cfRule type="top10" dxfId="544" priority="85" percent="1" rank="10"/>
  </conditionalFormatting>
  <conditionalFormatting sqref="H13 J13 L13 N13 P13 R13 T13 V13 X13 Z13 AB13 AD13 AF13 AH13 AJ13 AL13 AN13 AP13 AR13 AT13 AV13 AX13 AZ13 BB13">
    <cfRule type="top10" dxfId="543" priority="84" percent="1" rank="10"/>
  </conditionalFormatting>
  <conditionalFormatting sqref="BB14 AZ14 AX14 AV14 AT14 AR14 AP14 AL14 AN14 AJ14 AH14 AF14 AD14 AB14 Z14 X14 V14 T14 R14 P14 N14 L14 J14 H14">
    <cfRule type="top10" dxfId="542" priority="83" percent="1" rank="10"/>
  </conditionalFormatting>
  <conditionalFormatting sqref="H15 J15 L15 N15 P15 R15 T15 V15 X15 Z15 AB15 AD15 AF15 AH15 AJ15 AL15 AN15 AP15 AR15 AT15 AV15 AX15 AZ15 BB15">
    <cfRule type="top10" dxfId="541" priority="82" percent="1" rank="10"/>
  </conditionalFormatting>
  <conditionalFormatting sqref="BB16 AZ16 AX16 AV16 AT16 AR16 AP16 AN16 AL16 AJ16 AH16 AF16 AD16 AB16 Z16 X16 V16 T16 R16 P16 N16 L16 J16 H16">
    <cfRule type="top10" dxfId="540" priority="81" percent="1" rank="10"/>
  </conditionalFormatting>
  <conditionalFormatting sqref="H17 J17 L17 N17 P17 R17 T17 V17 X17 Z17 AB17 AD17 AF17 AH17 AJ17 AL17 AN17 AP17 AR17 AT17 AV17 AX17 AZ17 BB17">
    <cfRule type="top10" dxfId="539" priority="80" percent="1" rank="10"/>
  </conditionalFormatting>
  <conditionalFormatting sqref="H18 J18 L18 N18 P18 R18 T18 V18 X18 Z18 AB18 AD18 AF18 AH18 AJ18 AL18 AN18 AP18 AR18 AT18 AV18 AX18 AZ18 BB18">
    <cfRule type="top10" dxfId="538" priority="79" percent="1" rank="10"/>
  </conditionalFormatting>
  <conditionalFormatting sqref="BB19 AZ19 AX19 AV19 AT19 AR19 AP19 AN19 AL19 AJ19 AH19 AF19 AD19 AB19 Z19 X19 V19 T19 R19 P19 N19 L19 J19 H19">
    <cfRule type="top10" dxfId="537" priority="78" percent="1" rank="10"/>
  </conditionalFormatting>
  <conditionalFormatting sqref="H20 J20 N20 L20 P20 R20 T20 X20 V20 Z20 AB20 AD20 AF20 AH20 AJ20 AL20 AN20 AP20 AR20 AT20 AV20 AX20 AZ20 BB20">
    <cfRule type="top10" dxfId="536" priority="77" percent="1" rank="10"/>
  </conditionalFormatting>
  <conditionalFormatting sqref="BB21 AZ21 AX21 AV21 AT21 AR21 AP21 AN21 AL21 AJ21 AH21 AF21 AD21 AB21 Z21 X21 V21 T21 R21 P21 N21 L21 J21 H21">
    <cfRule type="top10" dxfId="535" priority="76" percent="1" rank="10"/>
  </conditionalFormatting>
  <conditionalFormatting sqref="H22 J22 L22 N22 P22 R22 T22 V22 X22 Z22 AB22 AD22 AF22 AH22 AJ22 AL22 AN22 AP22 AR22 AT22 AV22 AX22 AZ22 BB22">
    <cfRule type="top10" dxfId="534" priority="75" percent="1" rank="10"/>
  </conditionalFormatting>
  <conditionalFormatting sqref="BB23 AZ23 AX23 AV23 AT23 AR23 AP23 AN23 AL23 AJ23 AH23 AF23 AD23 AB23 Z23 X23 V23 T23 R23 P23 N23 L23 J23 H23">
    <cfRule type="top10" dxfId="533" priority="74" percent="1" rank="10"/>
  </conditionalFormatting>
  <conditionalFormatting sqref="H24 J24 L24 N24 P24 R24 T24 V24 X24 Z24 AB24 AD24 AF24 AH24 AJ24 AL24 AN24 AP24 AR24 AT24 AV24 AX24 AZ24 BB24">
    <cfRule type="top10" dxfId="532" priority="73" percent="1" rank="10"/>
  </conditionalFormatting>
  <conditionalFormatting sqref="BB25 AZ25 AX25 AV25 AT25 AR25 AP25 AN25 AL25 AJ25 AH25 AF25 AD25 AB25 Z25 X25 V25 T25 R25 P25 N25 L25 J25 H25">
    <cfRule type="top10" dxfId="531" priority="72" percent="1" rank="10"/>
  </conditionalFormatting>
  <conditionalFormatting sqref="BB26 AZ26 AX26 AV26 AT26 AR26 AP26 AN26 AL26 AJ26 AH26 AF26 AD26 AB26 Z26 X26 V26 T26 R26 P26 N26 L26 J26 H26">
    <cfRule type="top10" dxfId="530" priority="71" percent="1" rank="10"/>
  </conditionalFormatting>
  <conditionalFormatting sqref="H27 J27 L27 N27 P27 R27 T27 V27 X27 Z27 AB27 AD27 AF27 AH27 AJ27 AL27 AN27 AP27 AR27 AT27 AV27 AX27 AZ27 BB27">
    <cfRule type="top10" dxfId="529" priority="70" percent="1" rank="10"/>
  </conditionalFormatting>
  <conditionalFormatting sqref="BB28 AZ28 AX28 AV28 AT28 AR28 AP28 AN28 AL28 AJ28 AH28 AF28 AD28 AB28 Z28 X28 V28 T28 R28 P28 N28 L28 J28 H28">
    <cfRule type="top10" dxfId="528" priority="69" percent="1" rank="10"/>
  </conditionalFormatting>
  <conditionalFormatting sqref="BB29 AZ29 AX29 AV29 AT29 AR29 AP29 AN29 AL29 AJ29 AH29 AF29 AD29 AB29 Z29 X29 V29 T29 R29 P29 N29 L29 J29 H29">
    <cfRule type="top10" dxfId="527" priority="68" percent="1" rank="10"/>
  </conditionalFormatting>
  <conditionalFormatting sqref="H30 J30 L30 N30 P30 R30 T30 V30 X30 Z30 AB30 AD30 AF30 AH30 AJ30 AL30 AN30 AP30 AR30 AT30 AV30 AX30 AZ30 BB30">
    <cfRule type="top10" dxfId="526" priority="67" percent="1" rank="10"/>
  </conditionalFormatting>
  <conditionalFormatting sqref="BB31 AZ31 AX31 AV31 AT31 AR31 AP31 AN31 AL31 AJ31 AH31 AF31 AD31 AB31 Z31 X31 V31 T31 R31 P31 N31 L31 J31 H31">
    <cfRule type="top10" dxfId="525" priority="66" percent="1" rank="10"/>
  </conditionalFormatting>
  <conditionalFormatting sqref="H32 J32 L32 N32 P32 R32 T32 V32 X32 Z32 AB32 AD32 AF32 AH32 AJ32 AL32 AN32 AP32 AR32 AT32 AV32 AX32 AZ32 BB32">
    <cfRule type="top10" dxfId="524" priority="65" percent="1" rank="10"/>
  </conditionalFormatting>
  <conditionalFormatting sqref="BB33 AZ33 AX33 AV33 AT33 AR33 AP33 AN33 AL33 AJ33 AH33 AF33 AD33 AB33 Z33 X33 V33 T33 R33 P33 N33 L33 J33 H33">
    <cfRule type="top10" dxfId="523" priority="64" percent="1" rank="10"/>
  </conditionalFormatting>
  <conditionalFormatting sqref="H34 J34 L34 N34 P34 R34 T34 V34 X34 Z34 AB34 AD34 AF34 AH34 AJ34 AL34 AN34 AP34 AR34 AT34 AV34 AX34 AZ34 BB34">
    <cfRule type="top10" dxfId="522" priority="63" percent="1" rank="10"/>
  </conditionalFormatting>
  <conditionalFormatting sqref="BB35 AZ35 AV35 AX35 AT35 AR35 AP35 AN35 AL35 AJ35 AH35 AF35 AD35 AB35 Z35 X35 V35 T35 R35 P35 N35 L35 J35 H35">
    <cfRule type="top10" dxfId="52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0" priority="61" percent="1" rank="10"/>
  </conditionalFormatting>
  <conditionalFormatting sqref="BD7:BD37">
    <cfRule type="top10" dxfId="519" priority="60" percent="1" rank="10"/>
  </conditionalFormatting>
  <conditionalFormatting sqref="BC8 BA8 AY8 AW8 AU8 AS8 AQ8 AO8 AM8 AK8 AI8 AG8 AE8 AC8 AA8 Y8 W8 U8 S8 Q8 O8 M8 K8 I8">
    <cfRule type="top10" dxfId="518" priority="59" percent="1" rank="10"/>
  </conditionalFormatting>
  <conditionalFormatting sqref="I9 K9 M9 O9 Q9 S9 U9 W9 Y9 AA9 AC9 AE9 AG9 AI9 AK9 AM9 AO9 AQ9 AS9 AU9 AW9 AY9 BA9 BC9">
    <cfRule type="top10" dxfId="517" priority="58" percent="1" rank="10"/>
  </conditionalFormatting>
  <conditionalFormatting sqref="I10 K10 M10 Q10 O10 S10 W10 U10 Y10 AA10 AC10 AE10 AG10 AI10 AK10 AM10 AO10 AQ10 AS10 AU10 AW10 AY10 BA10 BC10">
    <cfRule type="top10" dxfId="516" priority="57" percent="1" rank="10"/>
  </conditionalFormatting>
  <conditionalFormatting sqref="BC11 BA11 AY11 AW11 AU11 AS11 AQ11 AO11 AM11 AK11 AI11 AG11 AE11 AC11 AA11 Y11 W11 U11 S11 Q11 O11 M11 K11 I11">
    <cfRule type="top10" dxfId="515" priority="56" percent="1" rank="10"/>
  </conditionalFormatting>
  <conditionalFormatting sqref="I12 K12 M12 O12 Q12 S12 U12 Y12 W12 AA12 AC12 AE12 AG12 AI12 AK12 AM12 AO12 AQ12 AS12 AU12 AW12 AY12 BA12 BC12">
    <cfRule type="top10" dxfId="514" priority="55" percent="1" rank="10"/>
  </conditionalFormatting>
  <conditionalFormatting sqref="BC13 BA13 AY13 AW13 AU13 AS13 AQ13 AO13 AM13 AK13 AI13 AG13 AE13 AC13 AA13 Y13 W13 U13 S13 Q13 O13 M13 K13 I13">
    <cfRule type="top10" dxfId="513" priority="54" percent="1" rank="10"/>
  </conditionalFormatting>
  <conditionalFormatting sqref="BC14 BA14 AY14 AW14 AU14 AS14 AQ14 AO14 AM14 AK14 AI14 AG14 AE14 AC14 AA14 Y14 W14 U14 S14 Q14 O14 M14 K14 I14">
    <cfRule type="top10" dxfId="512" priority="53" percent="1" rank="10"/>
  </conditionalFormatting>
  <conditionalFormatting sqref="I15 K15 M15 O15 Q15 S15 U15 W15 Y15 AA15 AC15 AE15 AG15 AI15 AK15 AM15 AO15 AQ15 AS15 AU15 AW15 AY15 BA15 BC15">
    <cfRule type="top10" dxfId="511" priority="52" percent="1" rank="10"/>
  </conditionalFormatting>
  <conditionalFormatting sqref="BC16 BA16 AY16 AW16 AU16 AS16 AQ16 AO16 AM16 AK16 AI16 AG16 AE16 AC16 AA16 Y16 W16 U16 S16 Q16 O16 M16 K16 I16">
    <cfRule type="top10" dxfId="510" priority="51" percent="1" rank="10"/>
  </conditionalFormatting>
  <conditionalFormatting sqref="I17 K17 M17 O17 Q17 U17 S17 W17 Y17 AA17 AC17 AE17 AG17 AI17 AK17 AM17 AO17 AQ17 AS17 AU17 AW17 AY17 BA17 BC17">
    <cfRule type="top10" dxfId="509" priority="50" percent="1" rank="10"/>
  </conditionalFormatting>
  <conditionalFormatting sqref="BC18 BA18 AY18 AW18 AU18 AS18 AQ18 AO18 AM18 AK18 AI18 AG18 AE18 AC18 AA18 Y18 W18 U18 S18 Q18 O18 M18 K18 I18">
    <cfRule type="top10" dxfId="508" priority="49" percent="1" rank="10"/>
  </conditionalFormatting>
  <conditionalFormatting sqref="I19 K19 M19 O19 Q19 S19 U19 W19 Y19 AA19 AC19 AE19 AG19 AI19 AK19 AM19 AO19 AQ19 AS19 AU19 AW19 AY19 BA19 BC19">
    <cfRule type="top10" dxfId="507" priority="48" percent="1" rank="10"/>
  </conditionalFormatting>
  <conditionalFormatting sqref="BC20 BA20 AY20 AW20 AU20 AS20 AQ20 AO20 AM20 AK20 AI20 AG20 AE20 AC20 AA20 W20 Y20 U20 S20 Q20 O20 M20 K20 I20">
    <cfRule type="top10" dxfId="506" priority="47" percent="1" rank="10"/>
  </conditionalFormatting>
  <conditionalFormatting sqref="I21 K21 M21 O21 Q21 S21 U21 W21 Y21 AA21 AC21 AE21 AG21 AI21 AK21 AM21 AO21 AQ21 AS21 AU21 AW21 AY21 BA21 BC21">
    <cfRule type="top10" dxfId="505" priority="46" percent="1" rank="10"/>
  </conditionalFormatting>
  <conditionalFormatting sqref="BC22 BA22 AY22 AW22 AU22 AS22 AQ22 AO22 AM22 AK22 AI22 AG22 AE22 AC22 AA22 Y22 W22 U22 S22 Q22 O22 M22 K22 I22">
    <cfRule type="top10" dxfId="504" priority="45" percent="1" rank="10"/>
  </conditionalFormatting>
  <conditionalFormatting sqref="I23 K23 O23 M23 Q23 S23 U23 W23 Y23 AA23 AC23 AE23 AG23 AI23 AK23 AM23 AO23 AQ23 AS23 AU23 AW23 AY23 BA23 BC23">
    <cfRule type="top10" dxfId="503" priority="44" percent="1" rank="10"/>
  </conditionalFormatting>
  <conditionalFormatting sqref="BC24 BA24 AY24 AW24 AU24 AS24 AQ24 AO24 AM24 AK24 AI24 AG24 AE24 AC24 AA24 Y24 W24 U24 S24 Q24 O24 M24 K24 I24">
    <cfRule type="top10" dxfId="502" priority="43" percent="1" rank="10"/>
  </conditionalFormatting>
  <conditionalFormatting sqref="I25 K25 M25 O25 Q25 S25 U25 W25 Y25 AA25 AC25 AE25 AG25 AI25 AK25 AM25 AO25 AQ25 AS25 AU25 AW25 AY25 BA25 BC25">
    <cfRule type="top10" dxfId="501" priority="42" percent="1" rank="10"/>
  </conditionalFormatting>
  <conditionalFormatting sqref="BC26 BA26 AY26 AW26 AU26 AS26 AQ26 AO26 AM26 AK26 AI26 AG26 AE26 AC26 AA26 Y26 W26 U26 S26 Q26 O26 M26 K26 I26">
    <cfRule type="top10" dxfId="500" priority="41" percent="1" rank="10"/>
  </conditionalFormatting>
  <conditionalFormatting sqref="I27 K27 M27 O27 Q27 S27 U27 W27 Y27 AA27 AC27 AE27 AG27 AI27 AK27 AM27 AO27 AQ27 AS27 AU27 AW27 AY27 BA27 BC27">
    <cfRule type="top10" dxfId="499" priority="40" percent="1" rank="10"/>
  </conditionalFormatting>
  <conditionalFormatting sqref="BC28 BA28 AY28 AW28 AU28 AS28 AQ28 AO28 AM28 AK28 AI28 AG28 AE28 AC28 AA28 Y28 W28 U28 S28 Q28 O28 M28 K28 I28">
    <cfRule type="top10" dxfId="498" priority="39" percent="1" rank="10"/>
  </conditionalFormatting>
  <conditionalFormatting sqref="I29 K29 M29 Q29 O29 S29 U29 Y29 W29 AA29 AC29 AE29 AG29 AI29 AK29 AM29 AO29 AQ29 AS29 AU29 AW29 AY29 BA29 BC29">
    <cfRule type="top10" dxfId="497" priority="38" percent="1" rank="10"/>
  </conditionalFormatting>
  <conditionalFormatting sqref="BC30 BA30 AY30 AW30 AU30 AS30 AQ30 AO30 AM30 AK30 AI30 AE30 AG30 AC30 AA30 Y30 W30 U30 S30 Q30 O30 M30 K30 I30">
    <cfRule type="top10" dxfId="496" priority="37" percent="1" rank="10"/>
  </conditionalFormatting>
  <conditionalFormatting sqref="I31 K31 M31 O31 Q31 S31 W31 U31 Y31 AC31 AA31 AE31 AG31 AI31 AK31 AM31 AO31 AQ31 AS31 AU31 AW31 AY31 BA31 BC31">
    <cfRule type="top10" dxfId="495" priority="36" percent="1" rank="10"/>
  </conditionalFormatting>
  <conditionalFormatting sqref="BC32 BA32 AY32 AW32 AU32 AS32 AQ32 AO32 AM32 AK32 AI32 AG32 AE32 AC32 AA32 Y32 W32 U32 S32 Q32 O32 M32 K32 I32">
    <cfRule type="top10" dxfId="494" priority="35" percent="1" rank="10"/>
  </conditionalFormatting>
  <conditionalFormatting sqref="I33 K33 M33 O33 Q33 S33 U33 W33 Y33 AA33 AC33 AE33 AG33 AI33 AK33 AM33 AQ33 AO33 AS33 AU33 AW33 AY33 BA33 BC33">
    <cfRule type="top10" dxfId="493" priority="34" percent="1" rank="10"/>
  </conditionalFormatting>
  <conditionalFormatting sqref="BC34 BA34 AY34 AW34 AU34 AS34 AQ34 AO34 AM34 AK34 AI34 AG34 AE34 AC34 AA34 Y34 W34 U34 S34 Q34 O34 M34 K34 I34">
    <cfRule type="top10" dxfId="492" priority="33" percent="1" rank="10"/>
  </conditionalFormatting>
  <conditionalFormatting sqref="I35 K35 M35 O35 Q35 S35 U35 W35 Y35 AA35 AC35 AE35 AG35 AI35 AK35 AM35 AO35 AQ35 AS35 AU35 AW35 AY35 BA35 BC35">
    <cfRule type="top10" dxfId="49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0" priority="31" percent="1" rank="10"/>
  </conditionalFormatting>
  <conditionalFormatting sqref="FZ8:GW8">
    <cfRule type="top10" dxfId="489" priority="30" percent="1" rank="10"/>
  </conditionalFormatting>
  <conditionalFormatting sqref="FZ9:GW9">
    <cfRule type="top10" dxfId="488" priority="29" percent="1" rank="10"/>
  </conditionalFormatting>
  <conditionalFormatting sqref="FZ10:GW10">
    <cfRule type="top10" dxfId="487" priority="28" percent="1" rank="10"/>
  </conditionalFormatting>
  <conditionalFormatting sqref="FZ11:GW11">
    <cfRule type="top10" dxfId="486" priority="27" percent="1" rank="10"/>
  </conditionalFormatting>
  <conditionalFormatting sqref="FZ12:GW12">
    <cfRule type="top10" dxfId="485" priority="26" percent="1" rank="10"/>
  </conditionalFormatting>
  <conditionalFormatting sqref="FZ13:GW13">
    <cfRule type="top10" dxfId="484" priority="25" percent="1" rank="10"/>
  </conditionalFormatting>
  <conditionalFormatting sqref="GX7:GX37">
    <cfRule type="top10" dxfId="483" priority="24" percent="1" rank="10"/>
  </conditionalFormatting>
  <conditionalFormatting sqref="FZ14:GW14">
    <cfRule type="top10" dxfId="482" priority="23" percent="1" rank="10"/>
  </conditionalFormatting>
  <conditionalFormatting sqref="FZ15:GW15">
    <cfRule type="top10" dxfId="481" priority="22" percent="1" rank="10"/>
  </conditionalFormatting>
  <conditionalFormatting sqref="FZ16:GW16">
    <cfRule type="top10" dxfId="480" priority="21" percent="1" rank="10"/>
  </conditionalFormatting>
  <conditionalFormatting sqref="FZ17:GW17">
    <cfRule type="top10" dxfId="479" priority="20" percent="1" rank="10"/>
  </conditionalFormatting>
  <conditionalFormatting sqref="FZ18:GW18">
    <cfRule type="top10" dxfId="478" priority="19" percent="1" rank="10"/>
  </conditionalFormatting>
  <conditionalFormatting sqref="FZ19:GW19">
    <cfRule type="top10" dxfId="477" priority="18" percent="1" rank="10"/>
  </conditionalFormatting>
  <conditionalFormatting sqref="FZ20:GW20">
    <cfRule type="top10" dxfId="476" priority="17" percent="1" rank="10"/>
  </conditionalFormatting>
  <conditionalFormatting sqref="FZ21:GW21">
    <cfRule type="top10" dxfId="475" priority="16" percent="1" rank="10"/>
  </conditionalFormatting>
  <conditionalFormatting sqref="FZ22:GW22">
    <cfRule type="top10" dxfId="474" priority="15" percent="1" rank="10"/>
  </conditionalFormatting>
  <conditionalFormatting sqref="FZ23:GW23">
    <cfRule type="top10" dxfId="473" priority="14" percent="1" rank="10"/>
  </conditionalFormatting>
  <conditionalFormatting sqref="FZ24:GW24">
    <cfRule type="top10" dxfId="472" priority="13" percent="1" rank="10"/>
  </conditionalFormatting>
  <conditionalFormatting sqref="FZ25:GW25">
    <cfRule type="top10" dxfId="471" priority="12" percent="1" rank="10"/>
  </conditionalFormatting>
  <conditionalFormatting sqref="FZ26:GW26">
    <cfRule type="top10" dxfId="470" priority="11" percent="1" rank="10"/>
  </conditionalFormatting>
  <conditionalFormatting sqref="FZ27:GW27">
    <cfRule type="top10" dxfId="469" priority="10" percent="1" rank="10"/>
  </conditionalFormatting>
  <conditionalFormatting sqref="FZ28:GW28">
    <cfRule type="top10" dxfId="468" priority="9" percent="1" rank="10"/>
  </conditionalFormatting>
  <conditionalFormatting sqref="FZ29:GW29">
    <cfRule type="top10" dxfId="467" priority="8" percent="1" rank="10"/>
  </conditionalFormatting>
  <conditionalFormatting sqref="FZ30:GW30">
    <cfRule type="top10" dxfId="466" priority="7" percent="1" rank="10"/>
  </conditionalFormatting>
  <conditionalFormatting sqref="FZ31:GW31">
    <cfRule type="top10" dxfId="465" priority="6" percent="1" rank="10"/>
  </conditionalFormatting>
  <conditionalFormatting sqref="FZ32:GW32">
    <cfRule type="top10" dxfId="464" priority="5" percent="1" rank="10"/>
  </conditionalFormatting>
  <conditionalFormatting sqref="FZ33:GW33">
    <cfRule type="top10" dxfId="463" priority="4" percent="1" rank="10"/>
  </conditionalFormatting>
  <conditionalFormatting sqref="FZ34:GW34">
    <cfRule type="top10" dxfId="462" priority="3" percent="1" rank="10"/>
  </conditionalFormatting>
  <conditionalFormatting sqref="FZ35:GW35">
    <cfRule type="top10" dxfId="461" priority="2" percent="1" rank="10"/>
  </conditionalFormatting>
  <conditionalFormatting sqref="FZ36:GW37">
    <cfRule type="top10" dxfId="460" priority="1" percent="1" rank="10"/>
  </conditionalFormatting>
  <dataValidations count="1">
    <dataValidation type="list" allowBlank="1" showInputMessage="1" showErrorMessage="1" sqref="A1" xr:uid="{FFD93D0C-E2E4-40F8-98FA-908A4D2ADFFA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A71F-B39E-4F1C-8644-8D1A7551F288}">
  <sheetPr codeName="Sheet11"/>
  <dimension ref="A1:HV39"/>
  <sheetViews>
    <sheetView workbookViewId="0"/>
  </sheetViews>
  <sheetFormatPr defaultRowHeight="18" x14ac:dyDescent="0.55000000000000004"/>
  <cols>
    <col min="1" max="1" width="20.5" customWidth="1"/>
    <col min="2" max="2" width="9.75" customWidth="1"/>
    <col min="3" max="3" width="8.7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195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165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 t="s">
        <v>298</v>
      </c>
      <c r="G7" s="6" t="s">
        <v>296</v>
      </c>
      <c r="H7" s="3">
        <v>0.62</v>
      </c>
      <c r="I7" s="3">
        <f>IF($E7="〇",H7*基本シート!$E$2,H7*VLOOKUP(LEFT(I$6,FIND("(",I$6)-1),基本シート!$B$6:$C$29,2,FALSE))</f>
        <v>18.513200000000001</v>
      </c>
      <c r="J7" s="3">
        <v>0.64</v>
      </c>
      <c r="K7" s="3">
        <f>IF($E7="〇",J7*基本シート!$E$2,J7*VLOOKUP(LEFT(K$6,FIND("(",K$6)-1),基本シート!$B$6:$C$29,2,FALSE))</f>
        <v>19.110399999999998</v>
      </c>
      <c r="L7" s="3">
        <v>0.59</v>
      </c>
      <c r="M7" s="3">
        <f>IF($E7="〇",L7*基本シート!$E$2,L7*VLOOKUP(LEFT(M$6,FIND("(",M$6)-1),基本シート!$B$6:$C$29,2,FALSE))</f>
        <v>17.6174</v>
      </c>
      <c r="N7" s="3">
        <v>0.66</v>
      </c>
      <c r="O7" s="3">
        <f>IF($E7="〇",N7*基本シート!$E$2,N7*VLOOKUP(LEFT(O$6,FIND("(",O$6)-1),基本シート!$B$6:$C$29,2,FALSE))</f>
        <v>19.707599999999999</v>
      </c>
      <c r="P7" s="3">
        <v>0.6</v>
      </c>
      <c r="Q7" s="3">
        <f>IF($E7="〇",P7*基本シート!$E$2,P7*VLOOKUP(LEFT(Q$6,FIND("(",Q$6)-1),基本シート!$B$6:$C$29,2,FALSE))</f>
        <v>17.916</v>
      </c>
      <c r="R7" s="3">
        <v>0.73</v>
      </c>
      <c r="S7" s="3">
        <f>IF($E7="〇",R7*基本シート!$E$2,R7*VLOOKUP(LEFT(S$6,FIND("(",S$6)-1),基本シート!$B$6:$C$29,2,FALSE))</f>
        <v>21.797799999999999</v>
      </c>
      <c r="T7" s="3">
        <v>0.68</v>
      </c>
      <c r="U7" s="3">
        <f>IF($E7="〇",T7*基本シート!$E$2,T7*VLOOKUP(LEFT(U$6,FIND("(",U$6)-1),基本シート!$B$6:$C$29,2,FALSE))</f>
        <v>20.3048</v>
      </c>
      <c r="V7" s="3">
        <v>0.41</v>
      </c>
      <c r="W7" s="3">
        <f>IF($E7="〇",V7*基本シート!$E$2,V7*VLOOKUP(LEFT(W$6,FIND("(",W$6)-1),基本シート!$B$6:$C$29,2,FALSE))</f>
        <v>12.242599999999999</v>
      </c>
      <c r="X7" s="3">
        <v>0.02</v>
      </c>
      <c r="Y7" s="3">
        <f>IF($E7="〇",X7*基本シート!$E$2,X7*VLOOKUP(LEFT(Y$6,FIND("(",Y$6)-1),基本シート!$B$6:$C$29,2,FALSE))</f>
        <v>0.59719999999999995</v>
      </c>
      <c r="Z7" s="3">
        <v>0.01</v>
      </c>
      <c r="AA7" s="3">
        <f>IF($E7="〇",Z7*基本シート!$E$2,Z7*VLOOKUP(LEFT(AA$6,FIND("(",AA$6)-1),基本シート!$B$6:$C$29,2,FALSE))</f>
        <v>0.29859999999999998</v>
      </c>
      <c r="AB7" s="3">
        <v>0.02</v>
      </c>
      <c r="AC7" s="3">
        <f>IF($E7="〇",AB7*基本シート!$E$2,AB7*VLOOKUP(LEFT(AC$6,FIND("(",AC$6)-1),基本シート!$B$6:$C$29,2,FALSE))</f>
        <v>0.59719999999999995</v>
      </c>
      <c r="AD7" s="3">
        <v>0.01</v>
      </c>
      <c r="AE7" s="3">
        <f>IF($E7="〇",AD7*基本シート!$E$2,AD7*VLOOKUP(LEFT(AE$6,FIND("(",AE$6)-1),基本シート!$B$6:$C$29,2,FALSE))</f>
        <v>0.29859999999999998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1.1599999999999999</v>
      </c>
      <c r="AQ7" s="3">
        <f>IF($E7="〇",AP7*基本シート!$E$2,AP7*VLOOKUP(LEFT(AQ$6,FIND("(",AQ$6)-1),基本シート!$B$6:$C$29,2,FALSE))</f>
        <v>34.637599999999999</v>
      </c>
      <c r="AR7" s="3">
        <v>2.89</v>
      </c>
      <c r="AS7" s="3">
        <f>IF($E7="〇",AR7*基本シート!$E$2,AR7*VLOOKUP(LEFT(AS$6,FIND("(",AS$6)-1),基本シート!$B$6:$C$29,2,FALSE))</f>
        <v>86.295400000000001</v>
      </c>
      <c r="AT7" s="3">
        <v>2.42</v>
      </c>
      <c r="AU7" s="3">
        <f>IF($E7="〇",AT7*基本シート!$E$2,AT7*VLOOKUP(LEFT(AU$6,FIND("(",AU$6)-1),基本シート!$B$6:$C$29,2,FALSE))</f>
        <v>72.261200000000002</v>
      </c>
      <c r="AV7" s="3">
        <v>1</v>
      </c>
      <c r="AW7" s="3">
        <f>IF($E7="〇",AV7*基本シート!$E$2,AV7*VLOOKUP(LEFT(AW$6,FIND("(",AW$6)-1),基本シート!$B$6:$C$29,2,FALSE))</f>
        <v>29.86</v>
      </c>
      <c r="AX7" s="3">
        <v>1.01</v>
      </c>
      <c r="AY7" s="3">
        <f>IF($E7="〇",AX7*基本シート!$E$2,AX7*VLOOKUP(LEFT(AY$6,FIND("(",AY$6)-1),基本シート!$B$6:$C$29,2,FALSE))</f>
        <v>30.1586</v>
      </c>
      <c r="AZ7" s="3">
        <v>0.94</v>
      </c>
      <c r="BA7" s="3">
        <f>IF($E7="〇",AZ7*基本シート!$E$2,AZ7*VLOOKUP(LEFT(BA$6,FIND("(",BA$6)-1),基本シート!$B$6:$C$29,2,FALSE))</f>
        <v>28.068399999999997</v>
      </c>
      <c r="BB7" s="3">
        <v>0.72</v>
      </c>
      <c r="BC7" s="3">
        <f>IF($E7="〇",BB7*基本シート!$E$2,BB7*VLOOKUP(LEFT(BC$6,FIND("(",BC$6)-1),基本シート!$B$6:$C$29,2,FALSE))</f>
        <v>21.499199999999998</v>
      </c>
      <c r="BD7" s="3">
        <f t="shared" ref="BD7:BD37" si="7">SUM(H7,J7,L7,N7,P7,R7,T7,V7,X7,Z7,AB7,AD7,AF7,AH7,AJ7,AL7,AN7,AP7,AR7,AT7,AV7,AX7,AZ7,BB7)</f>
        <v>15.129999999999999</v>
      </c>
      <c r="BE7" s="3">
        <f t="shared" ref="BE7:BE37" si="8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0.24</v>
      </c>
      <c r="BN7" s="3">
        <v>1.1499999999999999</v>
      </c>
      <c r="BO7" s="3">
        <v>1.3</v>
      </c>
      <c r="BP7" s="3">
        <v>3.04</v>
      </c>
      <c r="BQ7" s="3">
        <v>5.93</v>
      </c>
      <c r="BR7" s="3">
        <v>5.51</v>
      </c>
      <c r="BS7" s="3">
        <v>4.38</v>
      </c>
      <c r="BT7" s="3">
        <v>2.58</v>
      </c>
      <c r="BU7" s="3">
        <v>0.56999999999999995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0.01</v>
      </c>
      <c r="CU7" s="3">
        <f>CT7*基本シート!$C$3</f>
        <v>0.16</v>
      </c>
      <c r="CV7" s="3">
        <v>0.03</v>
      </c>
      <c r="CW7" s="3">
        <f>CV7*基本シート!$C$3</f>
        <v>0.48</v>
      </c>
      <c r="CX7" s="3">
        <v>0.35</v>
      </c>
      <c r="CY7" s="3">
        <f>CX7*基本シート!$C$3</f>
        <v>5.6</v>
      </c>
      <c r="CZ7" s="3">
        <v>1.55</v>
      </c>
      <c r="DA7" s="3">
        <f>CZ7*基本シート!$C$3</f>
        <v>24.8</v>
      </c>
      <c r="DB7" s="3">
        <v>4.2300000000000004</v>
      </c>
      <c r="DC7" s="3">
        <f>DB7*基本シート!$C$3</f>
        <v>67.680000000000007</v>
      </c>
      <c r="DD7" s="3">
        <v>3.86</v>
      </c>
      <c r="DE7" s="3">
        <f>DD7*基本シート!$C$3</f>
        <v>61.76</v>
      </c>
      <c r="DF7" s="3">
        <v>2.04</v>
      </c>
      <c r="DG7" s="3">
        <f>DF7*基本シート!$C$3</f>
        <v>32.64</v>
      </c>
      <c r="DH7" s="3">
        <v>0.22</v>
      </c>
      <c r="DI7" s="3">
        <f>DH7*基本シート!$C$3</f>
        <v>3.52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12.290000000000001</v>
      </c>
      <c r="EA7" s="3">
        <f>ROUND(DZ7*基本シート!$C$3,0)</f>
        <v>197</v>
      </c>
      <c r="EB7" s="3">
        <v>0.04</v>
      </c>
      <c r="EC7" s="3">
        <v>0.04</v>
      </c>
      <c r="ED7" s="3">
        <v>0.03</v>
      </c>
      <c r="EE7" s="3">
        <v>0.04</v>
      </c>
      <c r="EF7" s="3">
        <v>0.03</v>
      </c>
      <c r="EG7" s="3">
        <v>0.04</v>
      </c>
      <c r="EH7" s="3">
        <v>0.02</v>
      </c>
      <c r="EI7" s="3">
        <v>0.03</v>
      </c>
      <c r="EJ7" s="3">
        <v>0.4</v>
      </c>
      <c r="EK7" s="3">
        <v>0.61</v>
      </c>
      <c r="EL7" s="3">
        <v>1.49</v>
      </c>
      <c r="EM7" s="3">
        <v>3.84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6.82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0.96</v>
      </c>
      <c r="FQ7" s="3">
        <v>2.2999999999999998</v>
      </c>
      <c r="FR7" s="3">
        <v>1.89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5.1499999999999995</v>
      </c>
      <c r="FZ7" s="3">
        <v>0.57999999999999996</v>
      </c>
      <c r="GA7" s="3">
        <v>0.6</v>
      </c>
      <c r="GB7" s="3">
        <v>0.56000000000000005</v>
      </c>
      <c r="GC7" s="3">
        <v>0.62</v>
      </c>
      <c r="GD7" s="3">
        <v>0.56999999999999995</v>
      </c>
      <c r="GE7" s="3">
        <v>0.69</v>
      </c>
      <c r="GF7" s="3">
        <v>0.66</v>
      </c>
      <c r="GG7" s="3">
        <v>0.62</v>
      </c>
      <c r="GH7" s="3">
        <v>0.76</v>
      </c>
      <c r="GI7" s="3">
        <v>0.67</v>
      </c>
      <c r="GJ7" s="3">
        <v>1.22</v>
      </c>
      <c r="GK7" s="3">
        <v>0.55000000000000004</v>
      </c>
      <c r="GL7" s="3">
        <v>1.28</v>
      </c>
      <c r="GM7" s="3">
        <v>0.52</v>
      </c>
      <c r="GN7" s="3">
        <v>0.54</v>
      </c>
      <c r="GO7" s="3">
        <v>1.31</v>
      </c>
      <c r="GP7" s="3">
        <v>2.2999999999999998</v>
      </c>
      <c r="GQ7" s="3">
        <v>3.05</v>
      </c>
      <c r="GR7" s="3">
        <v>2.86</v>
      </c>
      <c r="GS7" s="3">
        <v>2.39</v>
      </c>
      <c r="GT7" s="3">
        <v>0.96</v>
      </c>
      <c r="GU7" s="3">
        <v>0.97</v>
      </c>
      <c r="GV7" s="3">
        <v>0.9</v>
      </c>
      <c r="GW7" s="3">
        <v>0.69</v>
      </c>
      <c r="GX7" s="3">
        <f>SUM(FZ7:GW7)</f>
        <v>25.869999999999997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166</v>
      </c>
      <c r="C8" s="6" t="str">
        <f>TEXT(VLOOKUP(LEFT(B8,FIND("月",B8)),基本シート!$E$6:$F$17,2,FALSE)&amp;B8,"aaaa")</f>
        <v>月曜日</v>
      </c>
      <c r="D8" s="6"/>
      <c r="E8" s="6" t="str">
        <f t="shared" ref="E8:E39" si="9">IF(OR(C8="土曜日",C8="日曜日",D8="〇"),"〇","")</f>
        <v/>
      </c>
      <c r="F8" s="6" t="s">
        <v>298</v>
      </c>
      <c r="G8" s="6" t="s">
        <v>298</v>
      </c>
      <c r="H8" s="3">
        <v>0.82</v>
      </c>
      <c r="I8" s="3">
        <f>IF($E8="〇",H8*基本シート!$E$2,H8*VLOOKUP(LEFT(I$6,FIND("(",I$6)-1),基本シート!$B$6:$C$29,2,FALSE))</f>
        <v>24.485199999999999</v>
      </c>
      <c r="J8" s="3">
        <v>0.64</v>
      </c>
      <c r="K8" s="3">
        <f>IF($E8="〇",J8*基本シート!$E$2,J8*VLOOKUP(LEFT(K$6,FIND("(",K$6)-1),基本シート!$B$6:$C$29,2,FALSE))</f>
        <v>19.110399999999998</v>
      </c>
      <c r="L8" s="3">
        <v>0.87</v>
      </c>
      <c r="M8" s="3">
        <f>IF($E8="〇",L8*基本シート!$E$2,L8*VLOOKUP(LEFT(M$6,FIND("(",M$6)-1),基本シート!$B$6:$C$29,2,FALSE))</f>
        <v>25.978200000000001</v>
      </c>
      <c r="N8" s="3">
        <v>0.94</v>
      </c>
      <c r="O8" s="3">
        <f>IF($E8="〇",N8*基本シート!$E$2,N8*VLOOKUP(LEFT(O$6,FIND("(",O$6)-1),基本シート!$B$6:$C$29,2,FALSE))</f>
        <v>28.068399999999997</v>
      </c>
      <c r="P8" s="3">
        <v>0.89</v>
      </c>
      <c r="Q8" s="3">
        <f>IF($E8="〇",P8*基本シート!$E$2,P8*VLOOKUP(LEFT(Q$6,FIND("(",Q$6)-1),基本シート!$B$6:$C$29,2,FALSE))</f>
        <v>26.575399999999998</v>
      </c>
      <c r="R8" s="3">
        <v>1.07</v>
      </c>
      <c r="S8" s="3">
        <f>IF($E8="〇",R8*基本シート!$E$2,R8*VLOOKUP(LEFT(S$6,FIND("(",S$6)-1),基本シート!$B$6:$C$29,2,FALSE))</f>
        <v>31.950200000000002</v>
      </c>
      <c r="T8" s="3">
        <v>0.82</v>
      </c>
      <c r="U8" s="3">
        <f>IF($E8="〇",T8*基本シート!$E$2,T8*VLOOKUP(LEFT(U$6,FIND("(",U$6)-1),基本シート!$B$6:$C$29,2,FALSE))</f>
        <v>24.485199999999999</v>
      </c>
      <c r="V8" s="3">
        <v>0.35</v>
      </c>
      <c r="W8" s="3">
        <f>IF($E8="〇",V8*基本シート!$E$2,V8*VLOOKUP(LEFT(W$6,FIND("(",W$6)-1),基本シート!$B$6:$C$29,2,FALSE))</f>
        <v>12.901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0.02</v>
      </c>
      <c r="AO8" s="3">
        <f>IF($E8="〇",AN8*基本シート!$E$2,AN8*VLOOKUP(LEFT(AO$6,FIND("(",AO$6)-1),基本シート!$B$6:$C$29,2,FALSE))</f>
        <v>0.73719999999999997</v>
      </c>
      <c r="AP8" s="3">
        <v>0.22</v>
      </c>
      <c r="AQ8" s="3">
        <f>IF($E8="〇",AP8*基本シート!$E$2,AP8*VLOOKUP(LEFT(AQ$6,FIND("(",AQ$6)-1),基本シート!$B$6:$C$29,2,FALSE))</f>
        <v>8.1091999999999995</v>
      </c>
      <c r="AR8" s="3">
        <v>2.89</v>
      </c>
      <c r="AS8" s="3">
        <f>IF($E8="〇",AR8*基本シート!$E$2,AR8*VLOOKUP(LEFT(AS$6,FIND("(",AS$6)-1),基本シート!$B$6:$C$29,2,FALSE))</f>
        <v>106.5254</v>
      </c>
      <c r="AT8" s="3">
        <v>2.0699999999999998</v>
      </c>
      <c r="AU8" s="3">
        <f>IF($E8="〇",AT8*基本シート!$E$2,AT8*VLOOKUP(LEFT(AU$6,FIND("(",AU$6)-1),基本シート!$B$6:$C$29,2,FALSE))</f>
        <v>76.30019999999999</v>
      </c>
      <c r="AV8" s="3">
        <v>1.1000000000000001</v>
      </c>
      <c r="AW8" s="3">
        <f>IF($E8="〇",AV8*基本シート!$E$2,AV8*VLOOKUP(LEFT(AW$6,FIND("(",AW$6)-1),基本シート!$B$6:$C$29,2,FALSE))</f>
        <v>40.545999999999999</v>
      </c>
      <c r="AX8" s="3">
        <v>0.94</v>
      </c>
      <c r="AY8" s="3">
        <f>IF($E8="〇",AX8*基本シート!$E$2,AX8*VLOOKUP(LEFT(AY$6,FIND("(",AY$6)-1),基本シート!$B$6:$C$29,2,FALSE))</f>
        <v>28.068399999999997</v>
      </c>
      <c r="AZ8" s="3">
        <v>0.65</v>
      </c>
      <c r="BA8" s="3">
        <f>IF($E8="〇",AZ8*基本シート!$E$2,AZ8*VLOOKUP(LEFT(BA$6,FIND("(",BA$6)-1),基本シート!$B$6:$C$29,2,FALSE))</f>
        <v>19.408999999999999</v>
      </c>
      <c r="BB8" s="3">
        <v>0.7</v>
      </c>
      <c r="BC8" s="3">
        <f>IF($E8="〇",BB8*基本シート!$E$2,BB8*VLOOKUP(LEFT(BC$6,FIND("(",BC$6)-1),基本シート!$B$6:$C$29,2,FALSE))</f>
        <v>20.901999999999997</v>
      </c>
      <c r="BD8" s="3">
        <f t="shared" si="7"/>
        <v>14.989999999999998</v>
      </c>
      <c r="BE8" s="3">
        <f>ROUND(SUM(I8,K8,M8,O8,Q8,S8,U8,W8,Y8,AA8,AC8,AE8,AG8,AI8,AK8,AM8,AO8,AQ8,AS8,AU8,AW8,AY8,BA8,BC8),0)</f>
        <v>494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0.02</v>
      </c>
      <c r="BM8" s="3">
        <v>0.83</v>
      </c>
      <c r="BN8" s="3">
        <v>3.25</v>
      </c>
      <c r="BO8" s="3">
        <v>4.62</v>
      </c>
      <c r="BP8" s="3">
        <v>5.23</v>
      </c>
      <c r="BQ8" s="3">
        <v>5.6</v>
      </c>
      <c r="BR8" s="3">
        <v>5.21</v>
      </c>
      <c r="BS8" s="3">
        <v>4.18</v>
      </c>
      <c r="BT8" s="3">
        <v>2.42</v>
      </c>
      <c r="BU8" s="3">
        <v>0.48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0.32</v>
      </c>
      <c r="CU8" s="3">
        <f>CT8*基本シート!$C$3</f>
        <v>5.12</v>
      </c>
      <c r="CV8" s="3">
        <v>0.51</v>
      </c>
      <c r="CW8" s="3">
        <f>CV8*基本シート!$C$3</f>
        <v>8.16</v>
      </c>
      <c r="CX8" s="3">
        <v>4.45</v>
      </c>
      <c r="CY8" s="3">
        <f>CX8*基本シート!$C$3</f>
        <v>71.2</v>
      </c>
      <c r="CZ8" s="3">
        <v>5</v>
      </c>
      <c r="DA8" s="3">
        <f>CZ8*基本シート!$C$3</f>
        <v>80</v>
      </c>
      <c r="DB8" s="3">
        <v>4.63</v>
      </c>
      <c r="DC8" s="3">
        <f>DB8*基本シート!$C$3</f>
        <v>74.08</v>
      </c>
      <c r="DD8" s="3">
        <v>3.7</v>
      </c>
      <c r="DE8" s="3">
        <f>DD8*基本シート!$C$3</f>
        <v>59.2</v>
      </c>
      <c r="DF8" s="3">
        <v>1.92</v>
      </c>
      <c r="DG8" s="3">
        <f>DF8*基本シート!$C$3</f>
        <v>30.72</v>
      </c>
      <c r="DH8" s="3">
        <v>0.14000000000000001</v>
      </c>
      <c r="DI8" s="3">
        <f>DH8*基本シート!$C$3</f>
        <v>2.2400000000000002</v>
      </c>
      <c r="DJ8" s="3">
        <v>0.01</v>
      </c>
      <c r="DK8" s="3">
        <f>DJ8*基本シート!$C$3</f>
        <v>0.16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7" si="10">SUM(CD8,CF8,CH8,CJ8,CL8,CN8,CP8,CR8,CT8,CV8,CX8,CZ8,DB8,DD8,DF8,DH8,DJ8,DL8,DN8,DP8,DR8,DT8,DV8,DX8)</f>
        <v>20.680000000000003</v>
      </c>
      <c r="EA8" s="3">
        <f>ROUND(DZ8*基本シート!$C$3,0)</f>
        <v>331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0.04</v>
      </c>
      <c r="EH8" s="3">
        <v>0.02</v>
      </c>
      <c r="EI8" s="3">
        <v>0.28000000000000003</v>
      </c>
      <c r="EJ8" s="3">
        <v>2.34</v>
      </c>
      <c r="EK8" s="3">
        <v>3.42</v>
      </c>
      <c r="EL8" s="3">
        <v>0.16</v>
      </c>
      <c r="EM8" s="3">
        <v>0</v>
      </c>
      <c r="EN8" s="3">
        <v>0</v>
      </c>
      <c r="EO8" s="3">
        <v>0</v>
      </c>
      <c r="EP8" s="3">
        <v>0.01</v>
      </c>
      <c r="EQ8" s="3">
        <v>0</v>
      </c>
      <c r="ER8" s="3">
        <v>0</v>
      </c>
      <c r="ES8" s="3">
        <v>0</v>
      </c>
      <c r="ET8" s="3">
        <v>0.03</v>
      </c>
      <c r="EU8" s="3">
        <v>0.04</v>
      </c>
      <c r="EV8" s="3">
        <v>0.04</v>
      </c>
      <c r="EW8" s="3">
        <v>0.04</v>
      </c>
      <c r="EX8" s="3">
        <v>0.03</v>
      </c>
      <c r="EY8" s="3">
        <v>0.04</v>
      </c>
      <c r="EZ8" s="3">
        <f t="shared" ref="EZ8:EZ37" si="11">SUM(EB8:EY8)</f>
        <v>6.69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0.2</v>
      </c>
      <c r="FQ8" s="3">
        <v>2.14</v>
      </c>
      <c r="FR8" s="3">
        <v>2.62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7" si="12">SUM(FA8:FX8)</f>
        <v>4.9600000000000009</v>
      </c>
      <c r="FZ8" s="3">
        <v>0.78</v>
      </c>
      <c r="GA8" s="3">
        <v>0.6</v>
      </c>
      <c r="GB8" s="3">
        <v>0.83</v>
      </c>
      <c r="GC8" s="3">
        <v>0.9</v>
      </c>
      <c r="GD8" s="3">
        <v>0.85</v>
      </c>
      <c r="GE8" s="3">
        <v>1.03</v>
      </c>
      <c r="GF8" s="3">
        <v>0.82</v>
      </c>
      <c r="GG8" s="3">
        <v>0.9</v>
      </c>
      <c r="GH8" s="3">
        <v>0.59</v>
      </c>
      <c r="GI8" s="3">
        <v>0.69</v>
      </c>
      <c r="GJ8" s="3">
        <v>0.62</v>
      </c>
      <c r="GK8" s="3">
        <v>0.6</v>
      </c>
      <c r="GL8" s="3">
        <v>0.57999999999999996</v>
      </c>
      <c r="GM8" s="3">
        <v>0.48</v>
      </c>
      <c r="GN8" s="3">
        <v>0.49</v>
      </c>
      <c r="GO8" s="3">
        <v>0.54</v>
      </c>
      <c r="GP8" s="3">
        <v>2.15</v>
      </c>
      <c r="GQ8" s="3">
        <v>2.84</v>
      </c>
      <c r="GR8" s="3">
        <v>2.86</v>
      </c>
      <c r="GS8" s="3">
        <v>2.0299999999999998</v>
      </c>
      <c r="GT8" s="3">
        <v>1.06</v>
      </c>
      <c r="GU8" s="3">
        <v>0.9</v>
      </c>
      <c r="GV8" s="3">
        <v>0.62</v>
      </c>
      <c r="GW8" s="3">
        <v>0.66</v>
      </c>
      <c r="GX8" s="3">
        <f t="shared" ref="GX8:GX37" si="13">SUM(FZ8:GW8)</f>
        <v>24.419999999999998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167</v>
      </c>
      <c r="C9" s="6" t="str">
        <f>TEXT(VLOOKUP(LEFT(B9,FIND("月",B9)),基本シート!$E$6:$F$17,2,FALSE)&amp;B9,"aaaa")</f>
        <v>火曜日</v>
      </c>
      <c r="D9" s="6"/>
      <c r="E9" s="6" t="str">
        <f t="shared" si="9"/>
        <v/>
      </c>
      <c r="F9" s="6" t="s">
        <v>297</v>
      </c>
      <c r="G9" s="6" t="s">
        <v>297</v>
      </c>
      <c r="H9" s="3">
        <v>0.65</v>
      </c>
      <c r="I9" s="3">
        <f>IF($E9="〇",H9*基本シート!$E$2,H9*VLOOKUP(LEFT(I$6,FIND("(",I$6)-1),基本シート!$B$6:$C$29,2,FALSE))</f>
        <v>19.408999999999999</v>
      </c>
      <c r="J9" s="3">
        <v>0.56999999999999995</v>
      </c>
      <c r="K9" s="3">
        <f>IF($E9="〇",J9*基本シート!$E$2,J9*VLOOKUP(LEFT(K$6,FIND("(",K$6)-1),基本シート!$B$6:$C$29,2,FALSE))</f>
        <v>17.020199999999999</v>
      </c>
      <c r="L9" s="3">
        <v>0.67</v>
      </c>
      <c r="M9" s="3">
        <f>IF($E9="〇",L9*基本シート!$E$2,L9*VLOOKUP(LEFT(M$6,FIND("(",M$6)-1),基本シート!$B$6:$C$29,2,FALSE))</f>
        <v>20.0062</v>
      </c>
      <c r="N9" s="3">
        <v>0.61</v>
      </c>
      <c r="O9" s="3">
        <f>IF($E9="〇",N9*基本シート!$E$2,N9*VLOOKUP(LEFT(O$6,FIND("(",O$6)-1),基本シート!$B$6:$C$29,2,FALSE))</f>
        <v>18.214600000000001</v>
      </c>
      <c r="P9" s="3">
        <v>0.77</v>
      </c>
      <c r="Q9" s="3">
        <f>IF($E9="〇",P9*基本シート!$E$2,P9*VLOOKUP(LEFT(Q$6,FIND("(",Q$6)-1),基本シート!$B$6:$C$29,2,FALSE))</f>
        <v>22.9922</v>
      </c>
      <c r="R9" s="3">
        <v>0.7</v>
      </c>
      <c r="S9" s="3">
        <f>IF($E9="〇",R9*基本シート!$E$2,R9*VLOOKUP(LEFT(S$6,FIND("(",S$6)-1),基本シート!$B$6:$C$29,2,FALSE))</f>
        <v>20.901999999999997</v>
      </c>
      <c r="T9" s="3">
        <v>0.75</v>
      </c>
      <c r="U9" s="3">
        <f>IF($E9="〇",T9*基本シート!$E$2,T9*VLOOKUP(LEFT(U$6,FIND("(",U$6)-1),基本シート!$B$6:$C$29,2,FALSE))</f>
        <v>22.395</v>
      </c>
      <c r="V9" s="3">
        <v>0.59</v>
      </c>
      <c r="W9" s="3">
        <f>IF($E9="〇",V9*基本シート!$E$2,V9*VLOOKUP(LEFT(W$6,FIND("(",W$6)-1),基本シート!$B$6:$C$29,2,FALSE))</f>
        <v>21.747399999999999</v>
      </c>
      <c r="X9" s="3">
        <v>0.23</v>
      </c>
      <c r="Y9" s="3">
        <f>IF($E9="〇",X9*基本シート!$E$2,X9*VLOOKUP(LEFT(Y$6,FIND("(",Y$6)-1),基本シート!$B$6:$C$29,2,FALSE))</f>
        <v>8.4778000000000002</v>
      </c>
      <c r="Z9" s="3">
        <v>0.16</v>
      </c>
      <c r="AA9" s="3">
        <f>IF($E9="〇",Z9*基本シート!$E$2,Z9*VLOOKUP(LEFT(AA$6,FIND("(",AA$6)-1),基本シート!$B$6:$C$29,2,FALSE))</f>
        <v>5.8975999999999997</v>
      </c>
      <c r="AB9" s="3">
        <v>0.23</v>
      </c>
      <c r="AC9" s="3">
        <f>IF($E9="〇",AB9*基本シート!$E$2,AB9*VLOOKUP(LEFT(AC$6,FIND("(",AC$6)-1),基本シート!$B$6:$C$29,2,FALSE))</f>
        <v>8.4778000000000002</v>
      </c>
      <c r="AD9" s="3">
        <v>0.08</v>
      </c>
      <c r="AE9" s="3">
        <f>IF($E9="〇",AD9*基本シート!$E$2,AD9*VLOOKUP(LEFT(AE$6,FIND("(",AE$6)-1),基本シート!$B$6:$C$29,2,FALSE))</f>
        <v>2.9487999999999999</v>
      </c>
      <c r="AF9" s="3">
        <v>0.17</v>
      </c>
      <c r="AG9" s="3">
        <f>IF($E9="〇",AF9*基本シート!$E$2,AF9*VLOOKUP(LEFT(AG$6,FIND("(",AG$6)-1),基本シート!$B$6:$C$29,2,FALSE))</f>
        <v>6.2662000000000004</v>
      </c>
      <c r="AH9" s="3">
        <v>0.27</v>
      </c>
      <c r="AI9" s="3">
        <f>IF($E9="〇",AH9*基本シート!$E$2,AH9*VLOOKUP(LEFT(AI$6,FIND("(",AI$6)-1),基本シート!$B$6:$C$29,2,FALSE))</f>
        <v>9.9522000000000013</v>
      </c>
      <c r="AJ9" s="3">
        <v>0.33</v>
      </c>
      <c r="AK9" s="3">
        <f>IF($E9="〇",AJ9*基本シート!$E$2,AJ9*VLOOKUP(LEFT(AK$6,FIND("(",AK$6)-1),基本シート!$B$6:$C$29,2,FALSE))</f>
        <v>12.1638</v>
      </c>
      <c r="AL9" s="3">
        <v>0.53</v>
      </c>
      <c r="AM9" s="3">
        <f>IF($E9="〇",AL9*基本シート!$E$2,AL9*VLOOKUP(LEFT(AM$6,FIND("(",AM$6)-1),基本シート!$B$6:$C$29,2,FALSE))</f>
        <v>19.535800000000002</v>
      </c>
      <c r="AN9" s="3">
        <v>2.29</v>
      </c>
      <c r="AO9" s="3">
        <f>IF($E9="〇",AN9*基本シート!$E$2,AN9*VLOOKUP(LEFT(AO$6,FIND("(",AO$6)-1),基本シート!$B$6:$C$29,2,FALSE))</f>
        <v>84.409400000000005</v>
      </c>
      <c r="AP9" s="3">
        <v>2.5099999999999998</v>
      </c>
      <c r="AQ9" s="3">
        <f>IF($E9="〇",AP9*基本シート!$E$2,AP9*VLOOKUP(LEFT(AQ$6,FIND("(",AQ$6)-1),基本シート!$B$6:$C$29,2,FALSE))</f>
        <v>92.518599999999992</v>
      </c>
      <c r="AR9" s="3">
        <v>3.04</v>
      </c>
      <c r="AS9" s="3">
        <f>IF($E9="〇",AR9*基本シート!$E$2,AR9*VLOOKUP(LEFT(AS$6,FIND("(",AS$6)-1),基本シート!$B$6:$C$29,2,FALSE))</f>
        <v>112.0544</v>
      </c>
      <c r="AT9" s="3">
        <v>1.99</v>
      </c>
      <c r="AU9" s="3">
        <f>IF($E9="〇",AT9*基本シート!$E$2,AT9*VLOOKUP(LEFT(AU$6,FIND("(",AU$6)-1),基本シート!$B$6:$C$29,2,FALSE))</f>
        <v>73.351399999999998</v>
      </c>
      <c r="AV9" s="3">
        <v>0.68</v>
      </c>
      <c r="AW9" s="3">
        <f>IF($E9="〇",AV9*基本シート!$E$2,AV9*VLOOKUP(LEFT(AW$6,FIND("(",AW$6)-1),基本シート!$B$6:$C$29,2,FALSE))</f>
        <v>25.064800000000002</v>
      </c>
      <c r="AX9" s="3">
        <v>0.62</v>
      </c>
      <c r="AY9" s="3">
        <f>IF($E9="〇",AX9*基本シート!$E$2,AX9*VLOOKUP(LEFT(AY$6,FIND("(",AY$6)-1),基本シート!$B$6:$C$29,2,FALSE))</f>
        <v>18.513200000000001</v>
      </c>
      <c r="AZ9" s="3">
        <v>0.93</v>
      </c>
      <c r="BA9" s="3">
        <f>IF($E9="〇",AZ9*基本シート!$E$2,AZ9*VLOOKUP(LEFT(BA$6,FIND("(",BA$6)-1),基本シート!$B$6:$C$29,2,FALSE))</f>
        <v>27.7698</v>
      </c>
      <c r="BB9" s="3">
        <v>0.98</v>
      </c>
      <c r="BC9" s="3">
        <f>IF($E9="〇",BB9*基本シート!$E$2,BB9*VLOOKUP(LEFT(BC$6,FIND("(",BC$6)-1),基本シート!$B$6:$C$29,2,FALSE))</f>
        <v>29.262799999999999</v>
      </c>
      <c r="BD9" s="3">
        <f>SUM(H9,J9,L9,N9,P9,R9,T9,V9,X9,Z9,AB9,AD9,AF9,AH9,AJ9,AL9,AN9,AP9,AR9,AT9,AV9,AX9,AZ9,BB9)</f>
        <v>20.350000000000001</v>
      </c>
      <c r="BE9" s="3">
        <f t="shared" si="8"/>
        <v>699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0.06</v>
      </c>
      <c r="BN9" s="3">
        <v>0.36</v>
      </c>
      <c r="BO9" s="3">
        <v>0.43</v>
      </c>
      <c r="BP9" s="3">
        <v>0.35</v>
      </c>
      <c r="BQ9" s="3">
        <v>0.67</v>
      </c>
      <c r="BR9" s="3">
        <v>0.42</v>
      </c>
      <c r="BS9" s="3">
        <v>0.27</v>
      </c>
      <c r="BT9" s="3">
        <v>0.22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0.03</v>
      </c>
      <c r="EC9" s="3">
        <v>0.03</v>
      </c>
      <c r="ED9" s="3">
        <v>0.04</v>
      </c>
      <c r="EE9" s="3">
        <v>0.04</v>
      </c>
      <c r="EF9" s="3">
        <v>0.04</v>
      </c>
      <c r="EG9" s="3">
        <v>0.03</v>
      </c>
      <c r="EH9" s="3">
        <v>0.03</v>
      </c>
      <c r="EI9" s="3">
        <v>0.01</v>
      </c>
      <c r="EJ9" s="3">
        <v>0.01</v>
      </c>
      <c r="EK9" s="3">
        <v>0.08</v>
      </c>
      <c r="EL9" s="3">
        <v>0.02</v>
      </c>
      <c r="EM9" s="3">
        <v>0</v>
      </c>
      <c r="EN9" s="3">
        <v>0.03</v>
      </c>
      <c r="EO9" s="3">
        <v>0.01</v>
      </c>
      <c r="EP9" s="3">
        <v>0.02</v>
      </c>
      <c r="EQ9" s="3">
        <v>0.01</v>
      </c>
      <c r="ER9" s="3">
        <v>0.03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0.67000000000000026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0.62</v>
      </c>
      <c r="GA9" s="3">
        <v>0.54</v>
      </c>
      <c r="GB9" s="3">
        <v>0.63</v>
      </c>
      <c r="GC9" s="3">
        <v>0.56999999999999995</v>
      </c>
      <c r="GD9" s="3">
        <v>0.73</v>
      </c>
      <c r="GE9" s="3">
        <v>0.67</v>
      </c>
      <c r="GF9" s="3">
        <v>0.72</v>
      </c>
      <c r="GG9" s="3">
        <v>0.64</v>
      </c>
      <c r="GH9" s="3">
        <v>0.57999999999999996</v>
      </c>
      <c r="GI9" s="3">
        <v>0.51</v>
      </c>
      <c r="GJ9" s="3">
        <v>0.56000000000000005</v>
      </c>
      <c r="GK9" s="3">
        <v>0.75</v>
      </c>
      <c r="GL9" s="3">
        <v>0.56000000000000005</v>
      </c>
      <c r="GM9" s="3">
        <v>0.53</v>
      </c>
      <c r="GN9" s="3">
        <v>0.53</v>
      </c>
      <c r="GO9" s="3">
        <v>0.52</v>
      </c>
      <c r="GP9" s="3">
        <v>2.2599999999999998</v>
      </c>
      <c r="GQ9" s="3">
        <v>2.48</v>
      </c>
      <c r="GR9" s="3">
        <v>3.01</v>
      </c>
      <c r="GS9" s="3">
        <v>1.96</v>
      </c>
      <c r="GT9" s="3">
        <v>0.65</v>
      </c>
      <c r="GU9" s="3">
        <v>0.59</v>
      </c>
      <c r="GV9" s="3">
        <v>0.9</v>
      </c>
      <c r="GW9" s="3">
        <v>0.95</v>
      </c>
      <c r="GX9" s="3">
        <f t="shared" si="13"/>
        <v>22.459999999999994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168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 t="s">
        <v>297</v>
      </c>
      <c r="G10" s="6" t="s">
        <v>365</v>
      </c>
      <c r="H10" s="3">
        <v>0.68</v>
      </c>
      <c r="I10" s="3">
        <f>IF($E10="〇",H10*基本シート!$E$2,H10*VLOOKUP(LEFT(I$6,FIND("(",I$6)-1),基本シート!$B$6:$C$29,2,FALSE))</f>
        <v>20.3048</v>
      </c>
      <c r="J10" s="3">
        <v>0.64</v>
      </c>
      <c r="K10" s="3">
        <f>IF($E10="〇",J10*基本シート!$E$2,J10*VLOOKUP(LEFT(K$6,FIND("(",K$6)-1),基本シート!$B$6:$C$29,2,FALSE))</f>
        <v>19.110399999999998</v>
      </c>
      <c r="L10" s="3">
        <v>0.65</v>
      </c>
      <c r="M10" s="3">
        <f>IF($E10="〇",L10*基本シート!$E$2,L10*VLOOKUP(LEFT(M$6,FIND("(",M$6)-1),基本シート!$B$6:$C$29,2,FALSE))</f>
        <v>19.408999999999999</v>
      </c>
      <c r="N10" s="3">
        <v>0.56000000000000005</v>
      </c>
      <c r="O10" s="3">
        <f>IF($E10="〇",N10*基本シート!$E$2,N10*VLOOKUP(LEFT(O$6,FIND("(",O$6)-1),基本シート!$B$6:$C$29,2,FALSE))</f>
        <v>16.721600000000002</v>
      </c>
      <c r="P10" s="3">
        <v>0.85</v>
      </c>
      <c r="Q10" s="3">
        <f>IF($E10="〇",P10*基本シート!$E$2,P10*VLOOKUP(LEFT(Q$6,FIND("(",Q$6)-1),基本シート!$B$6:$C$29,2,FALSE))</f>
        <v>25.381</v>
      </c>
      <c r="R10" s="3">
        <v>0.61</v>
      </c>
      <c r="S10" s="3">
        <f>IF($E10="〇",R10*基本シート!$E$2,R10*VLOOKUP(LEFT(S$6,FIND("(",S$6)-1),基本シート!$B$6:$C$29,2,FALSE))</f>
        <v>18.214600000000001</v>
      </c>
      <c r="T10" s="3">
        <v>0.93</v>
      </c>
      <c r="U10" s="3">
        <f>IF($E10="〇",T10*基本シート!$E$2,T10*VLOOKUP(LEFT(U$6,FIND("(",U$6)-1),基本シート!$B$6:$C$29,2,FALSE))</f>
        <v>27.7698</v>
      </c>
      <c r="V10" s="3">
        <v>0.37</v>
      </c>
      <c r="W10" s="3">
        <f>IF($E10="〇",V10*基本シート!$E$2,V10*VLOOKUP(LEFT(W$6,FIND("(",W$6)-1),基本シート!$B$6:$C$29,2,FALSE))</f>
        <v>13.638199999999999</v>
      </c>
      <c r="X10" s="3">
        <v>0.34</v>
      </c>
      <c r="Y10" s="3">
        <f>IF($E10="〇",X10*基本シート!$E$2,X10*VLOOKUP(LEFT(Y$6,FIND("(",Y$6)-1),基本シート!$B$6:$C$29,2,FALSE))</f>
        <v>12.532400000000001</v>
      </c>
      <c r="Z10" s="3">
        <v>0.09</v>
      </c>
      <c r="AA10" s="3">
        <f>IF($E10="〇",Z10*基本シート!$E$2,Z10*VLOOKUP(LEFT(AA$6,FIND("(",AA$6)-1),基本シート!$B$6:$C$29,2,FALSE))</f>
        <v>3.3173999999999997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0.01</v>
      </c>
      <c r="AG10" s="3">
        <f>IF($E10="〇",AF10*基本シート!$E$2,AF10*VLOOKUP(LEFT(AG$6,FIND("(",AG$6)-1),基本シート!$B$6:$C$29,2,FALSE))</f>
        <v>0.36859999999999998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0.98</v>
      </c>
      <c r="AO10" s="3">
        <f>IF($E10="〇",AN10*基本シート!$E$2,AN10*VLOOKUP(LEFT(AO$6,FIND("(",AO$6)-1),基本シート!$B$6:$C$29,2,FALSE))</f>
        <v>36.122799999999998</v>
      </c>
      <c r="AP10" s="3">
        <v>3.02</v>
      </c>
      <c r="AQ10" s="3">
        <f>IF($E10="〇",AP10*基本シート!$E$2,AP10*VLOOKUP(LEFT(AQ$6,FIND("(",AQ$6)-1),基本シート!$B$6:$C$29,2,FALSE))</f>
        <v>111.3172</v>
      </c>
      <c r="AR10" s="3">
        <v>3.2</v>
      </c>
      <c r="AS10" s="3">
        <f>IF($E10="〇",AR10*基本シート!$E$2,AR10*VLOOKUP(LEFT(AS$6,FIND("(",AS$6)-1),基本シート!$B$6:$C$29,2,FALSE))</f>
        <v>117.952</v>
      </c>
      <c r="AT10" s="3">
        <v>2.13</v>
      </c>
      <c r="AU10" s="3">
        <f>IF($E10="〇",AT10*基本シート!$E$2,AT10*VLOOKUP(LEFT(AU$6,FIND("(",AU$6)-1),基本シート!$B$6:$C$29,2,FALSE))</f>
        <v>78.511799999999994</v>
      </c>
      <c r="AV10" s="3">
        <v>0.86</v>
      </c>
      <c r="AW10" s="3">
        <f>IF($E10="〇",AV10*基本シート!$E$2,AV10*VLOOKUP(LEFT(AW$6,FIND("(",AW$6)-1),基本シート!$B$6:$C$29,2,FALSE))</f>
        <v>31.6996</v>
      </c>
      <c r="AX10" s="3">
        <v>1.22</v>
      </c>
      <c r="AY10" s="3">
        <f>IF($E10="〇",AX10*基本シート!$E$2,AX10*VLOOKUP(LEFT(AY$6,FIND("(",AY$6)-1),基本シート!$B$6:$C$29,2,FALSE))</f>
        <v>36.429200000000002</v>
      </c>
      <c r="AZ10" s="3">
        <v>0.82</v>
      </c>
      <c r="BA10" s="3">
        <f>IF($E10="〇",AZ10*基本シート!$E$2,AZ10*VLOOKUP(LEFT(BA$6,FIND("(",BA$6)-1),基本シート!$B$6:$C$29,2,FALSE))</f>
        <v>24.485199999999999</v>
      </c>
      <c r="BB10" s="3">
        <v>0.73</v>
      </c>
      <c r="BC10" s="3">
        <f>IF($E10="〇",BB10*基本シート!$E$2,BB10*VLOOKUP(LEFT(BC$6,FIND("(",BC$6)-1),基本シート!$B$6:$C$29,2,FALSE))</f>
        <v>21.797799999999999</v>
      </c>
      <c r="BD10" s="3">
        <f t="shared" si="7"/>
        <v>18.689999999999998</v>
      </c>
      <c r="BE10" s="3">
        <f t="shared" si="8"/>
        <v>635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0.19</v>
      </c>
      <c r="BN10" s="3">
        <v>0.27</v>
      </c>
      <c r="BO10" s="3">
        <v>0.55000000000000004</v>
      </c>
      <c r="BP10" s="3">
        <v>0.63</v>
      </c>
      <c r="BQ10" s="3">
        <v>0.61</v>
      </c>
      <c r="BR10" s="3">
        <v>1.24</v>
      </c>
      <c r="BS10" s="3">
        <v>1.31</v>
      </c>
      <c r="BT10" s="3">
        <v>0.36</v>
      </c>
      <c r="BU10" s="3">
        <v>0.25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</v>
      </c>
      <c r="DA10" s="3">
        <f>CZ10*基本シート!$C$3</f>
        <v>0</v>
      </c>
      <c r="DB10" s="3">
        <v>0.01</v>
      </c>
      <c r="DC10" s="3">
        <f>DB10*基本シート!$C$3</f>
        <v>0.16</v>
      </c>
      <c r="DD10" s="3">
        <v>0.01</v>
      </c>
      <c r="DE10" s="3">
        <f>DD10*基本シート!$C$3</f>
        <v>0.16</v>
      </c>
      <c r="DF10" s="3">
        <v>0.01</v>
      </c>
      <c r="DG10" s="3">
        <f>DF10*基本シート!$C$3</f>
        <v>0.16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0.05</v>
      </c>
      <c r="EA10" s="3">
        <f>ROUND(DZ10*基本シート!$C$3,0)</f>
        <v>1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0.03</v>
      </c>
      <c r="EI10" s="3">
        <v>0.01</v>
      </c>
      <c r="EJ10" s="3">
        <v>0.04</v>
      </c>
      <c r="EK10" s="3">
        <v>0.06</v>
      </c>
      <c r="EL10" s="3">
        <v>0.1</v>
      </c>
      <c r="EM10" s="3">
        <v>0.02</v>
      </c>
      <c r="EN10" s="3">
        <v>0.51</v>
      </c>
      <c r="EO10" s="3">
        <v>0.7</v>
      </c>
      <c r="EP10" s="3">
        <v>0</v>
      </c>
      <c r="EQ10" s="3">
        <v>0</v>
      </c>
      <c r="ER10" s="3">
        <v>0</v>
      </c>
      <c r="ES10" s="3">
        <v>0.03</v>
      </c>
      <c r="ET10" s="3">
        <v>0.04</v>
      </c>
      <c r="EU10" s="3">
        <v>0.04</v>
      </c>
      <c r="EV10" s="3">
        <v>0.03</v>
      </c>
      <c r="EW10" s="3">
        <v>0.04</v>
      </c>
      <c r="EX10" s="3">
        <v>0.04</v>
      </c>
      <c r="EY10" s="3">
        <v>0.04</v>
      </c>
      <c r="EZ10" s="3">
        <f t="shared" si="11"/>
        <v>1.9600000000000002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0.23</v>
      </c>
      <c r="FP10" s="3">
        <v>0.26</v>
      </c>
      <c r="FQ10" s="3">
        <v>0.82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1.31</v>
      </c>
      <c r="FZ10" s="3">
        <v>0.65</v>
      </c>
      <c r="GA10" s="3">
        <v>0.6</v>
      </c>
      <c r="GB10" s="3">
        <v>0.61</v>
      </c>
      <c r="GC10" s="3">
        <v>0.52</v>
      </c>
      <c r="GD10" s="3">
        <v>0.81</v>
      </c>
      <c r="GE10" s="3">
        <v>0.56999999999999995</v>
      </c>
      <c r="GF10" s="3">
        <v>0.9</v>
      </c>
      <c r="GG10" s="3">
        <v>0.55000000000000004</v>
      </c>
      <c r="GH10" s="3">
        <v>0.56999999999999995</v>
      </c>
      <c r="GI10" s="3">
        <v>0.57999999999999996</v>
      </c>
      <c r="GJ10" s="3">
        <v>0.52</v>
      </c>
      <c r="GK10" s="3">
        <v>0.59</v>
      </c>
      <c r="GL10" s="3">
        <v>0.73</v>
      </c>
      <c r="GM10" s="3">
        <v>0.6</v>
      </c>
      <c r="GN10" s="3">
        <v>0.57999999999999996</v>
      </c>
      <c r="GO10" s="3">
        <v>0.51</v>
      </c>
      <c r="GP10" s="3">
        <v>1.79</v>
      </c>
      <c r="GQ10" s="3">
        <v>2.99</v>
      </c>
      <c r="GR10" s="3">
        <v>3.16</v>
      </c>
      <c r="GS10" s="3">
        <v>2.09</v>
      </c>
      <c r="GT10" s="3">
        <v>0.83</v>
      </c>
      <c r="GU10" s="3">
        <v>1.18</v>
      </c>
      <c r="GV10" s="3">
        <v>0.78</v>
      </c>
      <c r="GW10" s="3">
        <v>0.69</v>
      </c>
      <c r="GX10" s="3">
        <f t="shared" si="13"/>
        <v>23.4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169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 t="s">
        <v>365</v>
      </c>
      <c r="G11" s="6" t="s">
        <v>296</v>
      </c>
      <c r="H11" s="3">
        <v>0.63</v>
      </c>
      <c r="I11" s="3">
        <f>IF($E11="〇",H11*基本シート!$E$2,H11*VLOOKUP(LEFT(I$6,FIND("(",I$6)-1),基本シート!$B$6:$C$29,2,FALSE))</f>
        <v>18.811799999999998</v>
      </c>
      <c r="J11" s="3">
        <v>0.71</v>
      </c>
      <c r="K11" s="3">
        <f>IF($E11="〇",J11*基本シート!$E$2,J11*VLOOKUP(LEFT(K$6,FIND("(",K$6)-1),基本シート!$B$6:$C$29,2,FALSE))</f>
        <v>21.200599999999998</v>
      </c>
      <c r="L11" s="3">
        <v>0.62</v>
      </c>
      <c r="M11" s="3">
        <f>IF($E11="〇",L11*基本シート!$E$2,L11*VLOOKUP(LEFT(M$6,FIND("(",M$6)-1),基本シート!$B$6:$C$29,2,FALSE))</f>
        <v>18.513200000000001</v>
      </c>
      <c r="N11" s="3">
        <v>0.73</v>
      </c>
      <c r="O11" s="3">
        <f>IF($E11="〇",N11*基本シート!$E$2,N11*VLOOKUP(LEFT(O$6,FIND("(",O$6)-1),基本シート!$B$6:$C$29,2,FALSE))</f>
        <v>21.797799999999999</v>
      </c>
      <c r="P11" s="3">
        <v>0.93</v>
      </c>
      <c r="Q11" s="3">
        <f>IF($E11="〇",P11*基本シート!$E$2,P11*VLOOKUP(LEFT(Q$6,FIND("(",Q$6)-1),基本シート!$B$6:$C$29,2,FALSE))</f>
        <v>27.7698</v>
      </c>
      <c r="R11" s="3">
        <v>0.7</v>
      </c>
      <c r="S11" s="3">
        <f>IF($E11="〇",R11*基本シート!$E$2,R11*VLOOKUP(LEFT(S$6,FIND("(",S$6)-1),基本シート!$B$6:$C$29,2,FALSE))</f>
        <v>20.901999999999997</v>
      </c>
      <c r="T11" s="3">
        <v>1</v>
      </c>
      <c r="U11" s="3">
        <f>IF($E11="〇",T11*基本シート!$E$2,T11*VLOOKUP(LEFT(U$6,FIND("(",U$6)-1),基本シート!$B$6:$C$29,2,FALSE))</f>
        <v>29.86</v>
      </c>
      <c r="V11" s="3">
        <v>0.43</v>
      </c>
      <c r="W11" s="3">
        <f>IF($E11="〇",V11*基本シート!$E$2,V11*VLOOKUP(LEFT(W$6,FIND("(",W$6)-1),基本シート!$B$6:$C$29,2,FALSE))</f>
        <v>15.8498</v>
      </c>
      <c r="X11" s="3">
        <v>0.09</v>
      </c>
      <c r="Y11" s="3">
        <f>IF($E11="〇",X11*基本シート!$E$2,X11*VLOOKUP(LEFT(Y$6,FIND("(",Y$6)-1),基本シート!$B$6:$C$29,2,FALSE))</f>
        <v>3.3173999999999997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0.01</v>
      </c>
      <c r="AE11" s="3">
        <f>IF($E11="〇",AD11*基本シート!$E$2,AD11*VLOOKUP(LEFT(AE$6,FIND("(",AE$6)-1),基本シート!$B$6:$C$29,2,FALSE))</f>
        <v>0.36859999999999998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0.42</v>
      </c>
      <c r="AQ11" s="3">
        <f>IF($E11="〇",AP11*基本シート!$E$2,AP11*VLOOKUP(LEFT(AQ$6,FIND("(",AQ$6)-1),基本シート!$B$6:$C$29,2,FALSE))</f>
        <v>15.481199999999999</v>
      </c>
      <c r="AR11" s="3">
        <v>2.99</v>
      </c>
      <c r="AS11" s="3">
        <f>IF($E11="〇",AR11*基本シート!$E$2,AR11*VLOOKUP(LEFT(AS$6,FIND("(",AS$6)-1),基本シート!$B$6:$C$29,2,FALSE))</f>
        <v>110.21140000000001</v>
      </c>
      <c r="AT11" s="3">
        <v>2.0499999999999998</v>
      </c>
      <c r="AU11" s="3">
        <f>IF($E11="〇",AT11*基本シート!$E$2,AT11*VLOOKUP(LEFT(AU$6,FIND("(",AU$6)-1),基本シート!$B$6:$C$29,2,FALSE))</f>
        <v>75.562999999999988</v>
      </c>
      <c r="AV11" s="3">
        <v>0.72</v>
      </c>
      <c r="AW11" s="3">
        <f>IF($E11="〇",AV11*基本シート!$E$2,AV11*VLOOKUP(LEFT(AW$6,FIND("(",AW$6)-1),基本シート!$B$6:$C$29,2,FALSE))</f>
        <v>26.539199999999997</v>
      </c>
      <c r="AX11" s="3">
        <v>1.18</v>
      </c>
      <c r="AY11" s="3">
        <f>IF($E11="〇",AX11*基本シート!$E$2,AX11*VLOOKUP(LEFT(AY$6,FIND("(",AY$6)-1),基本シート!$B$6:$C$29,2,FALSE))</f>
        <v>35.2348</v>
      </c>
      <c r="AZ11" s="3">
        <v>0.78</v>
      </c>
      <c r="BA11" s="3">
        <f>IF($E11="〇",AZ11*基本シート!$E$2,AZ11*VLOOKUP(LEFT(BA$6,FIND("(",BA$6)-1),基本シート!$B$6:$C$29,2,FALSE))</f>
        <v>23.290800000000001</v>
      </c>
      <c r="BB11" s="3">
        <v>0.65</v>
      </c>
      <c r="BC11" s="3">
        <f>IF($E11="〇",BB11*基本シート!$E$2,BB11*VLOOKUP(LEFT(BC$6,FIND("(",BC$6)-1),基本シート!$B$6:$C$29,2,FALSE))</f>
        <v>19.408999999999999</v>
      </c>
      <c r="BD11" s="3">
        <f t="shared" si="7"/>
        <v>14.65</v>
      </c>
      <c r="BE11" s="3">
        <f t="shared" si="8"/>
        <v>484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0.27</v>
      </c>
      <c r="BN11" s="3">
        <v>0.75</v>
      </c>
      <c r="BO11" s="3">
        <v>1.55</v>
      </c>
      <c r="BP11" s="3">
        <v>2.96</v>
      </c>
      <c r="BQ11" s="3">
        <v>3.54</v>
      </c>
      <c r="BR11" s="3">
        <v>4.12</v>
      </c>
      <c r="BS11" s="3">
        <v>1.42</v>
      </c>
      <c r="BT11" s="3">
        <v>1.32</v>
      </c>
      <c r="BU11" s="3">
        <v>0.42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0.13</v>
      </c>
      <c r="CW11" s="3">
        <f>CV11*基本シート!$C$3</f>
        <v>2.08</v>
      </c>
      <c r="CX11" s="3">
        <v>0.3</v>
      </c>
      <c r="CY11" s="3">
        <f>CX11*基本シート!$C$3</f>
        <v>4.8</v>
      </c>
      <c r="CZ11" s="3">
        <v>0.45</v>
      </c>
      <c r="DA11" s="3">
        <f>CZ11*基本シート!$C$3</f>
        <v>7.2</v>
      </c>
      <c r="DB11" s="3">
        <v>3.02</v>
      </c>
      <c r="DC11" s="3">
        <f>DB11*基本シート!$C$3</f>
        <v>48.32</v>
      </c>
      <c r="DD11" s="3">
        <v>0.88</v>
      </c>
      <c r="DE11" s="3">
        <f>DD11*基本シート!$C$3</f>
        <v>14.08</v>
      </c>
      <c r="DF11" s="3">
        <v>0.76</v>
      </c>
      <c r="DG11" s="3">
        <f>DF11*基本シート!$C$3</f>
        <v>12.16</v>
      </c>
      <c r="DH11" s="3">
        <v>0.14000000000000001</v>
      </c>
      <c r="DI11" s="3">
        <f>DH11*基本シート!$C$3</f>
        <v>2.2400000000000002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5.6899999999999995</v>
      </c>
      <c r="EA11" s="3">
        <f>ROUND(DZ11*基本シート!$C$3,0)</f>
        <v>91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0.03</v>
      </c>
      <c r="EI11" s="3">
        <v>0.05</v>
      </c>
      <c r="EJ11" s="3">
        <v>0.24</v>
      </c>
      <c r="EK11" s="3">
        <v>0.76</v>
      </c>
      <c r="EL11" s="3">
        <v>2.12</v>
      </c>
      <c r="EM11" s="3">
        <v>2.42</v>
      </c>
      <c r="EN11" s="3">
        <v>0.59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0.04</v>
      </c>
      <c r="EW11" s="3">
        <v>0.04</v>
      </c>
      <c r="EX11" s="3">
        <v>0.03</v>
      </c>
      <c r="EY11" s="3">
        <v>0.04</v>
      </c>
      <c r="EZ11" s="3">
        <f t="shared" si="11"/>
        <v>6.6700000000000008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0.02</v>
      </c>
      <c r="FP11" s="3">
        <v>0.33</v>
      </c>
      <c r="FQ11" s="3">
        <v>2.02</v>
      </c>
      <c r="FR11" s="3">
        <v>2.62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4.99</v>
      </c>
      <c r="FZ11" s="3">
        <v>0.59</v>
      </c>
      <c r="GA11" s="3">
        <v>0.67</v>
      </c>
      <c r="GB11" s="3">
        <v>0.57999999999999996</v>
      </c>
      <c r="GC11" s="3">
        <v>0.69</v>
      </c>
      <c r="GD11" s="3">
        <v>0.89</v>
      </c>
      <c r="GE11" s="3">
        <v>0.66</v>
      </c>
      <c r="GF11" s="3">
        <v>0.97</v>
      </c>
      <c r="GG11" s="3">
        <v>0.65</v>
      </c>
      <c r="GH11" s="3">
        <v>0.6</v>
      </c>
      <c r="GI11" s="3">
        <v>0.66</v>
      </c>
      <c r="GJ11" s="3">
        <v>0.54</v>
      </c>
      <c r="GK11" s="3">
        <v>0.68</v>
      </c>
      <c r="GL11" s="3">
        <v>0.51</v>
      </c>
      <c r="GM11" s="3">
        <v>0.54</v>
      </c>
      <c r="GN11" s="3">
        <v>0.57999999999999996</v>
      </c>
      <c r="GO11" s="3">
        <v>0.61</v>
      </c>
      <c r="GP11" s="3">
        <v>2.02</v>
      </c>
      <c r="GQ11" s="3">
        <v>3.04</v>
      </c>
      <c r="GR11" s="3">
        <v>2.95</v>
      </c>
      <c r="GS11" s="3">
        <v>2.02</v>
      </c>
      <c r="GT11" s="3">
        <v>0.68</v>
      </c>
      <c r="GU11" s="3">
        <v>1.1399999999999999</v>
      </c>
      <c r="GV11" s="3">
        <v>0.75</v>
      </c>
      <c r="GW11" s="3">
        <v>0.61</v>
      </c>
      <c r="GX11" s="3">
        <f t="shared" si="13"/>
        <v>23.63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170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 t="s">
        <v>365</v>
      </c>
      <c r="G12" s="6" t="s">
        <v>296</v>
      </c>
      <c r="H12" s="3">
        <v>0.6</v>
      </c>
      <c r="I12" s="3">
        <f>IF($E12="〇",H12*基本シート!$E$2,H12*VLOOKUP(LEFT(I$6,FIND("(",I$6)-1),基本シート!$B$6:$C$29,2,FALSE))</f>
        <v>17.916</v>
      </c>
      <c r="J12" s="3">
        <v>0.69</v>
      </c>
      <c r="K12" s="3">
        <f>IF($E12="〇",J12*基本シート!$E$2,J12*VLOOKUP(LEFT(K$6,FIND("(",K$6)-1),基本シート!$B$6:$C$29,2,FALSE))</f>
        <v>20.603399999999997</v>
      </c>
      <c r="L12" s="3">
        <v>0.66</v>
      </c>
      <c r="M12" s="3">
        <f>IF($E12="〇",L12*基本シート!$E$2,L12*VLOOKUP(LEFT(M$6,FIND("(",M$6)-1),基本シート!$B$6:$C$29,2,FALSE))</f>
        <v>19.707599999999999</v>
      </c>
      <c r="N12" s="3">
        <v>0.84</v>
      </c>
      <c r="O12" s="3">
        <f>IF($E12="〇",N12*基本シート!$E$2,N12*VLOOKUP(LEFT(O$6,FIND("(",O$6)-1),基本シート!$B$6:$C$29,2,FALSE))</f>
        <v>25.0824</v>
      </c>
      <c r="P12" s="3">
        <v>0.84</v>
      </c>
      <c r="Q12" s="3">
        <f>IF($E12="〇",P12*基本シート!$E$2,P12*VLOOKUP(LEFT(Q$6,FIND("(",Q$6)-1),基本シート!$B$6:$C$29,2,FALSE))</f>
        <v>25.0824</v>
      </c>
      <c r="R12" s="3">
        <v>0.87</v>
      </c>
      <c r="S12" s="3">
        <f>IF($E12="〇",R12*基本シート!$E$2,R12*VLOOKUP(LEFT(S$6,FIND("(",S$6)-1),基本シート!$B$6:$C$29,2,FALSE))</f>
        <v>25.978200000000001</v>
      </c>
      <c r="T12" s="3">
        <v>0.99</v>
      </c>
      <c r="U12" s="3">
        <f>IF($E12="〇",T12*基本シート!$E$2,T12*VLOOKUP(LEFT(U$6,FIND("(",U$6)-1),基本シート!$B$6:$C$29,2,FALSE))</f>
        <v>29.561399999999999</v>
      </c>
      <c r="V12" s="3">
        <v>1.1100000000000001</v>
      </c>
      <c r="W12" s="3">
        <f>IF($E12="〇",V12*基本シート!$E$2,V12*VLOOKUP(LEFT(W$6,FIND("(",W$6)-1),基本シート!$B$6:$C$29,2,FALSE))</f>
        <v>40.9146</v>
      </c>
      <c r="X12" s="3">
        <v>0.08</v>
      </c>
      <c r="Y12" s="3">
        <f>IF($E12="〇",X12*基本シート!$E$2,X12*VLOOKUP(LEFT(Y$6,FIND("(",Y$6)-1),基本シート!$B$6:$C$29,2,FALSE))</f>
        <v>2.9487999999999999</v>
      </c>
      <c r="Z12" s="3">
        <v>0.55000000000000004</v>
      </c>
      <c r="AA12" s="3">
        <f>IF($E12="〇",Z12*基本シート!$E$2,Z12*VLOOKUP(LEFT(AA$6,FIND("(",AA$6)-1),基本シート!$B$6:$C$29,2,FALSE))</f>
        <v>20.273</v>
      </c>
      <c r="AB12" s="3">
        <v>0.56000000000000005</v>
      </c>
      <c r="AC12" s="3">
        <f>IF($E12="〇",AB12*基本シート!$E$2,AB12*VLOOKUP(LEFT(AC$6,FIND("(",AC$6)-1),基本シート!$B$6:$C$29,2,FALSE))</f>
        <v>20.6416</v>
      </c>
      <c r="AD12" s="3">
        <v>0.45</v>
      </c>
      <c r="AE12" s="3">
        <f>IF($E12="〇",AD12*基本シート!$E$2,AD12*VLOOKUP(LEFT(AE$6,FIND("(",AE$6)-1),基本シート!$B$6:$C$29,2,FALSE))</f>
        <v>16.587</v>
      </c>
      <c r="AF12" s="3">
        <v>0.19</v>
      </c>
      <c r="AG12" s="3">
        <f>IF($E12="〇",AF12*基本シート!$E$2,AF12*VLOOKUP(LEFT(AG$6,FIND("(",AG$6)-1),基本シート!$B$6:$C$29,2,FALSE))</f>
        <v>7.0034000000000001</v>
      </c>
      <c r="AH12" s="3">
        <v>0.01</v>
      </c>
      <c r="AI12" s="3">
        <f>IF($E12="〇",AH12*基本シート!$E$2,AH12*VLOOKUP(LEFT(AI$6,FIND("(",AI$6)-1),基本シート!$B$6:$C$29,2,FALSE))</f>
        <v>0.36859999999999998</v>
      </c>
      <c r="AJ12" s="3">
        <v>0.01</v>
      </c>
      <c r="AK12" s="3">
        <f>IF($E12="〇",AJ12*基本シート!$E$2,AJ12*VLOOKUP(LEFT(AK$6,FIND("(",AK$6)-1),基本シート!$B$6:$C$29,2,FALSE))</f>
        <v>0.36859999999999998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1.94</v>
      </c>
      <c r="AO12" s="3">
        <f>IF($E12="〇",AN12*基本シート!$E$2,AN12*VLOOKUP(LEFT(AO$6,FIND("(",AO$6)-1),基本シート!$B$6:$C$29,2,FALSE))</f>
        <v>71.508399999999995</v>
      </c>
      <c r="AP12" s="3">
        <v>2.88</v>
      </c>
      <c r="AQ12" s="3">
        <f>IF($E12="〇",AP12*基本シート!$E$2,AP12*VLOOKUP(LEFT(AQ$6,FIND("(",AQ$6)-1),基本シート!$B$6:$C$29,2,FALSE))</f>
        <v>106.15679999999999</v>
      </c>
      <c r="AR12" s="3">
        <v>2.96</v>
      </c>
      <c r="AS12" s="3">
        <f>IF($E12="〇",AR12*基本シート!$E$2,AR12*VLOOKUP(LEFT(AS$6,FIND("(",AS$6)-1),基本シート!$B$6:$C$29,2,FALSE))</f>
        <v>109.1056</v>
      </c>
      <c r="AT12" s="3">
        <v>1.96</v>
      </c>
      <c r="AU12" s="3">
        <f>IF($E12="〇",AT12*基本シート!$E$2,AT12*VLOOKUP(LEFT(AU$6,FIND("(",AU$6)-1),基本シート!$B$6:$C$29,2,FALSE))</f>
        <v>72.245599999999996</v>
      </c>
      <c r="AV12" s="3">
        <v>1.1000000000000001</v>
      </c>
      <c r="AW12" s="3">
        <f>IF($E12="〇",AV12*基本シート!$E$2,AV12*VLOOKUP(LEFT(AW$6,FIND("(",AW$6)-1),基本シート!$B$6:$C$29,2,FALSE))</f>
        <v>40.545999999999999</v>
      </c>
      <c r="AX12" s="3">
        <v>1.03</v>
      </c>
      <c r="AY12" s="3">
        <f>IF($E12="〇",AX12*基本シート!$E$2,AX12*VLOOKUP(LEFT(AY$6,FIND("(",AY$6)-1),基本シート!$B$6:$C$29,2,FALSE))</f>
        <v>30.755800000000001</v>
      </c>
      <c r="AZ12" s="3">
        <v>0.91</v>
      </c>
      <c r="BA12" s="3">
        <f>IF($E12="〇",AZ12*基本シート!$E$2,AZ12*VLOOKUP(LEFT(BA$6,FIND("(",BA$6)-1),基本シート!$B$6:$C$29,2,FALSE))</f>
        <v>27.172599999999999</v>
      </c>
      <c r="BB12" s="3">
        <v>0.81</v>
      </c>
      <c r="BC12" s="3">
        <f>IF($E12="〇",BB12*基本シート!$E$2,BB12*VLOOKUP(LEFT(BC$6,FIND("(",BC$6)-1),基本シート!$B$6:$C$29,2,FALSE))</f>
        <v>24.186600000000002</v>
      </c>
      <c r="BD12" s="3">
        <f t="shared" si="7"/>
        <v>22.040000000000003</v>
      </c>
      <c r="BE12" s="3">
        <f t="shared" si="8"/>
        <v>755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0.17</v>
      </c>
      <c r="BN12" s="3">
        <v>0.44</v>
      </c>
      <c r="BO12" s="3">
        <v>0.08</v>
      </c>
      <c r="BP12" s="3">
        <v>0.01</v>
      </c>
      <c r="BQ12" s="3">
        <v>0.14000000000000001</v>
      </c>
      <c r="BR12" s="3">
        <v>0.64</v>
      </c>
      <c r="BS12" s="3">
        <v>1.65</v>
      </c>
      <c r="BT12" s="3">
        <v>1.7</v>
      </c>
      <c r="BU12" s="3">
        <v>0.26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0.06</v>
      </c>
      <c r="DE12" s="3">
        <f>DD12*基本シート!$C$3</f>
        <v>0.96</v>
      </c>
      <c r="DF12" s="3">
        <v>0.01</v>
      </c>
      <c r="DG12" s="3">
        <f>DF12*基本シート!$C$3</f>
        <v>0.16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6.9999999999999993E-2</v>
      </c>
      <c r="EA12" s="3">
        <f>ROUND(DZ12*基本シート!$C$3,0)</f>
        <v>1</v>
      </c>
      <c r="EB12" s="3">
        <v>0.04</v>
      </c>
      <c r="EC12" s="3">
        <v>0.03</v>
      </c>
      <c r="ED12" s="3">
        <v>0.04</v>
      </c>
      <c r="EE12" s="3">
        <v>0.04</v>
      </c>
      <c r="EF12" s="3">
        <v>0.04</v>
      </c>
      <c r="EG12" s="3">
        <v>0.04</v>
      </c>
      <c r="EH12" s="3">
        <v>0.03</v>
      </c>
      <c r="EI12" s="3">
        <v>0.01</v>
      </c>
      <c r="EJ12" s="3">
        <v>0</v>
      </c>
      <c r="EK12" s="3">
        <v>0</v>
      </c>
      <c r="EL12" s="3">
        <v>0</v>
      </c>
      <c r="EM12" s="3">
        <v>0</v>
      </c>
      <c r="EN12" s="3">
        <v>0.12</v>
      </c>
      <c r="EO12" s="3">
        <v>0.98</v>
      </c>
      <c r="EP12" s="3">
        <v>1.03</v>
      </c>
      <c r="EQ12" s="3">
        <v>0</v>
      </c>
      <c r="ER12" s="3">
        <v>0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0.04</v>
      </c>
      <c r="EY12" s="3">
        <v>0.04</v>
      </c>
      <c r="EZ12" s="3">
        <f t="shared" si="11"/>
        <v>2.6800000000000006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0.05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1.01</v>
      </c>
      <c r="FQ12" s="3">
        <v>0.71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1.77</v>
      </c>
      <c r="FZ12" s="3">
        <v>0.56000000000000005</v>
      </c>
      <c r="GA12" s="3">
        <v>0.66</v>
      </c>
      <c r="GB12" s="3">
        <v>0.62</v>
      </c>
      <c r="GC12" s="3">
        <v>0.8</v>
      </c>
      <c r="GD12" s="3">
        <v>0.8</v>
      </c>
      <c r="GE12" s="3">
        <v>0.83</v>
      </c>
      <c r="GF12" s="3">
        <v>0.98</v>
      </c>
      <c r="GG12" s="3">
        <v>1.27</v>
      </c>
      <c r="GH12" s="3">
        <v>0.56999999999999995</v>
      </c>
      <c r="GI12" s="3">
        <v>0.63</v>
      </c>
      <c r="GJ12" s="3">
        <v>0.56999999999999995</v>
      </c>
      <c r="GK12" s="3">
        <v>0.59</v>
      </c>
      <c r="GL12" s="3">
        <v>0.71</v>
      </c>
      <c r="GM12" s="3">
        <v>0.62</v>
      </c>
      <c r="GN12" s="3">
        <v>0.67</v>
      </c>
      <c r="GO12" s="3">
        <v>1.27</v>
      </c>
      <c r="GP12" s="3">
        <v>2.65</v>
      </c>
      <c r="GQ12" s="3">
        <v>2.84</v>
      </c>
      <c r="GR12" s="3">
        <v>2.92</v>
      </c>
      <c r="GS12" s="3">
        <v>1.92</v>
      </c>
      <c r="GT12" s="3">
        <v>1.06</v>
      </c>
      <c r="GU12" s="3">
        <v>0.99</v>
      </c>
      <c r="GV12" s="3">
        <v>0.87</v>
      </c>
      <c r="GW12" s="3">
        <v>0.77</v>
      </c>
      <c r="GX12" s="3">
        <f t="shared" si="13"/>
        <v>26.17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171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 t="s">
        <v>298</v>
      </c>
      <c r="G13" s="6" t="s">
        <v>298</v>
      </c>
      <c r="H13" s="3">
        <v>0.75</v>
      </c>
      <c r="I13" s="3">
        <f>IF($E13="〇",H13*基本シート!$E$2,H13*VLOOKUP(LEFT(I$6,FIND("(",I$6)-1),基本シート!$B$6:$C$29,2,FALSE))</f>
        <v>22.395</v>
      </c>
      <c r="J13" s="3">
        <v>0.84</v>
      </c>
      <c r="K13" s="3">
        <f>IF($E13="〇",J13*基本シート!$E$2,J13*VLOOKUP(LEFT(K$6,FIND("(",K$6)-1),基本シート!$B$6:$C$29,2,FALSE))</f>
        <v>25.0824</v>
      </c>
      <c r="L13" s="3">
        <v>0.82</v>
      </c>
      <c r="M13" s="3">
        <f>IF($E13="〇",L13*基本シート!$E$2,L13*VLOOKUP(LEFT(M$6,FIND("(",M$6)-1),基本シート!$B$6:$C$29,2,FALSE))</f>
        <v>24.485199999999999</v>
      </c>
      <c r="N13" s="3">
        <v>0.93</v>
      </c>
      <c r="O13" s="3">
        <f>IF($E13="〇",N13*基本シート!$E$2,N13*VLOOKUP(LEFT(O$6,FIND("(",O$6)-1),基本シート!$B$6:$C$29,2,FALSE))</f>
        <v>27.7698</v>
      </c>
      <c r="P13" s="3">
        <v>0.82</v>
      </c>
      <c r="Q13" s="3">
        <f>IF($E13="〇",P13*基本シート!$E$2,P13*VLOOKUP(LEFT(Q$6,FIND("(",Q$6)-1),基本シート!$B$6:$C$29,2,FALSE))</f>
        <v>24.485199999999999</v>
      </c>
      <c r="R13" s="3">
        <v>0.97</v>
      </c>
      <c r="S13" s="3">
        <f>IF($E13="〇",R13*基本シート!$E$2,R13*VLOOKUP(LEFT(S$6,FIND("(",S$6)-1),基本シート!$B$6:$C$29,2,FALSE))</f>
        <v>28.964199999999998</v>
      </c>
      <c r="T13" s="3">
        <v>0.88</v>
      </c>
      <c r="U13" s="3">
        <f>IF($E13="〇",T13*基本シート!$E$2,T13*VLOOKUP(LEFT(U$6,FIND("(",U$6)-1),基本シート!$B$6:$C$29,2,FALSE))</f>
        <v>26.276799999999998</v>
      </c>
      <c r="V13" s="3">
        <v>1.04</v>
      </c>
      <c r="W13" s="3">
        <f>IF($E13="〇",V13*基本シート!$E$2,V13*VLOOKUP(LEFT(W$6,FIND("(",W$6)-1),基本シート!$B$6:$C$29,2,FALSE))</f>
        <v>31.054400000000001</v>
      </c>
      <c r="X13" s="3">
        <v>0.06</v>
      </c>
      <c r="Y13" s="3">
        <f>IF($E13="〇",X13*基本シート!$E$2,X13*VLOOKUP(LEFT(Y$6,FIND("(",Y$6)-1),基本シート!$B$6:$C$29,2,FALSE))</f>
        <v>1.7915999999999999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1.96</v>
      </c>
      <c r="AQ13" s="3">
        <f>IF($E13="〇",AP13*基本シート!$E$2,AP13*VLOOKUP(LEFT(AQ$6,FIND("(",AQ$6)-1),基本シート!$B$6:$C$29,2,FALSE))</f>
        <v>58.525599999999997</v>
      </c>
      <c r="AR13" s="3">
        <v>1.37</v>
      </c>
      <c r="AS13" s="3">
        <f>IF($E13="〇",AR13*基本シート!$E$2,AR13*VLOOKUP(LEFT(AS$6,FIND("(",AS$6)-1),基本シート!$B$6:$C$29,2,FALSE))</f>
        <v>40.908200000000001</v>
      </c>
      <c r="AT13" s="3">
        <v>1.1100000000000001</v>
      </c>
      <c r="AU13" s="3">
        <f>IF($E13="〇",AT13*基本シート!$E$2,AT13*VLOOKUP(LEFT(AU$6,FIND("(",AU$6)-1),基本シート!$B$6:$C$29,2,FALSE))</f>
        <v>33.144600000000004</v>
      </c>
      <c r="AV13" s="3">
        <v>1.1200000000000001</v>
      </c>
      <c r="AW13" s="3">
        <f>IF($E13="〇",AV13*基本シート!$E$2,AV13*VLOOKUP(LEFT(AW$6,FIND("(",AW$6)-1),基本シート!$B$6:$C$29,2,FALSE))</f>
        <v>33.443200000000004</v>
      </c>
      <c r="AX13" s="3">
        <v>1.18</v>
      </c>
      <c r="AY13" s="3">
        <f>IF($E13="〇",AX13*基本シート!$E$2,AX13*VLOOKUP(LEFT(AY$6,FIND("(",AY$6)-1),基本シート!$B$6:$C$29,2,FALSE))</f>
        <v>35.2348</v>
      </c>
      <c r="AZ13" s="3">
        <v>1.04</v>
      </c>
      <c r="BA13" s="3">
        <f>IF($E13="〇",AZ13*基本シート!$E$2,AZ13*VLOOKUP(LEFT(BA$6,FIND("(",BA$6)-1),基本シート!$B$6:$C$29,2,FALSE))</f>
        <v>31.054400000000001</v>
      </c>
      <c r="BB13" s="3">
        <v>1.05</v>
      </c>
      <c r="BC13" s="3">
        <f>IF($E13="〇",BB13*基本シート!$E$2,BB13*VLOOKUP(LEFT(BC$6,FIND("(",BC$6)-1),基本シート!$B$6:$C$29,2,FALSE))</f>
        <v>31.353000000000002</v>
      </c>
      <c r="BD13" s="3">
        <f t="shared" si="7"/>
        <v>15.940000000000001</v>
      </c>
      <c r="BE13" s="3">
        <f t="shared" si="8"/>
        <v>476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0.27</v>
      </c>
      <c r="BN13" s="3">
        <v>1.72</v>
      </c>
      <c r="BO13" s="3">
        <v>4.49</v>
      </c>
      <c r="BP13" s="3">
        <v>5.53</v>
      </c>
      <c r="BQ13" s="3">
        <v>5.9</v>
      </c>
      <c r="BR13" s="3">
        <v>5.51</v>
      </c>
      <c r="BS13" s="3">
        <v>1.3</v>
      </c>
      <c r="BT13" s="3">
        <v>0.48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0.05</v>
      </c>
      <c r="CU13" s="3">
        <f>CT13*基本シート!$C$3</f>
        <v>0.8</v>
      </c>
      <c r="CV13" s="3">
        <v>1.21</v>
      </c>
      <c r="CW13" s="3">
        <f>CV13*基本シート!$C$3</f>
        <v>19.36</v>
      </c>
      <c r="CX13" s="3">
        <v>2.12</v>
      </c>
      <c r="CY13" s="3">
        <f>CX13*基本シート!$C$3</f>
        <v>33.92</v>
      </c>
      <c r="CZ13" s="3">
        <v>5.05</v>
      </c>
      <c r="DA13" s="3">
        <f>CZ13*基本シート!$C$3</f>
        <v>80.8</v>
      </c>
      <c r="DB13" s="3">
        <v>4.6500000000000004</v>
      </c>
      <c r="DC13" s="3">
        <f>DB13*基本シート!$C$3</f>
        <v>74.400000000000006</v>
      </c>
      <c r="DD13" s="3">
        <v>0.74</v>
      </c>
      <c r="DE13" s="3">
        <f>DD13*基本シート!$C$3</f>
        <v>11.84</v>
      </c>
      <c r="DF13" s="3">
        <v>0.11</v>
      </c>
      <c r="DG13" s="3">
        <f>DF13*基本シート!$C$3</f>
        <v>1.76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13.94</v>
      </c>
      <c r="EA13" s="3">
        <f>ROUND(DZ13*基本シート!$C$3,0)</f>
        <v>223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0.03</v>
      </c>
      <c r="EG13" s="3">
        <v>0.03</v>
      </c>
      <c r="EH13" s="3">
        <v>0.03</v>
      </c>
      <c r="EI13" s="3">
        <v>0.01</v>
      </c>
      <c r="EJ13" s="3">
        <v>0.81</v>
      </c>
      <c r="EK13" s="3">
        <v>2.5299999999999998</v>
      </c>
      <c r="EL13" s="3">
        <v>2.77</v>
      </c>
      <c r="EM13" s="3">
        <v>0.01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0.04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6.629999999999999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0.04</v>
      </c>
      <c r="FO13" s="3">
        <v>0.32</v>
      </c>
      <c r="FP13" s="3">
        <v>1.4</v>
      </c>
      <c r="FQ13" s="3">
        <v>2.69</v>
      </c>
      <c r="FR13" s="3">
        <v>0.62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5.0699999999999994</v>
      </c>
      <c r="FZ13" s="3">
        <v>0.71</v>
      </c>
      <c r="GA13" s="3">
        <v>0.8</v>
      </c>
      <c r="GB13" s="3">
        <v>0.78</v>
      </c>
      <c r="GC13" s="3">
        <v>0.89</v>
      </c>
      <c r="GD13" s="3">
        <v>0.79</v>
      </c>
      <c r="GE13" s="3">
        <v>0.94</v>
      </c>
      <c r="GF13" s="3">
        <v>0.85</v>
      </c>
      <c r="GG13" s="3">
        <v>1.3</v>
      </c>
      <c r="GH13" s="3">
        <v>0.92</v>
      </c>
      <c r="GI13" s="3">
        <v>0.75</v>
      </c>
      <c r="GJ13" s="3">
        <v>0.64</v>
      </c>
      <c r="GK13" s="3">
        <v>0.84</v>
      </c>
      <c r="GL13" s="3">
        <v>0.85</v>
      </c>
      <c r="GM13" s="3">
        <v>0.6</v>
      </c>
      <c r="GN13" s="3">
        <v>0.69</v>
      </c>
      <c r="GO13" s="3">
        <v>1.58</v>
      </c>
      <c r="GP13" s="3">
        <v>2.68</v>
      </c>
      <c r="GQ13" s="3">
        <v>2.58</v>
      </c>
      <c r="GR13" s="3">
        <v>1.33</v>
      </c>
      <c r="GS13" s="3">
        <v>1.07</v>
      </c>
      <c r="GT13" s="3">
        <v>1.08</v>
      </c>
      <c r="GU13" s="3">
        <v>1.1399999999999999</v>
      </c>
      <c r="GV13" s="3">
        <v>1</v>
      </c>
      <c r="GW13" s="3">
        <v>1.01</v>
      </c>
      <c r="GX13" s="3">
        <f t="shared" si="13"/>
        <v>25.819999999999997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172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 t="s">
        <v>298</v>
      </c>
      <c r="G14" s="6" t="s">
        <v>298</v>
      </c>
      <c r="H14" s="3">
        <v>1.1599999999999999</v>
      </c>
      <c r="I14" s="3">
        <f>IF($E14="〇",H14*基本シート!$E$2,H14*VLOOKUP(LEFT(I$6,FIND("(",I$6)-1),基本シート!$B$6:$C$29,2,FALSE))</f>
        <v>34.637599999999999</v>
      </c>
      <c r="J14" s="3">
        <v>0.98</v>
      </c>
      <c r="K14" s="3">
        <f>IF($E14="〇",J14*基本シート!$E$2,J14*VLOOKUP(LEFT(K$6,FIND("(",K$6)-1),基本シート!$B$6:$C$29,2,FALSE))</f>
        <v>29.262799999999999</v>
      </c>
      <c r="L14" s="3">
        <v>1.03</v>
      </c>
      <c r="M14" s="3">
        <f>IF($E14="〇",L14*基本シート!$E$2,L14*VLOOKUP(LEFT(M$6,FIND("(",M$6)-1),基本シート!$B$6:$C$29,2,FALSE))</f>
        <v>30.755800000000001</v>
      </c>
      <c r="N14" s="3">
        <v>1.03</v>
      </c>
      <c r="O14" s="3">
        <f>IF($E14="〇",N14*基本シート!$E$2,N14*VLOOKUP(LEFT(O$6,FIND("(",O$6)-1),基本シート!$B$6:$C$29,2,FALSE))</f>
        <v>30.755800000000001</v>
      </c>
      <c r="P14" s="3">
        <v>2.02</v>
      </c>
      <c r="Q14" s="3">
        <f>IF($E14="〇",P14*基本シート!$E$2,P14*VLOOKUP(LEFT(Q$6,FIND("(",Q$6)-1),基本シート!$B$6:$C$29,2,FALSE))</f>
        <v>60.3172</v>
      </c>
      <c r="R14" s="3">
        <v>1.1599999999999999</v>
      </c>
      <c r="S14" s="3">
        <f>IF($E14="〇",R14*基本シート!$E$2,R14*VLOOKUP(LEFT(S$6,FIND("(",S$6)-1),基本シート!$B$6:$C$29,2,FALSE))</f>
        <v>34.637599999999999</v>
      </c>
      <c r="T14" s="3">
        <v>1.08</v>
      </c>
      <c r="U14" s="3">
        <f>IF($E14="〇",T14*基本シート!$E$2,T14*VLOOKUP(LEFT(U$6,FIND("(",U$6)-1),基本シート!$B$6:$C$29,2,FALSE))</f>
        <v>32.248800000000003</v>
      </c>
      <c r="V14" s="3">
        <v>1</v>
      </c>
      <c r="W14" s="3">
        <f>IF($E14="〇",V14*基本シート!$E$2,V14*VLOOKUP(LEFT(W$6,FIND("(",W$6)-1),基本シート!$B$6:$C$29,2,FALSE))</f>
        <v>29.86</v>
      </c>
      <c r="X14" s="3">
        <v>0.99</v>
      </c>
      <c r="Y14" s="3">
        <f>IF($E14="〇",X14*基本シート!$E$2,X14*VLOOKUP(LEFT(Y$6,FIND("(",Y$6)-1),基本シート!$B$6:$C$29,2,FALSE))</f>
        <v>29.561399999999999</v>
      </c>
      <c r="Z14" s="3">
        <v>1.88</v>
      </c>
      <c r="AA14" s="3">
        <f>IF($E14="〇",Z14*基本シート!$E$2,Z14*VLOOKUP(LEFT(AA$6,FIND("(",AA$6)-1),基本シート!$B$6:$C$29,2,FALSE))</f>
        <v>56.136799999999994</v>
      </c>
      <c r="AB14" s="3">
        <v>0.44</v>
      </c>
      <c r="AC14" s="3">
        <f>IF($E14="〇",AB14*基本シート!$E$2,AB14*VLOOKUP(LEFT(AC$6,FIND("(",AC$6)-1),基本シート!$B$6:$C$29,2,FALSE))</f>
        <v>13.138399999999999</v>
      </c>
      <c r="AD14" s="3">
        <v>0.01</v>
      </c>
      <c r="AE14" s="3">
        <f>IF($E14="〇",AD14*基本シート!$E$2,AD14*VLOOKUP(LEFT(AE$6,FIND("(",AE$6)-1),基本シート!$B$6:$C$29,2,FALSE))</f>
        <v>0.29859999999999998</v>
      </c>
      <c r="AF14" s="3">
        <v>0.01</v>
      </c>
      <c r="AG14" s="3">
        <f>IF($E14="〇",AF14*基本シート!$E$2,AF14*VLOOKUP(LEFT(AG$6,FIND("(",AG$6)-1),基本シート!$B$6:$C$29,2,FALSE))</f>
        <v>0.29859999999999998</v>
      </c>
      <c r="AH14" s="3">
        <v>0.01</v>
      </c>
      <c r="AI14" s="3">
        <f>IF($E14="〇",AH14*基本シート!$E$2,AH14*VLOOKUP(LEFT(AI$6,FIND("(",AI$6)-1),基本シート!$B$6:$C$29,2,FALSE))</f>
        <v>0.29859999999999998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0.29859999999999998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2.94</v>
      </c>
      <c r="AQ14" s="3">
        <f>IF($E14="〇",AP14*基本シート!$E$2,AP14*VLOOKUP(LEFT(AQ$6,FIND("(",AQ$6)-1),基本シート!$B$6:$C$29,2,FALSE))</f>
        <v>87.788399999999996</v>
      </c>
      <c r="AR14" s="3">
        <v>3.57</v>
      </c>
      <c r="AS14" s="3">
        <f>IF($E14="〇",AR14*基本シート!$E$2,AR14*VLOOKUP(LEFT(AS$6,FIND("(",AS$6)-1),基本シート!$B$6:$C$29,2,FALSE))</f>
        <v>106.60019999999999</v>
      </c>
      <c r="AT14" s="3">
        <v>2.76</v>
      </c>
      <c r="AU14" s="3">
        <f>IF($E14="〇",AT14*基本シート!$E$2,AT14*VLOOKUP(LEFT(AU$6,FIND("(",AU$6)-1),基本シート!$B$6:$C$29,2,FALSE))</f>
        <v>82.413599999999988</v>
      </c>
      <c r="AV14" s="3">
        <v>1.03</v>
      </c>
      <c r="AW14" s="3">
        <f>IF($E14="〇",AV14*基本シート!$E$2,AV14*VLOOKUP(LEFT(AW$6,FIND("(",AW$6)-1),基本シート!$B$6:$C$29,2,FALSE))</f>
        <v>30.755800000000001</v>
      </c>
      <c r="AX14" s="3">
        <v>1.05</v>
      </c>
      <c r="AY14" s="3">
        <f>IF($E14="〇",AX14*基本シート!$E$2,AX14*VLOOKUP(LEFT(AY$6,FIND("(",AY$6)-1),基本シート!$B$6:$C$29,2,FALSE))</f>
        <v>31.353000000000002</v>
      </c>
      <c r="AZ14" s="3">
        <v>1.08</v>
      </c>
      <c r="BA14" s="3">
        <f>IF($E14="〇",AZ14*基本シート!$E$2,AZ14*VLOOKUP(LEFT(BA$6,FIND("(",BA$6)-1),基本シート!$B$6:$C$29,2,FALSE))</f>
        <v>32.248800000000003</v>
      </c>
      <c r="BB14" s="3">
        <v>0.92</v>
      </c>
      <c r="BC14" s="3">
        <f>IF($E14="〇",BB14*基本シート!$E$2,BB14*VLOOKUP(LEFT(BC$6,FIND("(",BC$6)-1),基本シート!$B$6:$C$29,2,FALSE))</f>
        <v>27.4712</v>
      </c>
      <c r="BD14" s="3">
        <f t="shared" si="7"/>
        <v>26.160000000000004</v>
      </c>
      <c r="BE14" s="3">
        <f t="shared" si="8"/>
        <v>781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0.03</v>
      </c>
      <c r="BN14" s="3">
        <v>0.09</v>
      </c>
      <c r="BO14" s="3">
        <v>0.26</v>
      </c>
      <c r="BP14" s="3">
        <v>0.86</v>
      </c>
      <c r="BQ14" s="3">
        <v>1.65</v>
      </c>
      <c r="BR14" s="3">
        <v>3.63</v>
      </c>
      <c r="BS14" s="3">
        <v>4.29</v>
      </c>
      <c r="BT14" s="3">
        <v>2.0299999999999998</v>
      </c>
      <c r="BU14" s="3">
        <v>0.24</v>
      </c>
      <c r="BV14" s="3">
        <v>0.01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0.16</v>
      </c>
      <c r="DA14" s="3">
        <f>CZ14*基本シート!$C$3</f>
        <v>2.56</v>
      </c>
      <c r="DB14" s="3">
        <v>0.46</v>
      </c>
      <c r="DC14" s="3">
        <f>DB14*基本シート!$C$3</f>
        <v>7.36</v>
      </c>
      <c r="DD14" s="3">
        <v>0.04</v>
      </c>
      <c r="DE14" s="3">
        <f>DD14*基本シート!$C$3</f>
        <v>0.64</v>
      </c>
      <c r="DF14" s="3">
        <v>1.03</v>
      </c>
      <c r="DG14" s="3">
        <f>DF14*基本シート!$C$3</f>
        <v>16.48</v>
      </c>
      <c r="DH14" s="3">
        <v>0.01</v>
      </c>
      <c r="DI14" s="3">
        <f>DH14*基本シート!$C$3</f>
        <v>0.16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1.7</v>
      </c>
      <c r="EA14" s="3">
        <f>ROUND(DZ14*基本シート!$C$3,0)</f>
        <v>27</v>
      </c>
      <c r="EB14" s="3">
        <v>0.03</v>
      </c>
      <c r="EC14" s="3">
        <v>0.04</v>
      </c>
      <c r="ED14" s="3">
        <v>0.04</v>
      </c>
      <c r="EE14" s="3">
        <v>0.04</v>
      </c>
      <c r="EF14" s="3">
        <v>0.04</v>
      </c>
      <c r="EG14" s="3">
        <v>0.04</v>
      </c>
      <c r="EH14" s="3">
        <v>0.03</v>
      </c>
      <c r="EI14" s="3">
        <v>0.02</v>
      </c>
      <c r="EJ14" s="3">
        <v>0.01</v>
      </c>
      <c r="EK14" s="3">
        <v>0.01</v>
      </c>
      <c r="EL14" s="3">
        <v>0.1</v>
      </c>
      <c r="EM14" s="3">
        <v>0.82</v>
      </c>
      <c r="EN14" s="3">
        <v>2.1800000000000002</v>
      </c>
      <c r="EO14" s="3">
        <v>2.71</v>
      </c>
      <c r="EP14" s="3">
        <v>0.27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0.04</v>
      </c>
      <c r="EW14" s="3">
        <v>0.03</v>
      </c>
      <c r="EX14" s="3">
        <v>0.04</v>
      </c>
      <c r="EY14" s="3">
        <v>0.04</v>
      </c>
      <c r="EZ14" s="3">
        <f t="shared" si="11"/>
        <v>6.6100000000000012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2.34</v>
      </c>
      <c r="FQ14" s="3">
        <v>2.73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5.07</v>
      </c>
      <c r="FZ14" s="3">
        <v>1.1299999999999999</v>
      </c>
      <c r="GA14" s="3">
        <v>0.94</v>
      </c>
      <c r="GB14" s="3">
        <v>0.99</v>
      </c>
      <c r="GC14" s="3">
        <v>0.99</v>
      </c>
      <c r="GD14" s="3">
        <v>1.98</v>
      </c>
      <c r="GE14" s="3">
        <v>1.1200000000000001</v>
      </c>
      <c r="GF14" s="3">
        <v>1.05</v>
      </c>
      <c r="GG14" s="3">
        <v>1.01</v>
      </c>
      <c r="GH14" s="3">
        <v>1.07</v>
      </c>
      <c r="GI14" s="3">
        <v>2.13</v>
      </c>
      <c r="GJ14" s="3">
        <v>1.2</v>
      </c>
      <c r="GK14" s="3">
        <v>0.68</v>
      </c>
      <c r="GL14" s="3">
        <v>1</v>
      </c>
      <c r="GM14" s="3">
        <v>1.55</v>
      </c>
      <c r="GN14" s="3">
        <v>0.73</v>
      </c>
      <c r="GO14" s="3">
        <v>2.58</v>
      </c>
      <c r="GP14" s="3">
        <v>2.74</v>
      </c>
      <c r="GQ14" s="3">
        <v>2.94</v>
      </c>
      <c r="GR14" s="3">
        <v>3.53</v>
      </c>
      <c r="GS14" s="3">
        <v>2.72</v>
      </c>
      <c r="GT14" s="3">
        <v>0.99</v>
      </c>
      <c r="GU14" s="3">
        <v>1.02</v>
      </c>
      <c r="GV14" s="3">
        <v>1.04</v>
      </c>
      <c r="GW14" s="3">
        <v>0.88</v>
      </c>
      <c r="GX14" s="3">
        <f t="shared" si="13"/>
        <v>36.010000000000012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173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 t="s">
        <v>296</v>
      </c>
      <c r="G15" s="6" t="s">
        <v>296</v>
      </c>
      <c r="H15" s="3">
        <v>0.93</v>
      </c>
      <c r="I15" s="3">
        <f>IF($E15="〇",H15*基本シート!$E$2,H15*VLOOKUP(LEFT(I$6,FIND("(",I$6)-1),基本シート!$B$6:$C$29,2,FALSE))</f>
        <v>27.7698</v>
      </c>
      <c r="J15" s="3">
        <v>1.04</v>
      </c>
      <c r="K15" s="3">
        <f>IF($E15="〇",J15*基本シート!$E$2,J15*VLOOKUP(LEFT(K$6,FIND("(",K$6)-1),基本シート!$B$6:$C$29,2,FALSE))</f>
        <v>31.054400000000001</v>
      </c>
      <c r="L15" s="3">
        <v>0.97</v>
      </c>
      <c r="M15" s="3">
        <f>IF($E15="〇",L15*基本シート!$E$2,L15*VLOOKUP(LEFT(M$6,FIND("(",M$6)-1),基本シート!$B$6:$C$29,2,FALSE))</f>
        <v>28.964199999999998</v>
      </c>
      <c r="N15" s="3">
        <v>1.06</v>
      </c>
      <c r="O15" s="3">
        <f>IF($E15="〇",N15*基本シート!$E$2,N15*VLOOKUP(LEFT(O$6,FIND("(",O$6)-1),基本シート!$B$6:$C$29,2,FALSE))</f>
        <v>31.651600000000002</v>
      </c>
      <c r="P15" s="3">
        <v>1.17</v>
      </c>
      <c r="Q15" s="3">
        <f>IF($E15="〇",P15*基本シート!$E$2,P15*VLOOKUP(LEFT(Q$6,FIND("(",Q$6)-1),基本シート!$B$6:$C$29,2,FALSE))</f>
        <v>34.936199999999999</v>
      </c>
      <c r="R15" s="3">
        <v>1</v>
      </c>
      <c r="S15" s="3">
        <f>IF($E15="〇",R15*基本シート!$E$2,R15*VLOOKUP(LEFT(S$6,FIND("(",S$6)-1),基本シート!$B$6:$C$29,2,FALSE))</f>
        <v>29.86</v>
      </c>
      <c r="T15" s="3">
        <v>1.2</v>
      </c>
      <c r="U15" s="3">
        <f>IF($E15="〇",T15*基本シート!$E$2,T15*VLOOKUP(LEFT(U$6,FIND("(",U$6)-1),基本シート!$B$6:$C$29,2,FALSE))</f>
        <v>35.832000000000001</v>
      </c>
      <c r="V15" s="3">
        <v>0.64</v>
      </c>
      <c r="W15" s="3">
        <f>IF($E15="〇",V15*基本シート!$E$2,V15*VLOOKUP(LEFT(W$6,FIND("(",W$6)-1),基本シート!$B$6:$C$29,2,FALSE))</f>
        <v>23.590399999999999</v>
      </c>
      <c r="X15" s="3">
        <v>0.05</v>
      </c>
      <c r="Y15" s="3">
        <f>IF($E15="〇",X15*基本シート!$E$2,X15*VLOOKUP(LEFT(Y$6,FIND("(",Y$6)-1),基本シート!$B$6:$C$29,2,FALSE))</f>
        <v>1.843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0.36859999999999998</v>
      </c>
      <c r="AD15" s="3">
        <v>0.01</v>
      </c>
      <c r="AE15" s="3">
        <f>IF($E15="〇",AD15*基本シート!$E$2,AD15*VLOOKUP(LEFT(AE$6,FIND("(",AE$6)-1),基本シート!$B$6:$C$29,2,FALSE))</f>
        <v>0.36859999999999998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0.02</v>
      </c>
      <c r="AO15" s="3">
        <f>IF($E15="〇",AN15*基本シート!$E$2,AN15*VLOOKUP(LEFT(AO$6,FIND("(",AO$6)-1),基本シート!$B$6:$C$29,2,FALSE))</f>
        <v>0.73719999999999997</v>
      </c>
      <c r="AP15" s="3">
        <v>1.84</v>
      </c>
      <c r="AQ15" s="3">
        <f>IF($E15="〇",AP15*基本シート!$E$2,AP15*VLOOKUP(LEFT(AQ$6,FIND("(",AQ$6)-1),基本シート!$B$6:$C$29,2,FALSE))</f>
        <v>67.822400000000002</v>
      </c>
      <c r="AR15" s="3">
        <v>2.99</v>
      </c>
      <c r="AS15" s="3">
        <f>IF($E15="〇",AR15*基本シート!$E$2,AR15*VLOOKUP(LEFT(AS$6,FIND("(",AS$6)-1),基本シート!$B$6:$C$29,2,FALSE))</f>
        <v>110.21140000000001</v>
      </c>
      <c r="AT15" s="3">
        <v>1.97</v>
      </c>
      <c r="AU15" s="3">
        <f>IF($E15="〇",AT15*基本シート!$E$2,AT15*VLOOKUP(LEFT(AU$6,FIND("(",AU$6)-1),基本シート!$B$6:$C$29,2,FALSE))</f>
        <v>72.614199999999997</v>
      </c>
      <c r="AV15" s="3">
        <v>1.24</v>
      </c>
      <c r="AW15" s="3">
        <f>IF($E15="〇",AV15*基本シート!$E$2,AV15*VLOOKUP(LEFT(AW$6,FIND("(",AW$6)-1),基本シート!$B$6:$C$29,2,FALSE))</f>
        <v>45.706400000000002</v>
      </c>
      <c r="AX15" s="3">
        <v>1.03</v>
      </c>
      <c r="AY15" s="3">
        <f>IF($E15="〇",AX15*基本シート!$E$2,AX15*VLOOKUP(LEFT(AY$6,FIND("(",AY$6)-1),基本シート!$B$6:$C$29,2,FALSE))</f>
        <v>30.755800000000001</v>
      </c>
      <c r="AZ15" s="3">
        <v>0.79</v>
      </c>
      <c r="BA15" s="3">
        <f>IF($E15="〇",AZ15*基本シート!$E$2,AZ15*VLOOKUP(LEFT(BA$6,FIND("(",BA$6)-1),基本シート!$B$6:$C$29,2,FALSE))</f>
        <v>23.589400000000001</v>
      </c>
      <c r="BB15" s="3">
        <v>0.7</v>
      </c>
      <c r="BC15" s="3">
        <f>IF($E15="〇",BB15*基本シート!$E$2,BB15*VLOOKUP(LEFT(BC$6,FIND("(",BC$6)-1),基本シート!$B$6:$C$29,2,FALSE))</f>
        <v>20.901999999999997</v>
      </c>
      <c r="BD15" s="3">
        <f t="shared" si="7"/>
        <v>18.66</v>
      </c>
      <c r="BE15" s="3">
        <f t="shared" si="8"/>
        <v>619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0.33</v>
      </c>
      <c r="BN15" s="3">
        <v>1.98</v>
      </c>
      <c r="BO15" s="3">
        <v>2.2000000000000002</v>
      </c>
      <c r="BP15" s="3">
        <v>3.78</v>
      </c>
      <c r="BQ15" s="3">
        <v>3.15</v>
      </c>
      <c r="BR15" s="3">
        <v>2.73</v>
      </c>
      <c r="BS15" s="3">
        <v>0.66</v>
      </c>
      <c r="BT15" s="3">
        <v>0.6</v>
      </c>
      <c r="BU15" s="3">
        <v>0.22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0.16</v>
      </c>
      <c r="CU15" s="3">
        <f>CT15*基本シート!$C$3</f>
        <v>2.56</v>
      </c>
      <c r="CV15" s="3">
        <v>0.21</v>
      </c>
      <c r="CW15" s="3">
        <f>CV15*基本シート!$C$3</f>
        <v>3.36</v>
      </c>
      <c r="CX15" s="3">
        <v>0.5</v>
      </c>
      <c r="CY15" s="3">
        <f>CX15*基本シート!$C$3</f>
        <v>8</v>
      </c>
      <c r="CZ15" s="3">
        <v>0.87</v>
      </c>
      <c r="DA15" s="3">
        <f>CZ15*基本シート!$C$3</f>
        <v>13.92</v>
      </c>
      <c r="DB15" s="3">
        <v>1.73</v>
      </c>
      <c r="DC15" s="3">
        <f>DB15*基本シート!$C$3</f>
        <v>27.68</v>
      </c>
      <c r="DD15" s="3">
        <v>0.1</v>
      </c>
      <c r="DE15" s="3">
        <f>DD15*基本シート!$C$3</f>
        <v>1.6</v>
      </c>
      <c r="DF15" s="3">
        <v>0.13</v>
      </c>
      <c r="DG15" s="3">
        <f>DF15*基本シート!$C$3</f>
        <v>2.08</v>
      </c>
      <c r="DH15" s="3">
        <v>0</v>
      </c>
      <c r="DI15" s="3">
        <f>DH15*基本シート!$C$3</f>
        <v>0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3.7099999999999995</v>
      </c>
      <c r="EA15" s="3">
        <f>ROUND(DZ15*基本シート!$C$3,0)</f>
        <v>59</v>
      </c>
      <c r="EB15" s="3">
        <v>0.03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0.02</v>
      </c>
      <c r="EI15" s="3">
        <v>7.0000000000000007E-2</v>
      </c>
      <c r="EJ15" s="3">
        <v>0.95</v>
      </c>
      <c r="EK15" s="3">
        <v>1.1499999999999999</v>
      </c>
      <c r="EL15" s="3">
        <v>2.68</v>
      </c>
      <c r="EM15" s="3">
        <v>1.33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1"/>
        <v>6.6100000000000012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0.14000000000000001</v>
      </c>
      <c r="FO15" s="3">
        <v>0.11</v>
      </c>
      <c r="FP15" s="3">
        <v>1.27</v>
      </c>
      <c r="FQ15" s="3">
        <v>2.54</v>
      </c>
      <c r="FR15" s="3">
        <v>1.03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5.1000000000000005</v>
      </c>
      <c r="FZ15" s="3">
        <v>0.9</v>
      </c>
      <c r="GA15" s="3">
        <v>1</v>
      </c>
      <c r="GB15" s="3">
        <v>0.93</v>
      </c>
      <c r="GC15" s="3">
        <v>1.02</v>
      </c>
      <c r="GD15" s="3">
        <v>1.1299999999999999</v>
      </c>
      <c r="GE15" s="3">
        <v>0.96</v>
      </c>
      <c r="GF15" s="3">
        <v>1.18</v>
      </c>
      <c r="GG15" s="3">
        <v>0.9</v>
      </c>
      <c r="GH15" s="3">
        <v>0.92</v>
      </c>
      <c r="GI15" s="3">
        <v>0.84</v>
      </c>
      <c r="GJ15" s="3">
        <v>0.61</v>
      </c>
      <c r="GK15" s="3">
        <v>0.96</v>
      </c>
      <c r="GL15" s="3">
        <v>1.01</v>
      </c>
      <c r="GM15" s="3">
        <v>0.7</v>
      </c>
      <c r="GN15" s="3">
        <v>0.57999999999999996</v>
      </c>
      <c r="GO15" s="3">
        <v>1.49</v>
      </c>
      <c r="GP15" s="3">
        <v>2.56</v>
      </c>
      <c r="GQ15" s="3">
        <v>2.87</v>
      </c>
      <c r="GR15" s="3">
        <v>2.96</v>
      </c>
      <c r="GS15" s="3">
        <v>1.94</v>
      </c>
      <c r="GT15" s="3">
        <v>1.21</v>
      </c>
      <c r="GU15" s="3">
        <v>1</v>
      </c>
      <c r="GV15" s="3">
        <v>0.76</v>
      </c>
      <c r="GW15" s="3">
        <v>0.67</v>
      </c>
      <c r="GX15" s="3">
        <f t="shared" si="13"/>
        <v>29.100000000000005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174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 t="s">
        <v>296</v>
      </c>
      <c r="G16" s="6" t="s">
        <v>296</v>
      </c>
      <c r="H16" s="3">
        <v>0.7</v>
      </c>
      <c r="I16" s="3">
        <f>IF($E16="〇",H16*基本シート!$E$2,H16*VLOOKUP(LEFT(I$6,FIND("(",I$6)-1),基本シート!$B$6:$C$29,2,FALSE))</f>
        <v>20.901999999999997</v>
      </c>
      <c r="J16" s="3">
        <v>0.84</v>
      </c>
      <c r="K16" s="3">
        <f>IF($E16="〇",J16*基本シート!$E$2,J16*VLOOKUP(LEFT(K$6,FIND("(",K$6)-1),基本シート!$B$6:$C$29,2,FALSE))</f>
        <v>25.0824</v>
      </c>
      <c r="L16" s="3">
        <v>0.63</v>
      </c>
      <c r="M16" s="3">
        <f>IF($E16="〇",L16*基本シート!$E$2,L16*VLOOKUP(LEFT(M$6,FIND("(",M$6)-1),基本シート!$B$6:$C$29,2,FALSE))</f>
        <v>18.811799999999998</v>
      </c>
      <c r="N16" s="3">
        <v>0.93</v>
      </c>
      <c r="O16" s="3">
        <f>IF($E16="〇",N16*基本シート!$E$2,N16*VLOOKUP(LEFT(O$6,FIND("(",O$6)-1),基本シート!$B$6:$C$29,2,FALSE))</f>
        <v>27.7698</v>
      </c>
      <c r="P16" s="3">
        <v>0.97</v>
      </c>
      <c r="Q16" s="3">
        <f>IF($E16="〇",P16*基本シート!$E$2,P16*VLOOKUP(LEFT(Q$6,FIND("(",Q$6)-1),基本シート!$B$6:$C$29,2,FALSE))</f>
        <v>28.964199999999998</v>
      </c>
      <c r="R16" s="3">
        <v>0.7</v>
      </c>
      <c r="S16" s="3">
        <f>IF($E16="〇",R16*基本シート!$E$2,R16*VLOOKUP(LEFT(S$6,FIND("(",S$6)-1),基本シート!$B$6:$C$29,2,FALSE))</f>
        <v>20.901999999999997</v>
      </c>
      <c r="T16" s="3">
        <v>0.86</v>
      </c>
      <c r="U16" s="3">
        <f>IF($E16="〇",T16*基本シート!$E$2,T16*VLOOKUP(LEFT(U$6,FIND("(",U$6)-1),基本シート!$B$6:$C$29,2,FALSE))</f>
        <v>25.679600000000001</v>
      </c>
      <c r="V16" s="3">
        <v>0.35</v>
      </c>
      <c r="W16" s="3">
        <f>IF($E16="〇",V16*基本シート!$E$2,V16*VLOOKUP(LEFT(W$6,FIND("(",W$6)-1),基本シート!$B$6:$C$29,2,FALSE))</f>
        <v>12.901</v>
      </c>
      <c r="X16" s="3">
        <v>0.09</v>
      </c>
      <c r="Y16" s="3">
        <f>IF($E16="〇",X16*基本シート!$E$2,X16*VLOOKUP(LEFT(Y$6,FIND("(",Y$6)-1),基本シート!$B$6:$C$29,2,FALSE))</f>
        <v>3.3173999999999997</v>
      </c>
      <c r="Z16" s="3">
        <v>0.01</v>
      </c>
      <c r="AA16" s="3">
        <f>IF($E16="〇",Z16*基本シート!$E$2,Z16*VLOOKUP(LEFT(AA$6,FIND("(",AA$6)-1),基本シート!$B$6:$C$29,2,FALSE))</f>
        <v>0.36859999999999998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0.02</v>
      </c>
      <c r="AQ16" s="3">
        <f>IF($E16="〇",AP16*基本シート!$E$2,AP16*VLOOKUP(LEFT(AQ$6,FIND("(",AQ$6)-1),基本シート!$B$6:$C$29,2,FALSE))</f>
        <v>0.73719999999999997</v>
      </c>
      <c r="AR16" s="3">
        <v>2.62</v>
      </c>
      <c r="AS16" s="3">
        <f>IF($E16="〇",AR16*基本シート!$E$2,AR16*VLOOKUP(LEFT(AS$6,FIND("(",AS$6)-1),基本シート!$B$6:$C$29,2,FALSE))</f>
        <v>96.5732</v>
      </c>
      <c r="AT16" s="3">
        <v>1.91</v>
      </c>
      <c r="AU16" s="3">
        <f>IF($E16="〇",AT16*基本シート!$E$2,AT16*VLOOKUP(LEFT(AU$6,FIND("(",AU$6)-1),基本シート!$B$6:$C$29,2,FALSE))</f>
        <v>70.402599999999993</v>
      </c>
      <c r="AV16" s="3">
        <v>1.28</v>
      </c>
      <c r="AW16" s="3">
        <f>IF($E16="〇",AV16*基本シート!$E$2,AV16*VLOOKUP(LEFT(AW$6,FIND("(",AW$6)-1),基本シート!$B$6:$C$29,2,FALSE))</f>
        <v>47.180799999999998</v>
      </c>
      <c r="AX16" s="3">
        <v>0.93</v>
      </c>
      <c r="AY16" s="3">
        <f>IF($E16="〇",AX16*基本シート!$E$2,AX16*VLOOKUP(LEFT(AY$6,FIND("(",AY$6)-1),基本シート!$B$6:$C$29,2,FALSE))</f>
        <v>27.7698</v>
      </c>
      <c r="AZ16" s="3">
        <v>0.65</v>
      </c>
      <c r="BA16" s="3">
        <f>IF($E16="〇",AZ16*基本シート!$E$2,AZ16*VLOOKUP(LEFT(BA$6,FIND("(",BA$6)-1),基本シート!$B$6:$C$29,2,FALSE))</f>
        <v>19.408999999999999</v>
      </c>
      <c r="BB16" s="3">
        <v>0.73</v>
      </c>
      <c r="BC16" s="3">
        <f>IF($E16="〇",BB16*基本シート!$E$2,BB16*VLOOKUP(LEFT(BC$6,FIND("(",BC$6)-1),基本シート!$B$6:$C$29,2,FALSE))</f>
        <v>21.797799999999999</v>
      </c>
      <c r="BD16" s="3">
        <f t="shared" si="7"/>
        <v>14.23</v>
      </c>
      <c r="BE16" s="3">
        <f t="shared" si="8"/>
        <v>469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1.55</v>
      </c>
      <c r="BO16" s="3">
        <v>4.47</v>
      </c>
      <c r="BP16" s="3">
        <v>4.3600000000000003</v>
      </c>
      <c r="BQ16" s="3">
        <v>4.58</v>
      </c>
      <c r="BR16" s="3">
        <v>5.46</v>
      </c>
      <c r="BS16" s="3">
        <v>4.24</v>
      </c>
      <c r="BT16" s="3">
        <v>1.65</v>
      </c>
      <c r="BU16" s="3">
        <v>0.17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0.24</v>
      </c>
      <c r="CW16" s="3">
        <f>CV16*基本シート!$C$3</f>
        <v>3.84</v>
      </c>
      <c r="CX16" s="3">
        <v>2.0699999999999998</v>
      </c>
      <c r="CY16" s="3">
        <f>CX16*基本シート!$C$3</f>
        <v>33.119999999999997</v>
      </c>
      <c r="CZ16" s="3">
        <v>3.93</v>
      </c>
      <c r="DA16" s="3">
        <f>CZ16*基本シート!$C$3</f>
        <v>62.88</v>
      </c>
      <c r="DB16" s="3">
        <v>4.8099999999999996</v>
      </c>
      <c r="DC16" s="3">
        <f>DB16*基本シート!$C$3</f>
        <v>76.959999999999994</v>
      </c>
      <c r="DD16" s="3">
        <v>3.67</v>
      </c>
      <c r="DE16" s="3">
        <f>DD16*基本シート!$C$3</f>
        <v>58.72</v>
      </c>
      <c r="DF16" s="3">
        <v>1.08</v>
      </c>
      <c r="DG16" s="3">
        <f>DF16*基本シート!$C$3</f>
        <v>17.28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15.829999999999998</v>
      </c>
      <c r="EA16" s="3">
        <f>ROUND(DZ16*基本シート!$C$3,0)</f>
        <v>253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0.02</v>
      </c>
      <c r="EH16" s="3">
        <v>0.03</v>
      </c>
      <c r="EI16" s="3">
        <v>0.06</v>
      </c>
      <c r="EJ16" s="3">
        <v>0.98</v>
      </c>
      <c r="EK16" s="3">
        <v>3.69</v>
      </c>
      <c r="EL16" s="3">
        <v>1.64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1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0.12</v>
      </c>
      <c r="FP16" s="3">
        <v>0.46</v>
      </c>
      <c r="FQ16" s="3">
        <v>1.46</v>
      </c>
      <c r="FR16" s="3">
        <v>2.75</v>
      </c>
      <c r="FS16" s="3">
        <v>0.34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5.14</v>
      </c>
      <c r="FZ16" s="3">
        <v>0.67</v>
      </c>
      <c r="GA16" s="3">
        <v>0.81</v>
      </c>
      <c r="GB16" s="3">
        <v>0.6</v>
      </c>
      <c r="GC16" s="3">
        <v>0.9</v>
      </c>
      <c r="GD16" s="3">
        <v>0.94</v>
      </c>
      <c r="GE16" s="3">
        <v>0.68</v>
      </c>
      <c r="GF16" s="3">
        <v>0.83</v>
      </c>
      <c r="GG16" s="3">
        <v>0.65</v>
      </c>
      <c r="GH16" s="3">
        <v>0.65</v>
      </c>
      <c r="GI16" s="3">
        <v>0.55000000000000004</v>
      </c>
      <c r="GJ16" s="3">
        <v>0.65</v>
      </c>
      <c r="GK16" s="3">
        <v>0.65</v>
      </c>
      <c r="GL16" s="3">
        <v>0.65</v>
      </c>
      <c r="GM16" s="3">
        <v>0.57999999999999996</v>
      </c>
      <c r="GN16" s="3">
        <v>0.69</v>
      </c>
      <c r="GO16" s="3">
        <v>0.62</v>
      </c>
      <c r="GP16" s="3">
        <v>1.47</v>
      </c>
      <c r="GQ16" s="3">
        <v>2.76</v>
      </c>
      <c r="GR16" s="3">
        <v>2.96</v>
      </c>
      <c r="GS16" s="3">
        <v>1.88</v>
      </c>
      <c r="GT16" s="3">
        <v>1.25</v>
      </c>
      <c r="GU16" s="3">
        <v>0.9</v>
      </c>
      <c r="GV16" s="3">
        <v>0.62</v>
      </c>
      <c r="GW16" s="3">
        <v>0.7</v>
      </c>
      <c r="GX16" s="3">
        <f t="shared" si="13"/>
        <v>23.659999999999997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175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 t="s">
        <v>298</v>
      </c>
      <c r="G17" s="6" t="s">
        <v>298</v>
      </c>
      <c r="H17" s="3">
        <v>0.56999999999999995</v>
      </c>
      <c r="I17" s="3">
        <f>IF($E17="〇",H17*基本シート!$E$2,H17*VLOOKUP(LEFT(I$6,FIND("(",I$6)-1),基本シート!$B$6:$C$29,2,FALSE))</f>
        <v>17.020199999999999</v>
      </c>
      <c r="J17" s="3">
        <v>0.66</v>
      </c>
      <c r="K17" s="3">
        <f>IF($E17="〇",J17*基本シート!$E$2,J17*VLOOKUP(LEFT(K$6,FIND("(",K$6)-1),基本シート!$B$6:$C$29,2,FALSE))</f>
        <v>19.707599999999999</v>
      </c>
      <c r="L17" s="3">
        <v>0.61</v>
      </c>
      <c r="M17" s="3">
        <f>IF($E17="〇",L17*基本シート!$E$2,L17*VLOOKUP(LEFT(M$6,FIND("(",M$6)-1),基本シート!$B$6:$C$29,2,FALSE))</f>
        <v>18.214600000000001</v>
      </c>
      <c r="N17" s="3">
        <v>0.76</v>
      </c>
      <c r="O17" s="3">
        <f>IF($E17="〇",N17*基本シート!$E$2,N17*VLOOKUP(LEFT(O$6,FIND("(",O$6)-1),基本シート!$B$6:$C$29,2,FALSE))</f>
        <v>22.6936</v>
      </c>
      <c r="P17" s="3">
        <v>0.91</v>
      </c>
      <c r="Q17" s="3">
        <f>IF($E17="〇",P17*基本シート!$E$2,P17*VLOOKUP(LEFT(Q$6,FIND("(",Q$6)-1),基本シート!$B$6:$C$29,2,FALSE))</f>
        <v>27.172599999999999</v>
      </c>
      <c r="R17" s="3">
        <v>0.71</v>
      </c>
      <c r="S17" s="3">
        <f>IF($E17="〇",R17*基本シート!$E$2,R17*VLOOKUP(LEFT(S$6,FIND("(",S$6)-1),基本シート!$B$6:$C$29,2,FALSE))</f>
        <v>21.200599999999998</v>
      </c>
      <c r="T17" s="3">
        <v>0.92</v>
      </c>
      <c r="U17" s="3">
        <f>IF($E17="〇",T17*基本シート!$E$2,T17*VLOOKUP(LEFT(U$6,FIND("(",U$6)-1),基本シート!$B$6:$C$29,2,FALSE))</f>
        <v>27.4712</v>
      </c>
      <c r="V17" s="3">
        <v>0.28999999999999998</v>
      </c>
      <c r="W17" s="3">
        <f>IF($E17="〇",V17*基本シート!$E$2,V17*VLOOKUP(LEFT(W$6,FIND("(",W$6)-1),基本シート!$B$6:$C$29,2,FALSE))</f>
        <v>10.689399999999999</v>
      </c>
      <c r="X17" s="3">
        <v>0.01</v>
      </c>
      <c r="Y17" s="3">
        <f>IF($E17="〇",X17*基本シート!$E$2,X17*VLOOKUP(LEFT(Y$6,FIND("(",Y$6)-1),基本シート!$B$6:$C$29,2,FALSE))</f>
        <v>0.36859999999999998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0.01</v>
      </c>
      <c r="AC17" s="3">
        <f>IF($E17="〇",AB17*基本シート!$E$2,AB17*VLOOKUP(LEFT(AC$6,FIND("(",AC$6)-1),基本シート!$B$6:$C$29,2,FALSE))</f>
        <v>0.36859999999999998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0.36859999999999998</v>
      </c>
      <c r="AN17" s="3">
        <v>0.61</v>
      </c>
      <c r="AO17" s="3">
        <f>IF($E17="〇",AN17*基本シート!$E$2,AN17*VLOOKUP(LEFT(AO$6,FIND("(",AO$6)-1),基本シート!$B$6:$C$29,2,FALSE))</f>
        <v>22.4846</v>
      </c>
      <c r="AP17" s="3">
        <v>3.25</v>
      </c>
      <c r="AQ17" s="3">
        <f>IF($E17="〇",AP17*基本シート!$E$2,AP17*VLOOKUP(LEFT(AQ$6,FIND("(",AQ$6)-1),基本シート!$B$6:$C$29,2,FALSE))</f>
        <v>119.795</v>
      </c>
      <c r="AR17" s="3">
        <v>3.14</v>
      </c>
      <c r="AS17" s="3">
        <f>IF($E17="〇",AR17*基本シート!$E$2,AR17*VLOOKUP(LEFT(AS$6,FIND("(",AS$6)-1),基本シート!$B$6:$C$29,2,FALSE))</f>
        <v>115.74040000000001</v>
      </c>
      <c r="AT17" s="3">
        <v>2.2400000000000002</v>
      </c>
      <c r="AU17" s="3">
        <f>IF($E17="〇",AT17*基本シート!$E$2,AT17*VLOOKUP(LEFT(AU$6,FIND("(",AU$6)-1),基本シート!$B$6:$C$29,2,FALSE))</f>
        <v>82.566400000000002</v>
      </c>
      <c r="AV17" s="3">
        <v>0.99</v>
      </c>
      <c r="AW17" s="3">
        <f>IF($E17="〇",AV17*基本シート!$E$2,AV17*VLOOKUP(LEFT(AW$6,FIND("(",AW$6)-1),基本シート!$B$6:$C$29,2,FALSE))</f>
        <v>36.491399999999999</v>
      </c>
      <c r="AX17" s="3">
        <v>1.1399999999999999</v>
      </c>
      <c r="AY17" s="3">
        <f>IF($E17="〇",AX17*基本シート!$E$2,AX17*VLOOKUP(LEFT(AY$6,FIND("(",AY$6)-1),基本シート!$B$6:$C$29,2,FALSE))</f>
        <v>34.040399999999998</v>
      </c>
      <c r="AZ17" s="3">
        <v>1.32</v>
      </c>
      <c r="BA17" s="3">
        <f>IF($E17="〇",AZ17*基本シート!$E$2,AZ17*VLOOKUP(LEFT(BA$6,FIND("(",BA$6)-1),基本シート!$B$6:$C$29,2,FALSE))</f>
        <v>39.415199999999999</v>
      </c>
      <c r="BB17" s="3">
        <v>1.1200000000000001</v>
      </c>
      <c r="BC17" s="3">
        <f>IF($E17="〇",BB17*基本シート!$E$2,BB17*VLOOKUP(LEFT(BC$6,FIND("(",BC$6)-1),基本シート!$B$6:$C$29,2,FALSE))</f>
        <v>33.443200000000004</v>
      </c>
      <c r="BD17" s="3">
        <f t="shared" si="7"/>
        <v>19.270000000000003</v>
      </c>
      <c r="BE17" s="3">
        <f t="shared" si="8"/>
        <v>649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0.38</v>
      </c>
      <c r="BN17" s="3">
        <v>1.96</v>
      </c>
      <c r="BO17" s="3">
        <v>2.65</v>
      </c>
      <c r="BP17" s="3">
        <v>4.04</v>
      </c>
      <c r="BQ17" s="3">
        <v>4.92</v>
      </c>
      <c r="BR17" s="3">
        <v>4.13</v>
      </c>
      <c r="BS17" s="3">
        <v>3.12</v>
      </c>
      <c r="BT17" s="3">
        <v>2.06</v>
      </c>
      <c r="BU17" s="3">
        <v>0.39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0.05</v>
      </c>
      <c r="CW17" s="3">
        <f>CV17*基本シート!$C$3</f>
        <v>0.8</v>
      </c>
      <c r="CX17" s="3">
        <v>0.56999999999999995</v>
      </c>
      <c r="CY17" s="3">
        <f>CX17*基本シート!$C$3</f>
        <v>9.1199999999999992</v>
      </c>
      <c r="CZ17" s="3">
        <v>4.0999999999999996</v>
      </c>
      <c r="DA17" s="3">
        <f>CZ17*基本シート!$C$3</f>
        <v>65.599999999999994</v>
      </c>
      <c r="DB17" s="3">
        <v>3.49</v>
      </c>
      <c r="DC17" s="3">
        <f>DB17*基本シート!$C$3</f>
        <v>55.84</v>
      </c>
      <c r="DD17" s="3">
        <v>2.54</v>
      </c>
      <c r="DE17" s="3">
        <f>DD17*基本シート!$C$3</f>
        <v>40.64</v>
      </c>
      <c r="DF17" s="3">
        <v>1.07</v>
      </c>
      <c r="DG17" s="3">
        <f>DF17*基本シート!$C$3</f>
        <v>17.12</v>
      </c>
      <c r="DH17" s="3">
        <v>0.01</v>
      </c>
      <c r="DI17" s="3">
        <f>DH17*基本シート!$C$3</f>
        <v>0.16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11.849999999999998</v>
      </c>
      <c r="EA17" s="3">
        <f>ROUND(DZ17*基本シート!$C$3,0)</f>
        <v>190</v>
      </c>
      <c r="EB17" s="3">
        <v>0.03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0.05</v>
      </c>
      <c r="EJ17" s="3">
        <v>1.34</v>
      </c>
      <c r="EK17" s="3">
        <v>2.0499999999999998</v>
      </c>
      <c r="EL17" s="3">
        <v>2.86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0.03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1"/>
        <v>6.7500000000000018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0.75</v>
      </c>
      <c r="FP17" s="3">
        <v>2.3199999999999998</v>
      </c>
      <c r="FQ17" s="3">
        <v>2.11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5.1899999999999995</v>
      </c>
      <c r="FZ17" s="3">
        <v>0.54</v>
      </c>
      <c r="GA17" s="3">
        <v>0.63</v>
      </c>
      <c r="GB17" s="3">
        <v>0.57999999999999996</v>
      </c>
      <c r="GC17" s="3">
        <v>0.73</v>
      </c>
      <c r="GD17" s="3">
        <v>0.88</v>
      </c>
      <c r="GE17" s="3">
        <v>0.68</v>
      </c>
      <c r="GF17" s="3">
        <v>0.9</v>
      </c>
      <c r="GG17" s="3">
        <v>0.62</v>
      </c>
      <c r="GH17" s="3">
        <v>0.62</v>
      </c>
      <c r="GI17" s="3">
        <v>0.55000000000000004</v>
      </c>
      <c r="GJ17" s="3">
        <v>0.62</v>
      </c>
      <c r="GK17" s="3">
        <v>0.78</v>
      </c>
      <c r="GL17" s="3">
        <v>0.64</v>
      </c>
      <c r="GM17" s="3">
        <v>0.59</v>
      </c>
      <c r="GN17" s="3">
        <v>1.74</v>
      </c>
      <c r="GO17" s="3">
        <v>2.71</v>
      </c>
      <c r="GP17" s="3">
        <v>2.71</v>
      </c>
      <c r="GQ17" s="3">
        <v>3.22</v>
      </c>
      <c r="GR17" s="3">
        <v>3.11</v>
      </c>
      <c r="GS17" s="3">
        <v>2.21</v>
      </c>
      <c r="GT17" s="3">
        <v>0.96</v>
      </c>
      <c r="GU17" s="3">
        <v>1.1100000000000001</v>
      </c>
      <c r="GV17" s="3">
        <v>1.29</v>
      </c>
      <c r="GW17" s="3">
        <v>1.0900000000000001</v>
      </c>
      <c r="GX17" s="3">
        <f t="shared" si="13"/>
        <v>29.51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176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 t="s">
        <v>296</v>
      </c>
      <c r="G18" s="6" t="s">
        <v>298</v>
      </c>
      <c r="H18" s="3">
        <v>0.84</v>
      </c>
      <c r="I18" s="3">
        <f>IF($E18="〇",H18*基本シート!$E$2,H18*VLOOKUP(LEFT(I$6,FIND("(",I$6)-1),基本シート!$B$6:$C$29,2,FALSE))</f>
        <v>25.0824</v>
      </c>
      <c r="J18" s="3">
        <v>0.91</v>
      </c>
      <c r="K18" s="3">
        <f>IF($E18="〇",J18*基本シート!$E$2,J18*VLOOKUP(LEFT(K$6,FIND("(",K$6)-1),基本シート!$B$6:$C$29,2,FALSE))</f>
        <v>27.172599999999999</v>
      </c>
      <c r="L18" s="3">
        <v>0.79</v>
      </c>
      <c r="M18" s="3">
        <f>IF($E18="〇",L18*基本シート!$E$2,L18*VLOOKUP(LEFT(M$6,FIND("(",M$6)-1),基本シート!$B$6:$C$29,2,FALSE))</f>
        <v>23.589400000000001</v>
      </c>
      <c r="N18" s="3">
        <v>0.9</v>
      </c>
      <c r="O18" s="3">
        <f>IF($E18="〇",N18*基本シート!$E$2,N18*VLOOKUP(LEFT(O$6,FIND("(",O$6)-1),基本シート!$B$6:$C$29,2,FALSE))</f>
        <v>26.873999999999999</v>
      </c>
      <c r="P18" s="3">
        <v>1.05</v>
      </c>
      <c r="Q18" s="3">
        <f>IF($E18="〇",P18*基本シート!$E$2,P18*VLOOKUP(LEFT(Q$6,FIND("(",Q$6)-1),基本シート!$B$6:$C$29,2,FALSE))</f>
        <v>31.353000000000002</v>
      </c>
      <c r="R18" s="3">
        <v>0.93</v>
      </c>
      <c r="S18" s="3">
        <f>IF($E18="〇",R18*基本シート!$E$2,R18*VLOOKUP(LEFT(S$6,FIND("(",S$6)-1),基本シート!$B$6:$C$29,2,FALSE))</f>
        <v>27.7698</v>
      </c>
      <c r="T18" s="3">
        <v>1.01</v>
      </c>
      <c r="U18" s="3">
        <f>IF($E18="〇",T18*基本シート!$E$2,T18*VLOOKUP(LEFT(U$6,FIND("(",U$6)-1),基本シート!$B$6:$C$29,2,FALSE))</f>
        <v>30.1586</v>
      </c>
      <c r="V18" s="3">
        <v>0.77</v>
      </c>
      <c r="W18" s="3">
        <f>IF($E18="〇",V18*基本シート!$E$2,V18*VLOOKUP(LEFT(W$6,FIND("(",W$6)-1),基本シート!$B$6:$C$29,2,FALSE))</f>
        <v>28.382200000000001</v>
      </c>
      <c r="X18" s="3">
        <v>0.45</v>
      </c>
      <c r="Y18" s="3">
        <f>IF($E18="〇",X18*基本シート!$E$2,X18*VLOOKUP(LEFT(Y$6,FIND("(",Y$6)-1),基本シート!$B$6:$C$29,2,FALSE))</f>
        <v>16.587</v>
      </c>
      <c r="Z18" s="3">
        <v>0.01</v>
      </c>
      <c r="AA18" s="3">
        <f>IF($E18="〇",Z18*基本シート!$E$2,Z18*VLOOKUP(LEFT(AA$6,FIND("(",AA$6)-1),基本シート!$B$6:$C$29,2,FALSE))</f>
        <v>0.36859999999999998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0.02</v>
      </c>
      <c r="AO18" s="3">
        <f>IF($E18="〇",AN18*基本シート!$E$2,AN18*VLOOKUP(LEFT(AO$6,FIND("(",AO$6)-1),基本シート!$B$6:$C$29,2,FALSE))</f>
        <v>0.73719999999999997</v>
      </c>
      <c r="AP18" s="3">
        <v>1.23</v>
      </c>
      <c r="AQ18" s="3">
        <f>IF($E18="〇",AP18*基本シート!$E$2,AP18*VLOOKUP(LEFT(AQ$6,FIND("(",AQ$6)-1),基本シート!$B$6:$C$29,2,FALSE))</f>
        <v>45.337800000000001</v>
      </c>
      <c r="AR18" s="3">
        <v>3.51</v>
      </c>
      <c r="AS18" s="3">
        <f>IF($E18="〇",AR18*基本シート!$E$2,AR18*VLOOKUP(LEFT(AS$6,FIND("(",AS$6)-1),基本シート!$B$6:$C$29,2,FALSE))</f>
        <v>129.37859999999998</v>
      </c>
      <c r="AT18" s="3">
        <v>2.54</v>
      </c>
      <c r="AU18" s="3">
        <f>IF($E18="〇",AT18*基本シート!$E$2,AT18*VLOOKUP(LEFT(AU$6,FIND("(",AU$6)-1),基本シート!$B$6:$C$29,2,FALSE))</f>
        <v>93.624399999999994</v>
      </c>
      <c r="AV18" s="3">
        <v>0.97</v>
      </c>
      <c r="AW18" s="3">
        <f>IF($E18="〇",AV18*基本シート!$E$2,AV18*VLOOKUP(LEFT(AW$6,FIND("(",AW$6)-1),基本シート!$B$6:$C$29,2,FALSE))</f>
        <v>35.754199999999997</v>
      </c>
      <c r="AX18" s="3">
        <v>1.22</v>
      </c>
      <c r="AY18" s="3">
        <f>IF($E18="〇",AX18*基本シート!$E$2,AX18*VLOOKUP(LEFT(AY$6,FIND("(",AY$6)-1),基本シート!$B$6:$C$29,2,FALSE))</f>
        <v>36.429200000000002</v>
      </c>
      <c r="AZ18" s="3">
        <v>1.53</v>
      </c>
      <c r="BA18" s="3">
        <f>IF($E18="〇",AZ18*基本シート!$E$2,AZ18*VLOOKUP(LEFT(BA$6,FIND("(",BA$6)-1),基本シート!$B$6:$C$29,2,FALSE))</f>
        <v>45.6858</v>
      </c>
      <c r="BB18" s="3">
        <v>0.92</v>
      </c>
      <c r="BC18" s="3">
        <f>IF($E18="〇",BB18*基本シート!$E$2,BB18*VLOOKUP(LEFT(BC$6,FIND("(",BC$6)-1),基本シート!$B$6:$C$29,2,FALSE))</f>
        <v>27.4712</v>
      </c>
      <c r="BD18" s="3">
        <f t="shared" si="7"/>
        <v>19.600000000000001</v>
      </c>
      <c r="BE18" s="3">
        <f t="shared" si="8"/>
        <v>652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0.19</v>
      </c>
      <c r="BN18" s="3">
        <v>0.56000000000000005</v>
      </c>
      <c r="BO18" s="3">
        <v>3.28</v>
      </c>
      <c r="BP18" s="3">
        <v>5.87</v>
      </c>
      <c r="BQ18" s="3">
        <v>5.24</v>
      </c>
      <c r="BR18" s="3">
        <v>4.18</v>
      </c>
      <c r="BS18" s="3">
        <v>4.6100000000000003</v>
      </c>
      <c r="BT18" s="3">
        <v>2.56</v>
      </c>
      <c r="BU18" s="3">
        <v>0.25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0.01</v>
      </c>
      <c r="CU18" s="3">
        <f>CT18*基本シート!$C$3</f>
        <v>0.16</v>
      </c>
      <c r="CV18" s="3">
        <v>1.08</v>
      </c>
      <c r="CW18" s="3">
        <f>CV18*基本シート!$C$3</f>
        <v>17.28</v>
      </c>
      <c r="CX18" s="3">
        <v>1.83</v>
      </c>
      <c r="CY18" s="3">
        <f>CX18*基本シート!$C$3</f>
        <v>29.28</v>
      </c>
      <c r="CZ18" s="3">
        <v>3.03</v>
      </c>
      <c r="DA18" s="3">
        <f>CZ18*基本シート!$C$3</f>
        <v>48.48</v>
      </c>
      <c r="DB18" s="3">
        <v>3.36</v>
      </c>
      <c r="DC18" s="3">
        <f>DB18*基本シート!$C$3</f>
        <v>53.76</v>
      </c>
      <c r="DD18" s="3">
        <v>3.94</v>
      </c>
      <c r="DE18" s="3">
        <f>DD18*基本シート!$C$3</f>
        <v>63.04</v>
      </c>
      <c r="DF18" s="3">
        <v>1.87</v>
      </c>
      <c r="DG18" s="3">
        <f>DF18*基本シート!$C$3</f>
        <v>29.92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15.139999999999997</v>
      </c>
      <c r="EA18" s="3">
        <f>ROUND(DZ18*基本シート!$C$3,0)</f>
        <v>242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0.01</v>
      </c>
      <c r="EJ18" s="3">
        <v>0.11</v>
      </c>
      <c r="EK18" s="3">
        <v>1.43</v>
      </c>
      <c r="EL18" s="3">
        <v>3.31</v>
      </c>
      <c r="EM18" s="3">
        <v>1.54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0.03</v>
      </c>
      <c r="EX18" s="3">
        <v>0.03</v>
      </c>
      <c r="EY18" s="3">
        <v>0.04</v>
      </c>
      <c r="EZ18" s="3">
        <f t="shared" si="11"/>
        <v>6.830000000000001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0.02</v>
      </c>
      <c r="FP18" s="3">
        <v>0.46</v>
      </c>
      <c r="FQ18" s="3">
        <v>2.09</v>
      </c>
      <c r="FR18" s="3">
        <v>2.4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4.97</v>
      </c>
      <c r="FZ18" s="3">
        <v>0.81</v>
      </c>
      <c r="GA18" s="3">
        <v>0.88</v>
      </c>
      <c r="GB18" s="3">
        <v>0.76</v>
      </c>
      <c r="GC18" s="3">
        <v>0.87</v>
      </c>
      <c r="GD18" s="3">
        <v>1.02</v>
      </c>
      <c r="GE18" s="3">
        <v>0.9</v>
      </c>
      <c r="GF18" s="3">
        <v>0.98</v>
      </c>
      <c r="GG18" s="3">
        <v>0.95</v>
      </c>
      <c r="GH18" s="3">
        <v>0.89</v>
      </c>
      <c r="GI18" s="3">
        <v>0.78</v>
      </c>
      <c r="GJ18" s="3">
        <v>0.73</v>
      </c>
      <c r="GK18" s="3">
        <v>0.67</v>
      </c>
      <c r="GL18" s="3">
        <v>0.82</v>
      </c>
      <c r="GM18" s="3">
        <v>0.67</v>
      </c>
      <c r="GN18" s="3">
        <v>0.71</v>
      </c>
      <c r="GO18" s="3">
        <v>0.7</v>
      </c>
      <c r="GP18" s="3">
        <v>2.1</v>
      </c>
      <c r="GQ18" s="3">
        <v>3.63</v>
      </c>
      <c r="GR18" s="3">
        <v>3.47</v>
      </c>
      <c r="GS18" s="3">
        <v>2.5</v>
      </c>
      <c r="GT18" s="3">
        <v>0.93</v>
      </c>
      <c r="GU18" s="3">
        <v>1.19</v>
      </c>
      <c r="GV18" s="3">
        <v>1.5</v>
      </c>
      <c r="GW18" s="3">
        <v>0.88</v>
      </c>
      <c r="GX18" s="3">
        <f t="shared" si="13"/>
        <v>29.34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177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 t="s">
        <v>298</v>
      </c>
      <c r="G19" s="6" t="s">
        <v>296</v>
      </c>
      <c r="H19" s="3">
        <v>0.98</v>
      </c>
      <c r="I19" s="3">
        <f>IF($E19="〇",H19*基本シート!$E$2,H19*VLOOKUP(LEFT(I$6,FIND("(",I$6)-1),基本シート!$B$6:$C$29,2,FALSE))</f>
        <v>29.262799999999999</v>
      </c>
      <c r="J19" s="3">
        <v>0.99</v>
      </c>
      <c r="K19" s="3">
        <f>IF($E19="〇",J19*基本シート!$E$2,J19*VLOOKUP(LEFT(K$6,FIND("(",K$6)-1),基本シート!$B$6:$C$29,2,FALSE))</f>
        <v>29.561399999999999</v>
      </c>
      <c r="L19" s="3">
        <v>0.89</v>
      </c>
      <c r="M19" s="3">
        <f>IF($E19="〇",L19*基本シート!$E$2,L19*VLOOKUP(LEFT(M$6,FIND("(",M$6)-1),基本シート!$B$6:$C$29,2,FALSE))</f>
        <v>26.575399999999998</v>
      </c>
      <c r="N19" s="3">
        <v>1.04</v>
      </c>
      <c r="O19" s="3">
        <f>IF($E19="〇",N19*基本シート!$E$2,N19*VLOOKUP(LEFT(O$6,FIND("(",O$6)-1),基本シート!$B$6:$C$29,2,FALSE))</f>
        <v>31.054400000000001</v>
      </c>
      <c r="P19" s="3">
        <v>1.1399999999999999</v>
      </c>
      <c r="Q19" s="3">
        <f>IF($E19="〇",P19*基本シート!$E$2,P19*VLOOKUP(LEFT(Q$6,FIND("(",Q$6)-1),基本シート!$B$6:$C$29,2,FALSE))</f>
        <v>34.040399999999998</v>
      </c>
      <c r="R19" s="3">
        <v>1.3</v>
      </c>
      <c r="S19" s="3">
        <f>IF($E19="〇",R19*基本シート!$E$2,R19*VLOOKUP(LEFT(S$6,FIND("(",S$6)-1),基本シート!$B$6:$C$29,2,FALSE))</f>
        <v>38.817999999999998</v>
      </c>
      <c r="T19" s="3">
        <v>1.27</v>
      </c>
      <c r="U19" s="3">
        <f>IF($E19="〇",T19*基本シート!$E$2,T19*VLOOKUP(LEFT(U$6,FIND("(",U$6)-1),基本シート!$B$6:$C$29,2,FALSE))</f>
        <v>37.922199999999997</v>
      </c>
      <c r="V19" s="3">
        <v>0.86</v>
      </c>
      <c r="W19" s="3">
        <f>IF($E19="〇",V19*基本シート!$E$2,V19*VLOOKUP(LEFT(W$6,FIND("(",W$6)-1),基本シート!$B$6:$C$29,2,FALSE))</f>
        <v>31.6996</v>
      </c>
      <c r="X19" s="3">
        <v>0.06</v>
      </c>
      <c r="Y19" s="3">
        <f>IF($E19="〇",X19*基本シート!$E$2,X19*VLOOKUP(LEFT(Y$6,FIND("(",Y$6)-1),基本シート!$B$6:$C$29,2,FALSE))</f>
        <v>2.2115999999999998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1.0900000000000001</v>
      </c>
      <c r="AQ19" s="3">
        <f>IF($E19="〇",AP19*基本シート!$E$2,AP19*VLOOKUP(LEFT(AQ$6,FIND("(",AQ$6)-1),基本シート!$B$6:$C$29,2,FALSE))</f>
        <v>40.177400000000006</v>
      </c>
      <c r="AR19" s="3">
        <v>0.61</v>
      </c>
      <c r="AS19" s="3">
        <f>IF($E19="〇",AR19*基本シート!$E$2,AR19*VLOOKUP(LEFT(AS$6,FIND("(",AS$6)-1),基本シート!$B$6:$C$29,2,FALSE))</f>
        <v>22.4846</v>
      </c>
      <c r="AT19" s="3">
        <v>1.02</v>
      </c>
      <c r="AU19" s="3">
        <f>IF($E19="〇",AT19*基本シート!$E$2,AT19*VLOOKUP(LEFT(AU$6,FIND("(",AU$6)-1),基本シート!$B$6:$C$29,2,FALSE))</f>
        <v>37.597200000000001</v>
      </c>
      <c r="AV19" s="3">
        <v>1.02</v>
      </c>
      <c r="AW19" s="3">
        <f>IF($E19="〇",AV19*基本シート!$E$2,AV19*VLOOKUP(LEFT(AW$6,FIND("(",AW$6)-1),基本シート!$B$6:$C$29,2,FALSE))</f>
        <v>37.597200000000001</v>
      </c>
      <c r="AX19" s="3">
        <v>1.0900000000000001</v>
      </c>
      <c r="AY19" s="3">
        <f>IF($E19="〇",AX19*基本シート!$E$2,AX19*VLOOKUP(LEFT(AY$6,FIND("(",AY$6)-1),基本シート!$B$6:$C$29,2,FALSE))</f>
        <v>32.547400000000003</v>
      </c>
      <c r="AZ19" s="3">
        <v>1.1399999999999999</v>
      </c>
      <c r="BA19" s="3">
        <f>IF($E19="〇",AZ19*基本シート!$E$2,AZ19*VLOOKUP(LEFT(BA$6,FIND("(",BA$6)-1),基本シート!$B$6:$C$29,2,FALSE))</f>
        <v>34.040399999999998</v>
      </c>
      <c r="BB19" s="3">
        <v>1.1100000000000001</v>
      </c>
      <c r="BC19" s="3">
        <f>IF($E19="〇",BB19*基本シート!$E$2,BB19*VLOOKUP(LEFT(BC$6,FIND("(",BC$6)-1),基本シート!$B$6:$C$29,2,FALSE))</f>
        <v>33.144600000000004</v>
      </c>
      <c r="BD19" s="3">
        <f t="shared" si="7"/>
        <v>15.609999999999998</v>
      </c>
      <c r="BE19" s="3">
        <f t="shared" si="8"/>
        <v>499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0.24</v>
      </c>
      <c r="BN19" s="3">
        <v>2.11</v>
      </c>
      <c r="BO19" s="3">
        <v>4.17</v>
      </c>
      <c r="BP19" s="3">
        <v>5.25</v>
      </c>
      <c r="BQ19" s="3">
        <v>4.83</v>
      </c>
      <c r="BR19" s="3">
        <v>4.9800000000000004</v>
      </c>
      <c r="BS19" s="3">
        <v>3.23</v>
      </c>
      <c r="BT19" s="3">
        <v>1.05</v>
      </c>
      <c r="BU19" s="3">
        <v>0.21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0.03</v>
      </c>
      <c r="CU19" s="3">
        <f>CT19*基本シート!$C$3</f>
        <v>0.48</v>
      </c>
      <c r="CV19" s="3">
        <v>0.65</v>
      </c>
      <c r="CW19" s="3">
        <f>CV19*基本シート!$C$3</f>
        <v>10.4</v>
      </c>
      <c r="CX19" s="3">
        <v>2.5099999999999998</v>
      </c>
      <c r="CY19" s="3">
        <f>CX19*基本シート!$C$3</f>
        <v>40.159999999999997</v>
      </c>
      <c r="CZ19" s="3">
        <v>4.2300000000000004</v>
      </c>
      <c r="DA19" s="3">
        <f>CZ19*基本シート!$C$3</f>
        <v>67.680000000000007</v>
      </c>
      <c r="DB19" s="3">
        <v>4.3</v>
      </c>
      <c r="DC19" s="3">
        <f>DB19*基本シート!$C$3</f>
        <v>68.8</v>
      </c>
      <c r="DD19" s="3">
        <v>2.59</v>
      </c>
      <c r="DE19" s="3">
        <f>DD19*基本シート!$C$3</f>
        <v>41.44</v>
      </c>
      <c r="DF19" s="3">
        <v>0.47</v>
      </c>
      <c r="DG19" s="3">
        <f>DF19*基本シート!$C$3</f>
        <v>7.52</v>
      </c>
      <c r="DH19" s="3">
        <v>0.01</v>
      </c>
      <c r="DI19" s="3">
        <f>DH19*基本シート!$C$3</f>
        <v>0.16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14.799999999999999</v>
      </c>
      <c r="EA19" s="3">
        <f>ROUND(DZ19*基本シート!$C$3,0)</f>
        <v>237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0.03</v>
      </c>
      <c r="EI19" s="3">
        <v>0.04</v>
      </c>
      <c r="EJ19" s="3">
        <v>1.19</v>
      </c>
      <c r="EK19" s="3">
        <v>2.75</v>
      </c>
      <c r="EL19" s="3">
        <v>2.08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0.03</v>
      </c>
      <c r="EU19" s="3">
        <v>0.03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1"/>
        <v>6.5400000000000009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0.01</v>
      </c>
      <c r="FM19" s="3">
        <v>0.01</v>
      </c>
      <c r="FN19" s="3">
        <v>0</v>
      </c>
      <c r="FO19" s="3">
        <v>0.02</v>
      </c>
      <c r="FP19" s="3">
        <v>0.91</v>
      </c>
      <c r="FQ19" s="3">
        <v>2.76</v>
      </c>
      <c r="FR19" s="3">
        <v>1.39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5.0999999999999996</v>
      </c>
      <c r="FZ19" s="3">
        <v>0.94</v>
      </c>
      <c r="GA19" s="3">
        <v>0.95</v>
      </c>
      <c r="GB19" s="3">
        <v>0.85</v>
      </c>
      <c r="GC19" s="3">
        <v>1</v>
      </c>
      <c r="GD19" s="3">
        <v>1.1000000000000001</v>
      </c>
      <c r="GE19" s="3">
        <v>1.27</v>
      </c>
      <c r="GF19" s="3">
        <v>1.24</v>
      </c>
      <c r="GG19" s="3">
        <v>1.06</v>
      </c>
      <c r="GH19" s="3">
        <v>0.95</v>
      </c>
      <c r="GI19" s="3">
        <v>0.77</v>
      </c>
      <c r="GJ19" s="3">
        <v>0.66</v>
      </c>
      <c r="GK19" s="3">
        <v>0.61</v>
      </c>
      <c r="GL19" s="3">
        <v>0.69</v>
      </c>
      <c r="GM19" s="3">
        <v>0.64</v>
      </c>
      <c r="GN19" s="3">
        <v>0.6</v>
      </c>
      <c r="GO19" s="3">
        <v>1.1100000000000001</v>
      </c>
      <c r="GP19" s="3">
        <v>2.75</v>
      </c>
      <c r="GQ19" s="3">
        <v>2.48</v>
      </c>
      <c r="GR19" s="3">
        <v>0.57999999999999996</v>
      </c>
      <c r="GS19" s="3">
        <v>0.99</v>
      </c>
      <c r="GT19" s="3">
        <v>0.98</v>
      </c>
      <c r="GU19" s="3">
        <v>1.05</v>
      </c>
      <c r="GV19" s="3">
        <v>1.1000000000000001</v>
      </c>
      <c r="GW19" s="3">
        <v>1.07</v>
      </c>
      <c r="GX19" s="3">
        <f t="shared" si="13"/>
        <v>25.439999999999998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178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 t="s">
        <v>296</v>
      </c>
      <c r="G20" s="6" t="s">
        <v>298</v>
      </c>
      <c r="H20" s="3">
        <v>0.67</v>
      </c>
      <c r="I20" s="3">
        <f>IF($E20="〇",H20*基本シート!$E$2,H20*VLOOKUP(LEFT(I$6,FIND("(",I$6)-1),基本シート!$B$6:$C$29,2,FALSE))</f>
        <v>20.0062</v>
      </c>
      <c r="J20" s="3">
        <v>0.96</v>
      </c>
      <c r="K20" s="3">
        <f>IF($E20="〇",J20*基本シート!$E$2,J20*VLOOKUP(LEFT(K$6,FIND("(",K$6)-1),基本シート!$B$6:$C$29,2,FALSE))</f>
        <v>28.665599999999998</v>
      </c>
      <c r="L20" s="3">
        <v>1</v>
      </c>
      <c r="M20" s="3">
        <f>IF($E20="〇",L20*基本シート!$E$2,L20*VLOOKUP(LEFT(M$6,FIND("(",M$6)-1),基本シート!$B$6:$C$29,2,FALSE))</f>
        <v>29.86</v>
      </c>
      <c r="N20" s="3">
        <v>1.06</v>
      </c>
      <c r="O20" s="3">
        <f>IF($E20="〇",N20*基本シート!$E$2,N20*VLOOKUP(LEFT(O$6,FIND("(",O$6)-1),基本シート!$B$6:$C$29,2,FALSE))</f>
        <v>31.651600000000002</v>
      </c>
      <c r="P20" s="3">
        <v>1.63</v>
      </c>
      <c r="Q20" s="3">
        <f>IF($E20="〇",P20*基本シート!$E$2,P20*VLOOKUP(LEFT(Q$6,FIND("(",Q$6)-1),基本シート!$B$6:$C$29,2,FALSE))</f>
        <v>48.671799999999998</v>
      </c>
      <c r="R20" s="3">
        <v>0.94</v>
      </c>
      <c r="S20" s="3">
        <f>IF($E20="〇",R20*基本シート!$E$2,R20*VLOOKUP(LEFT(S$6,FIND("(",S$6)-1),基本シート!$B$6:$C$29,2,FALSE))</f>
        <v>28.068399999999997</v>
      </c>
      <c r="T20" s="3">
        <v>0.99</v>
      </c>
      <c r="U20" s="3">
        <f>IF($E20="〇",T20*基本シート!$E$2,T20*VLOOKUP(LEFT(U$6,FIND("(",U$6)-1),基本シート!$B$6:$C$29,2,FALSE))</f>
        <v>29.561399999999999</v>
      </c>
      <c r="V20" s="3">
        <v>1.87</v>
      </c>
      <c r="W20" s="3">
        <f>IF($E20="〇",V20*基本シート!$E$2,V20*VLOOKUP(LEFT(W$6,FIND("(",W$6)-1),基本シート!$B$6:$C$29,2,FALSE))</f>
        <v>55.838200000000001</v>
      </c>
      <c r="X20" s="3">
        <v>0.34</v>
      </c>
      <c r="Y20" s="3">
        <f>IF($E20="〇",X20*基本シート!$E$2,X20*VLOOKUP(LEFT(Y$6,FIND("(",Y$6)-1),基本シート!$B$6:$C$29,2,FALSE))</f>
        <v>10.1524</v>
      </c>
      <c r="Z20" s="3">
        <v>0.01</v>
      </c>
      <c r="AA20" s="3">
        <f>IF($E20="〇",Z20*基本シート!$E$2,Z20*VLOOKUP(LEFT(AA$6,FIND("(",AA$6)-1),基本シート!$B$6:$C$29,2,FALSE))</f>
        <v>0.29859999999999998</v>
      </c>
      <c r="AB20" s="3">
        <v>0.01</v>
      </c>
      <c r="AC20" s="3">
        <f>IF($E20="〇",AB20*基本シート!$E$2,AB20*VLOOKUP(LEFT(AC$6,FIND("(",AC$6)-1),基本シート!$B$6:$C$29,2,FALSE))</f>
        <v>0.29859999999999998</v>
      </c>
      <c r="AD20" s="3">
        <v>0.01</v>
      </c>
      <c r="AE20" s="3">
        <f>IF($E20="〇",AD20*基本シート!$E$2,AD20*VLOOKUP(LEFT(AE$6,FIND("(",AE$6)-1),基本シート!$B$6:$C$29,2,FALSE))</f>
        <v>0.29859999999999998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0.13</v>
      </c>
      <c r="AO20" s="3">
        <f>IF($E20="〇",AN20*基本シート!$E$2,AN20*VLOOKUP(LEFT(AO$6,FIND("(",AO$6)-1),基本シート!$B$6:$C$29,2,FALSE))</f>
        <v>3.8818000000000001</v>
      </c>
      <c r="AP20" s="3">
        <v>3.18</v>
      </c>
      <c r="AQ20" s="3">
        <f>IF($E20="〇",AP20*基本シート!$E$2,AP20*VLOOKUP(LEFT(AQ$6,FIND("(",AQ$6)-1),基本シート!$B$6:$C$29,2,FALSE))</f>
        <v>94.954800000000006</v>
      </c>
      <c r="AR20" s="3">
        <v>3.6</v>
      </c>
      <c r="AS20" s="3">
        <f>IF($E20="〇",AR20*基本シート!$E$2,AR20*VLOOKUP(LEFT(AS$6,FIND("(",AS$6)-1),基本シート!$B$6:$C$29,2,FALSE))</f>
        <v>107.496</v>
      </c>
      <c r="AT20" s="3">
        <v>2.31</v>
      </c>
      <c r="AU20" s="3">
        <f>IF($E20="〇",AT20*基本シート!$E$2,AT20*VLOOKUP(LEFT(AU$6,FIND("(",AU$6)-1),基本シート!$B$6:$C$29,2,FALSE))</f>
        <v>68.976600000000005</v>
      </c>
      <c r="AV20" s="3">
        <v>1.22</v>
      </c>
      <c r="AW20" s="3">
        <f>IF($E20="〇",AV20*基本シート!$E$2,AV20*VLOOKUP(LEFT(AW$6,FIND("(",AW$6)-1),基本シート!$B$6:$C$29,2,FALSE))</f>
        <v>36.429200000000002</v>
      </c>
      <c r="AX20" s="3">
        <v>1.3</v>
      </c>
      <c r="AY20" s="3">
        <f>IF($E20="〇",AX20*基本シート!$E$2,AX20*VLOOKUP(LEFT(AY$6,FIND("(",AY$6)-1),基本シート!$B$6:$C$29,2,FALSE))</f>
        <v>38.817999999999998</v>
      </c>
      <c r="AZ20" s="3">
        <v>1</v>
      </c>
      <c r="BA20" s="3">
        <f>IF($E20="〇",AZ20*基本シート!$E$2,AZ20*VLOOKUP(LEFT(BA$6,FIND("(",BA$6)-1),基本シート!$B$6:$C$29,2,FALSE))</f>
        <v>29.86</v>
      </c>
      <c r="BB20" s="3">
        <v>0.96</v>
      </c>
      <c r="BC20" s="3">
        <f>IF($E20="〇",BB20*基本シート!$E$2,BB20*VLOOKUP(LEFT(BC$6,FIND("(",BC$6)-1),基本シート!$B$6:$C$29,2,FALSE))</f>
        <v>28.665599999999998</v>
      </c>
      <c r="BD20" s="3">
        <f t="shared" si="7"/>
        <v>23.19</v>
      </c>
      <c r="BE20" s="3">
        <f t="shared" si="8"/>
        <v>692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0.3</v>
      </c>
      <c r="BN20" s="3">
        <v>0.69</v>
      </c>
      <c r="BO20" s="3">
        <v>3.81</v>
      </c>
      <c r="BP20" s="3">
        <v>3.81</v>
      </c>
      <c r="BQ20" s="3">
        <v>4.4800000000000004</v>
      </c>
      <c r="BR20" s="3">
        <v>4.8600000000000003</v>
      </c>
      <c r="BS20" s="3">
        <v>3.91</v>
      </c>
      <c r="BT20" s="3">
        <v>3.18</v>
      </c>
      <c r="BU20" s="3">
        <v>0.27</v>
      </c>
      <c r="BV20" s="3">
        <v>0.01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1.23</v>
      </c>
      <c r="CW20" s="3">
        <f>CV20*基本シート!$C$3</f>
        <v>19.68</v>
      </c>
      <c r="CX20" s="3">
        <v>0.6</v>
      </c>
      <c r="CY20" s="3">
        <f>CX20*基本シート!$C$3</f>
        <v>9.6</v>
      </c>
      <c r="CZ20" s="3">
        <v>0.57999999999999996</v>
      </c>
      <c r="DA20" s="3">
        <f>CZ20*基本シート!$C$3</f>
        <v>9.2799999999999994</v>
      </c>
      <c r="DB20" s="3">
        <v>4.03</v>
      </c>
      <c r="DC20" s="3">
        <f>DB20*基本シート!$C$3</f>
        <v>64.48</v>
      </c>
      <c r="DD20" s="3">
        <v>3.24</v>
      </c>
      <c r="DE20" s="3">
        <f>DD20*基本シート!$C$3</f>
        <v>51.84</v>
      </c>
      <c r="DF20" s="3">
        <v>2.33</v>
      </c>
      <c r="DG20" s="3">
        <f>DF20*基本シート!$C$3</f>
        <v>37.28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12.01</v>
      </c>
      <c r="EA20" s="3">
        <f>ROUND(DZ20*基本シート!$C$3,0)</f>
        <v>192</v>
      </c>
      <c r="EB20" s="3">
        <v>0.04</v>
      </c>
      <c r="EC20" s="3">
        <v>0.04</v>
      </c>
      <c r="ED20" s="3">
        <v>0.04</v>
      </c>
      <c r="EE20" s="3">
        <v>0.04</v>
      </c>
      <c r="EF20" s="3">
        <v>0.03</v>
      </c>
      <c r="EG20" s="3">
        <v>0.04</v>
      </c>
      <c r="EH20" s="3">
        <v>0.03</v>
      </c>
      <c r="EI20" s="3">
        <v>0.02</v>
      </c>
      <c r="EJ20" s="3">
        <v>0.06</v>
      </c>
      <c r="EK20" s="3">
        <v>1.53</v>
      </c>
      <c r="EL20" s="3">
        <v>2.41</v>
      </c>
      <c r="EM20" s="3">
        <v>2.1800000000000002</v>
      </c>
      <c r="EN20" s="3">
        <v>0.02</v>
      </c>
      <c r="EO20" s="3">
        <v>0</v>
      </c>
      <c r="EP20" s="3">
        <v>0</v>
      </c>
      <c r="EQ20" s="3">
        <v>0</v>
      </c>
      <c r="ER20" s="3">
        <v>0</v>
      </c>
      <c r="ES20" s="3">
        <v>0.03</v>
      </c>
      <c r="ET20" s="3">
        <v>0.04</v>
      </c>
      <c r="EU20" s="3">
        <v>0.03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6.7400000000000011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0.16</v>
      </c>
      <c r="FP20" s="3">
        <v>2.5499999999999998</v>
      </c>
      <c r="FQ20" s="3">
        <v>2.44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5.15</v>
      </c>
      <c r="FZ20" s="3">
        <v>0.63</v>
      </c>
      <c r="GA20" s="3">
        <v>0.92</v>
      </c>
      <c r="GB20" s="3">
        <v>0.96</v>
      </c>
      <c r="GC20" s="3">
        <v>1.02</v>
      </c>
      <c r="GD20" s="3">
        <v>1.6</v>
      </c>
      <c r="GE20" s="3">
        <v>0.9</v>
      </c>
      <c r="GF20" s="3">
        <v>0.96</v>
      </c>
      <c r="GG20" s="3">
        <v>2.15</v>
      </c>
      <c r="GH20" s="3">
        <v>0.97</v>
      </c>
      <c r="GI20" s="3">
        <v>1.06</v>
      </c>
      <c r="GJ20" s="3">
        <v>0.81</v>
      </c>
      <c r="GK20" s="3">
        <v>1.73</v>
      </c>
      <c r="GL20" s="3">
        <v>0.81</v>
      </c>
      <c r="GM20" s="3">
        <v>0.67</v>
      </c>
      <c r="GN20" s="3">
        <v>1.01</v>
      </c>
      <c r="GO20" s="3">
        <v>2.82</v>
      </c>
      <c r="GP20" s="3">
        <v>2.58</v>
      </c>
      <c r="GQ20" s="3">
        <v>3.15</v>
      </c>
      <c r="GR20" s="3">
        <v>3.56</v>
      </c>
      <c r="GS20" s="3">
        <v>2.2799999999999998</v>
      </c>
      <c r="GT20" s="3">
        <v>1.18</v>
      </c>
      <c r="GU20" s="3">
        <v>1.26</v>
      </c>
      <c r="GV20" s="3">
        <v>0.96</v>
      </c>
      <c r="GW20" s="3">
        <v>0.92</v>
      </c>
      <c r="GX20" s="3">
        <f t="shared" si="13"/>
        <v>34.910000000000004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179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 t="s">
        <v>296</v>
      </c>
      <c r="G21" s="6" t="s">
        <v>366</v>
      </c>
      <c r="H21" s="3">
        <v>0.88</v>
      </c>
      <c r="I21" s="3">
        <f>IF($E21="〇",H21*基本シート!$E$2,H21*VLOOKUP(LEFT(I$6,FIND("(",I$6)-1),基本シート!$B$6:$C$29,2,FALSE))</f>
        <v>26.276799999999998</v>
      </c>
      <c r="J21" s="3">
        <v>0.75</v>
      </c>
      <c r="K21" s="3">
        <f>IF($E21="〇",J21*基本シート!$E$2,J21*VLOOKUP(LEFT(K$6,FIND("(",K$6)-1),基本シート!$B$6:$C$29,2,FALSE))</f>
        <v>22.395</v>
      </c>
      <c r="L21" s="3">
        <v>0.99</v>
      </c>
      <c r="M21" s="3">
        <f>IF($E21="〇",L21*基本シート!$E$2,L21*VLOOKUP(LEFT(M$6,FIND("(",M$6)-1),基本シート!$B$6:$C$29,2,FALSE))</f>
        <v>29.561399999999999</v>
      </c>
      <c r="N21" s="3">
        <v>0.97</v>
      </c>
      <c r="O21" s="3">
        <f>IF($E21="〇",N21*基本シート!$E$2,N21*VLOOKUP(LEFT(O$6,FIND("(",O$6)-1),基本シート!$B$6:$C$29,2,FALSE))</f>
        <v>28.964199999999998</v>
      </c>
      <c r="P21" s="3">
        <v>1.05</v>
      </c>
      <c r="Q21" s="3">
        <f>IF($E21="〇",P21*基本シート!$E$2,P21*VLOOKUP(LEFT(Q$6,FIND("(",Q$6)-1),基本シート!$B$6:$C$29,2,FALSE))</f>
        <v>31.353000000000002</v>
      </c>
      <c r="R21" s="3">
        <v>0.94</v>
      </c>
      <c r="S21" s="3">
        <f>IF($E21="〇",R21*基本シート!$E$2,R21*VLOOKUP(LEFT(S$6,FIND("(",S$6)-1),基本シート!$B$6:$C$29,2,FALSE))</f>
        <v>28.068399999999997</v>
      </c>
      <c r="T21" s="3">
        <v>1.18</v>
      </c>
      <c r="U21" s="3">
        <f>IF($E21="〇",T21*基本シート!$E$2,T21*VLOOKUP(LEFT(U$6,FIND("(",U$6)-1),基本シート!$B$6:$C$29,2,FALSE))</f>
        <v>35.2348</v>
      </c>
      <c r="V21" s="3">
        <v>1.1200000000000001</v>
      </c>
      <c r="W21" s="3">
        <f>IF($E21="〇",V21*基本シート!$E$2,V21*VLOOKUP(LEFT(W$6,FIND("(",W$6)-1),基本シート!$B$6:$C$29,2,FALSE))</f>
        <v>33.443200000000004</v>
      </c>
      <c r="X21" s="3">
        <v>0.94</v>
      </c>
      <c r="Y21" s="3">
        <f>IF($E21="〇",X21*基本シート!$E$2,X21*VLOOKUP(LEFT(Y$6,FIND("(",Y$6)-1),基本シート!$B$6:$C$29,2,FALSE))</f>
        <v>28.068399999999997</v>
      </c>
      <c r="Z21" s="3">
        <v>0.68</v>
      </c>
      <c r="AA21" s="3">
        <f>IF($E21="〇",Z21*基本シート!$E$2,Z21*VLOOKUP(LEFT(AA$6,FIND("(",AA$6)-1),基本シート!$B$6:$C$29,2,FALSE))</f>
        <v>20.3048</v>
      </c>
      <c r="AB21" s="3">
        <v>0.63</v>
      </c>
      <c r="AC21" s="3">
        <f>IF($E21="〇",AB21*基本シート!$E$2,AB21*VLOOKUP(LEFT(AC$6,FIND("(",AC$6)-1),基本シート!$B$6:$C$29,2,FALSE))</f>
        <v>18.811799999999998</v>
      </c>
      <c r="AD21" s="3">
        <v>0.86</v>
      </c>
      <c r="AE21" s="3">
        <f>IF($E21="〇",AD21*基本シート!$E$2,AD21*VLOOKUP(LEFT(AE$6,FIND("(",AE$6)-1),基本シート!$B$6:$C$29,2,FALSE))</f>
        <v>25.679600000000001</v>
      </c>
      <c r="AF21" s="3">
        <v>0.55000000000000004</v>
      </c>
      <c r="AG21" s="3">
        <f>IF($E21="〇",AF21*基本シート!$E$2,AF21*VLOOKUP(LEFT(AG$6,FIND("(",AG$6)-1),基本シート!$B$6:$C$29,2,FALSE))</f>
        <v>16.423000000000002</v>
      </c>
      <c r="AH21" s="3">
        <v>0.89</v>
      </c>
      <c r="AI21" s="3">
        <f>IF($E21="〇",AH21*基本シート!$E$2,AH21*VLOOKUP(LEFT(AI$6,FIND("(",AI$6)-1),基本シート!$B$6:$C$29,2,FALSE))</f>
        <v>26.575399999999998</v>
      </c>
      <c r="AJ21" s="3">
        <v>0.84</v>
      </c>
      <c r="AK21" s="3">
        <f>IF($E21="〇",AJ21*基本シート!$E$2,AJ21*VLOOKUP(LEFT(AK$6,FIND("(",AK$6)-1),基本シート!$B$6:$C$29,2,FALSE))</f>
        <v>25.0824</v>
      </c>
      <c r="AL21" s="3">
        <v>1.04</v>
      </c>
      <c r="AM21" s="3">
        <f>IF($E21="〇",AL21*基本シート!$E$2,AL21*VLOOKUP(LEFT(AM$6,FIND("(",AM$6)-1),基本シート!$B$6:$C$29,2,FALSE))</f>
        <v>31.054400000000001</v>
      </c>
      <c r="AN21" s="3">
        <v>2.99</v>
      </c>
      <c r="AO21" s="3">
        <f>IF($E21="〇",AN21*基本シート!$E$2,AN21*VLOOKUP(LEFT(AO$6,FIND("(",AO$6)-1),基本シート!$B$6:$C$29,2,FALSE))</f>
        <v>89.281400000000005</v>
      </c>
      <c r="AP21" s="3">
        <v>3.13</v>
      </c>
      <c r="AQ21" s="3">
        <f>IF($E21="〇",AP21*基本シート!$E$2,AP21*VLOOKUP(LEFT(AQ$6,FIND("(",AQ$6)-1),基本シート!$B$6:$C$29,2,FALSE))</f>
        <v>93.461799999999997</v>
      </c>
      <c r="AR21" s="3">
        <v>3.54</v>
      </c>
      <c r="AS21" s="3">
        <f>IF($E21="〇",AR21*基本シート!$E$2,AR21*VLOOKUP(LEFT(AS$6,FIND("(",AS$6)-1),基本シート!$B$6:$C$29,2,FALSE))</f>
        <v>105.70439999999999</v>
      </c>
      <c r="AT21" s="3">
        <v>2.65</v>
      </c>
      <c r="AU21" s="3">
        <f>IF($E21="〇",AT21*基本シート!$E$2,AT21*VLOOKUP(LEFT(AU$6,FIND("(",AU$6)-1),基本シート!$B$6:$C$29,2,FALSE))</f>
        <v>79.128999999999991</v>
      </c>
      <c r="AV21" s="3">
        <v>1.01</v>
      </c>
      <c r="AW21" s="3">
        <f>IF($E21="〇",AV21*基本シート!$E$2,AV21*VLOOKUP(LEFT(AW$6,FIND("(",AW$6)-1),基本シート!$B$6:$C$29,2,FALSE))</f>
        <v>30.1586</v>
      </c>
      <c r="AX21" s="3">
        <v>0.99</v>
      </c>
      <c r="AY21" s="3">
        <f>IF($E21="〇",AX21*基本シート!$E$2,AX21*VLOOKUP(LEFT(AY$6,FIND("(",AY$6)-1),基本シート!$B$6:$C$29,2,FALSE))</f>
        <v>29.561399999999999</v>
      </c>
      <c r="AZ21" s="3">
        <v>1.0900000000000001</v>
      </c>
      <c r="BA21" s="3">
        <f>IF($E21="〇",AZ21*基本シート!$E$2,AZ21*VLOOKUP(LEFT(BA$6,FIND("(",BA$6)-1),基本シート!$B$6:$C$29,2,FALSE))</f>
        <v>32.547400000000003</v>
      </c>
      <c r="BB21" s="3">
        <v>0.76</v>
      </c>
      <c r="BC21" s="3">
        <f>IF($E21="〇",BB21*基本シート!$E$2,BB21*VLOOKUP(LEFT(BC$6,FIND("(",BC$6)-1),基本シート!$B$6:$C$29,2,FALSE))</f>
        <v>22.6936</v>
      </c>
      <c r="BD21" s="3">
        <f t="shared" si="7"/>
        <v>30.470000000000002</v>
      </c>
      <c r="BE21" s="3">
        <f t="shared" si="8"/>
        <v>910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0.02</v>
      </c>
      <c r="BO21" s="3">
        <v>0.05</v>
      </c>
      <c r="BP21" s="3">
        <v>0.04</v>
      </c>
      <c r="BQ21" s="3">
        <v>0.04</v>
      </c>
      <c r="BR21" s="3">
        <v>0.02</v>
      </c>
      <c r="BS21" s="3">
        <v>0</v>
      </c>
      <c r="BT21" s="3">
        <v>0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0.03</v>
      </c>
      <c r="EC21" s="3">
        <v>0.04</v>
      </c>
      <c r="ED21" s="3">
        <v>0.04</v>
      </c>
      <c r="EE21" s="3">
        <v>0.04</v>
      </c>
      <c r="EF21" s="3">
        <v>0.03</v>
      </c>
      <c r="EG21" s="3">
        <v>0.04</v>
      </c>
      <c r="EH21" s="3">
        <v>0.04</v>
      </c>
      <c r="EI21" s="3">
        <v>0.03</v>
      </c>
      <c r="EJ21" s="3">
        <v>0.02</v>
      </c>
      <c r="EK21" s="3">
        <v>0.01</v>
      </c>
      <c r="EL21" s="3">
        <v>0.01</v>
      </c>
      <c r="EM21" s="3">
        <v>0</v>
      </c>
      <c r="EN21" s="3">
        <v>0.01</v>
      </c>
      <c r="EO21" s="3">
        <v>0.02</v>
      </c>
      <c r="EP21" s="3">
        <v>0.03</v>
      </c>
      <c r="EQ21" s="3">
        <v>0.03</v>
      </c>
      <c r="ER21" s="3">
        <v>0.04</v>
      </c>
      <c r="ES21" s="3">
        <v>0.03</v>
      </c>
      <c r="ET21" s="3">
        <v>0.04</v>
      </c>
      <c r="EU21" s="3">
        <v>0.04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0.85</v>
      </c>
      <c r="GA21" s="3">
        <v>0.71</v>
      </c>
      <c r="GB21" s="3">
        <v>0.95</v>
      </c>
      <c r="GC21" s="3">
        <v>0.93</v>
      </c>
      <c r="GD21" s="3">
        <v>1.02</v>
      </c>
      <c r="GE21" s="3">
        <v>0.9</v>
      </c>
      <c r="GF21" s="3">
        <v>1.1399999999999999</v>
      </c>
      <c r="GG21" s="3">
        <v>1.0900000000000001</v>
      </c>
      <c r="GH21" s="3">
        <v>0.94</v>
      </c>
      <c r="GI21" s="3">
        <v>0.72</v>
      </c>
      <c r="GJ21" s="3">
        <v>0.66</v>
      </c>
      <c r="GK21" s="3">
        <v>0.9</v>
      </c>
      <c r="GL21" s="3">
        <v>0.56000000000000005</v>
      </c>
      <c r="GM21" s="3">
        <v>0.87</v>
      </c>
      <c r="GN21" s="3">
        <v>0.81</v>
      </c>
      <c r="GO21" s="3">
        <v>1.01</v>
      </c>
      <c r="GP21" s="3">
        <v>2.95</v>
      </c>
      <c r="GQ21" s="3">
        <v>3.1</v>
      </c>
      <c r="GR21" s="3">
        <v>3.5</v>
      </c>
      <c r="GS21" s="3">
        <v>2.61</v>
      </c>
      <c r="GT21" s="3">
        <v>0.98</v>
      </c>
      <c r="GU21" s="3">
        <v>0.96</v>
      </c>
      <c r="GV21" s="3">
        <v>1.06</v>
      </c>
      <c r="GW21" s="3">
        <v>0.73</v>
      </c>
      <c r="GX21" s="3">
        <f t="shared" si="13"/>
        <v>29.950000000000003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180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 t="s">
        <v>298</v>
      </c>
      <c r="G22" s="6" t="s">
        <v>296</v>
      </c>
      <c r="H22" s="3">
        <v>0.72</v>
      </c>
      <c r="I22" s="3">
        <f>IF($E22="〇",H22*基本シート!$E$2,H22*VLOOKUP(LEFT(I$6,FIND("(",I$6)-1),基本シート!$B$6:$C$29,2,FALSE))</f>
        <v>21.499199999999998</v>
      </c>
      <c r="J22" s="3">
        <v>1.0900000000000001</v>
      </c>
      <c r="K22" s="3">
        <f>IF($E22="〇",J22*基本シート!$E$2,J22*VLOOKUP(LEFT(K$6,FIND("(",K$6)-1),基本シート!$B$6:$C$29,2,FALSE))</f>
        <v>32.547400000000003</v>
      </c>
      <c r="L22" s="3">
        <v>1.04</v>
      </c>
      <c r="M22" s="3">
        <f>IF($E22="〇",L22*基本シート!$E$2,L22*VLOOKUP(LEFT(M$6,FIND("(",M$6)-1),基本シート!$B$6:$C$29,2,FALSE))</f>
        <v>31.054400000000001</v>
      </c>
      <c r="N22" s="3">
        <v>1.1499999999999999</v>
      </c>
      <c r="O22" s="3">
        <f>IF($E22="〇",N22*基本シート!$E$2,N22*VLOOKUP(LEFT(O$6,FIND("(",O$6)-1),基本シート!$B$6:$C$29,2,FALSE))</f>
        <v>34.338999999999999</v>
      </c>
      <c r="P22" s="3">
        <v>1.1200000000000001</v>
      </c>
      <c r="Q22" s="3">
        <f>IF($E22="〇",P22*基本シート!$E$2,P22*VLOOKUP(LEFT(Q$6,FIND("(",Q$6)-1),基本シート!$B$6:$C$29,2,FALSE))</f>
        <v>33.443200000000004</v>
      </c>
      <c r="R22" s="3">
        <v>1.1200000000000001</v>
      </c>
      <c r="S22" s="3">
        <f>IF($E22="〇",R22*基本シート!$E$2,R22*VLOOKUP(LEFT(S$6,FIND("(",S$6)-1),基本シート!$B$6:$C$29,2,FALSE))</f>
        <v>33.443200000000004</v>
      </c>
      <c r="T22" s="3">
        <v>1.34</v>
      </c>
      <c r="U22" s="3">
        <f>IF($E22="〇",T22*基本シート!$E$2,T22*VLOOKUP(LEFT(U$6,FIND("(",U$6)-1),基本シート!$B$6:$C$29,2,FALSE))</f>
        <v>40.0124</v>
      </c>
      <c r="V22" s="3">
        <v>1.1100000000000001</v>
      </c>
      <c r="W22" s="3">
        <f>IF($E22="〇",V22*基本シート!$E$2,V22*VLOOKUP(LEFT(W$6,FIND("(",W$6)-1),基本シート!$B$6:$C$29,2,FALSE))</f>
        <v>40.9146</v>
      </c>
      <c r="X22" s="3">
        <v>0.92</v>
      </c>
      <c r="Y22" s="3">
        <f>IF($E22="〇",X22*基本シート!$E$2,X22*VLOOKUP(LEFT(Y$6,FIND("(",Y$6)-1),基本シート!$B$6:$C$29,2,FALSE))</f>
        <v>33.911200000000001</v>
      </c>
      <c r="Z22" s="3">
        <v>0.74</v>
      </c>
      <c r="AA22" s="3">
        <f>IF($E22="〇",Z22*基本シート!$E$2,Z22*VLOOKUP(LEFT(AA$6,FIND("(",AA$6)-1),基本シート!$B$6:$C$29,2,FALSE))</f>
        <v>27.276399999999999</v>
      </c>
      <c r="AB22" s="3">
        <v>0.59</v>
      </c>
      <c r="AC22" s="3">
        <f>IF($E22="〇",AB22*基本シート!$E$2,AB22*VLOOKUP(LEFT(AC$6,FIND("(",AC$6)-1),基本シート!$B$6:$C$29,2,FALSE))</f>
        <v>21.747399999999999</v>
      </c>
      <c r="AD22" s="3">
        <v>0.75</v>
      </c>
      <c r="AE22" s="3">
        <f>IF($E22="〇",AD22*基本シート!$E$2,AD22*VLOOKUP(LEFT(AE$6,FIND("(",AE$6)-1),基本シート!$B$6:$C$29,2,FALSE))</f>
        <v>27.645</v>
      </c>
      <c r="AF22" s="3">
        <v>0.66</v>
      </c>
      <c r="AG22" s="3">
        <f>IF($E22="〇",AF22*基本シート!$E$2,AF22*VLOOKUP(LEFT(AG$6,FIND("(",AG$6)-1),基本シート!$B$6:$C$29,2,FALSE))</f>
        <v>24.3276</v>
      </c>
      <c r="AH22" s="3">
        <v>1.1299999999999999</v>
      </c>
      <c r="AI22" s="3">
        <f>IF($E22="〇",AH22*基本シート!$E$2,AH22*VLOOKUP(LEFT(AI$6,FIND("(",AI$6)-1),基本シート!$B$6:$C$29,2,FALSE))</f>
        <v>41.651799999999994</v>
      </c>
      <c r="AJ22" s="3">
        <v>1.01</v>
      </c>
      <c r="AK22" s="3">
        <f>IF($E22="〇",AJ22*基本シート!$E$2,AJ22*VLOOKUP(LEFT(AK$6,FIND("(",AK$6)-1),基本シート!$B$6:$C$29,2,FALSE))</f>
        <v>37.2286</v>
      </c>
      <c r="AL22" s="3">
        <v>2.33</v>
      </c>
      <c r="AM22" s="3">
        <f>IF($E22="〇",AL22*基本シート!$E$2,AL22*VLOOKUP(LEFT(AM$6,FIND("(",AM$6)-1),基本シート!$B$6:$C$29,2,FALSE))</f>
        <v>85.883800000000008</v>
      </c>
      <c r="AN22" s="3">
        <v>2.64</v>
      </c>
      <c r="AO22" s="3">
        <f>IF($E22="〇",AN22*基本シート!$E$2,AN22*VLOOKUP(LEFT(AO$6,FIND("(",AO$6)-1),基本シート!$B$6:$C$29,2,FALSE))</f>
        <v>97.310400000000001</v>
      </c>
      <c r="AP22" s="3">
        <v>2.97</v>
      </c>
      <c r="AQ22" s="3">
        <f>IF($E22="〇",AP22*基本シート!$E$2,AP22*VLOOKUP(LEFT(AQ$6,FIND("(",AQ$6)-1),基本シート!$B$6:$C$29,2,FALSE))</f>
        <v>109.47420000000001</v>
      </c>
      <c r="AR22" s="3">
        <v>3.31</v>
      </c>
      <c r="AS22" s="3">
        <f>IF($E22="〇",AR22*基本シート!$E$2,AR22*VLOOKUP(LEFT(AS$6,FIND("(",AS$6)-1),基本シート!$B$6:$C$29,2,FALSE))</f>
        <v>122.00660000000001</v>
      </c>
      <c r="AT22" s="3">
        <v>2.5</v>
      </c>
      <c r="AU22" s="3">
        <f>IF($E22="〇",AT22*基本シート!$E$2,AT22*VLOOKUP(LEFT(AU$6,FIND("(",AU$6)-1),基本シート!$B$6:$C$29,2,FALSE))</f>
        <v>92.15</v>
      </c>
      <c r="AV22" s="3">
        <v>1.46</v>
      </c>
      <c r="AW22" s="3">
        <f>IF($E22="〇",AV22*基本シート!$E$2,AV22*VLOOKUP(LEFT(AW$6,FIND("(",AW$6)-1),基本シート!$B$6:$C$29,2,FALSE))</f>
        <v>53.815599999999996</v>
      </c>
      <c r="AX22" s="3">
        <v>1.55</v>
      </c>
      <c r="AY22" s="3">
        <f>IF($E22="〇",AX22*基本シート!$E$2,AX22*VLOOKUP(LEFT(AY$6,FIND("(",AY$6)-1),基本シート!$B$6:$C$29,2,FALSE))</f>
        <v>46.283000000000001</v>
      </c>
      <c r="AZ22" s="3">
        <v>0.98</v>
      </c>
      <c r="BA22" s="3">
        <f>IF($E22="〇",AZ22*基本シート!$E$2,AZ22*VLOOKUP(LEFT(BA$6,FIND("(",BA$6)-1),基本シート!$B$6:$C$29,2,FALSE))</f>
        <v>29.262799999999999</v>
      </c>
      <c r="BB22" s="3">
        <v>1.0900000000000001</v>
      </c>
      <c r="BC22" s="3">
        <f>IF($E22="〇",BB22*基本シート!$E$2,BB22*VLOOKUP(LEFT(BC$6,FIND("(",BC$6)-1),基本シート!$B$6:$C$29,2,FALSE))</f>
        <v>32.547400000000003</v>
      </c>
      <c r="BD22" s="3">
        <f t="shared" si="7"/>
        <v>33.32</v>
      </c>
      <c r="BE22" s="3">
        <f t="shared" si="8"/>
        <v>1150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0.03</v>
      </c>
      <c r="BP22" s="3">
        <v>0.06</v>
      </c>
      <c r="BQ22" s="3">
        <v>0.09</v>
      </c>
      <c r="BR22" s="3">
        <v>0.09</v>
      </c>
      <c r="BS22" s="3">
        <v>7.0000000000000007E-2</v>
      </c>
      <c r="BT22" s="3">
        <v>0.01</v>
      </c>
      <c r="BU22" s="3">
        <v>0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0.04</v>
      </c>
      <c r="EI22" s="3">
        <v>0.03</v>
      </c>
      <c r="EJ22" s="3">
        <v>0.01</v>
      </c>
      <c r="EK22" s="3">
        <v>0.02</v>
      </c>
      <c r="EL22" s="3">
        <v>0.01</v>
      </c>
      <c r="EM22" s="3">
        <v>0.01</v>
      </c>
      <c r="EN22" s="3">
        <v>0.01</v>
      </c>
      <c r="EO22" s="3">
        <v>0.01</v>
      </c>
      <c r="EP22" s="3">
        <v>0.01</v>
      </c>
      <c r="EQ22" s="3">
        <v>0.03</v>
      </c>
      <c r="ER22" s="3">
        <v>0.04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0.74000000000000032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</v>
      </c>
      <c r="FZ22" s="3">
        <v>0.68</v>
      </c>
      <c r="GA22" s="3">
        <v>1.05</v>
      </c>
      <c r="GB22" s="3">
        <v>1</v>
      </c>
      <c r="GC22" s="3">
        <v>1.1100000000000001</v>
      </c>
      <c r="GD22" s="3">
        <v>1.08</v>
      </c>
      <c r="GE22" s="3">
        <v>1.08</v>
      </c>
      <c r="GF22" s="3">
        <v>1.3</v>
      </c>
      <c r="GG22" s="3">
        <v>1.08</v>
      </c>
      <c r="GH22" s="3">
        <v>0.91</v>
      </c>
      <c r="GI22" s="3">
        <v>0.75</v>
      </c>
      <c r="GJ22" s="3">
        <v>0.64</v>
      </c>
      <c r="GK22" s="3">
        <v>0.83</v>
      </c>
      <c r="GL22" s="3">
        <v>0.74</v>
      </c>
      <c r="GM22" s="3">
        <v>1.19</v>
      </c>
      <c r="GN22" s="3">
        <v>1.01</v>
      </c>
      <c r="GO22" s="3">
        <v>2.2999999999999998</v>
      </c>
      <c r="GP22" s="3">
        <v>2.6</v>
      </c>
      <c r="GQ22" s="3">
        <v>2.93</v>
      </c>
      <c r="GR22" s="3">
        <v>3.27</v>
      </c>
      <c r="GS22" s="3">
        <v>2.46</v>
      </c>
      <c r="GT22" s="3">
        <v>1.42</v>
      </c>
      <c r="GU22" s="3">
        <v>1.51</v>
      </c>
      <c r="GV22" s="3">
        <v>0.94</v>
      </c>
      <c r="GW22" s="3">
        <v>1.05</v>
      </c>
      <c r="GX22" s="3">
        <f t="shared" si="13"/>
        <v>32.93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181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 t="s">
        <v>296</v>
      </c>
      <c r="G23" s="6" t="s">
        <v>298</v>
      </c>
      <c r="H23" s="3">
        <v>1.04</v>
      </c>
      <c r="I23" s="3">
        <f>IF($E23="〇",H23*基本シート!$E$2,H23*VLOOKUP(LEFT(I$6,FIND("(",I$6)-1),基本シート!$B$6:$C$29,2,FALSE))</f>
        <v>31.054400000000001</v>
      </c>
      <c r="J23" s="3">
        <v>1.05</v>
      </c>
      <c r="K23" s="3">
        <f>IF($E23="〇",J23*基本シート!$E$2,J23*VLOOKUP(LEFT(K$6,FIND("(",K$6)-1),基本シート!$B$6:$C$29,2,FALSE))</f>
        <v>31.353000000000002</v>
      </c>
      <c r="L23" s="3">
        <v>1.0900000000000001</v>
      </c>
      <c r="M23" s="3">
        <f>IF($E23="〇",L23*基本シート!$E$2,L23*VLOOKUP(LEFT(M$6,FIND("(",M$6)-1),基本シート!$B$6:$C$29,2,FALSE))</f>
        <v>32.547400000000003</v>
      </c>
      <c r="N23" s="3">
        <v>1.24</v>
      </c>
      <c r="O23" s="3">
        <f>IF($E23="〇",N23*基本シート!$E$2,N23*VLOOKUP(LEFT(O$6,FIND("(",O$6)-1),基本シート!$B$6:$C$29,2,FALSE))</f>
        <v>37.026400000000002</v>
      </c>
      <c r="P23" s="3">
        <v>1.32</v>
      </c>
      <c r="Q23" s="3">
        <f>IF($E23="〇",P23*基本シート!$E$2,P23*VLOOKUP(LEFT(Q$6,FIND("(",Q$6)-1),基本シート!$B$6:$C$29,2,FALSE))</f>
        <v>39.415199999999999</v>
      </c>
      <c r="R23" s="3">
        <v>1.1499999999999999</v>
      </c>
      <c r="S23" s="3">
        <f>IF($E23="〇",R23*基本シート!$E$2,R23*VLOOKUP(LEFT(S$6,FIND("(",S$6)-1),基本シート!$B$6:$C$29,2,FALSE))</f>
        <v>34.338999999999999</v>
      </c>
      <c r="T23" s="3">
        <v>1.3</v>
      </c>
      <c r="U23" s="3">
        <f>IF($E23="〇",T23*基本シート!$E$2,T23*VLOOKUP(LEFT(U$6,FIND("(",U$6)-1),基本シート!$B$6:$C$29,2,FALSE))</f>
        <v>38.817999999999998</v>
      </c>
      <c r="V23" s="3">
        <v>1.4</v>
      </c>
      <c r="W23" s="3">
        <f>IF($E23="〇",V23*基本シート!$E$2,V23*VLOOKUP(LEFT(W$6,FIND("(",W$6)-1),基本シート!$B$6:$C$29,2,FALSE))</f>
        <v>51.603999999999999</v>
      </c>
      <c r="X23" s="3">
        <v>0.66</v>
      </c>
      <c r="Y23" s="3">
        <f>IF($E23="〇",X23*基本シート!$E$2,X23*VLOOKUP(LEFT(Y$6,FIND("(",Y$6)-1),基本シート!$B$6:$C$29,2,FALSE))</f>
        <v>24.3276</v>
      </c>
      <c r="Z23" s="3">
        <v>0.99</v>
      </c>
      <c r="AA23" s="3">
        <f>IF($E23="〇",Z23*基本シート!$E$2,Z23*VLOOKUP(LEFT(AA$6,FIND("(",AA$6)-1),基本シート!$B$6:$C$29,2,FALSE))</f>
        <v>36.491399999999999</v>
      </c>
      <c r="AB23" s="3">
        <v>0.87</v>
      </c>
      <c r="AC23" s="3">
        <f>IF($E23="〇",AB23*基本シート!$E$2,AB23*VLOOKUP(LEFT(AC$6,FIND("(",AC$6)-1),基本シート!$B$6:$C$29,2,FALSE))</f>
        <v>32.068199999999997</v>
      </c>
      <c r="AD23" s="3">
        <v>0.76</v>
      </c>
      <c r="AE23" s="3">
        <f>IF($E23="〇",AD23*基本シート!$E$2,AD23*VLOOKUP(LEFT(AE$6,FIND("(",AE$6)-1),基本シート!$B$6:$C$29,2,FALSE))</f>
        <v>28.0136</v>
      </c>
      <c r="AF23" s="3">
        <v>0.5</v>
      </c>
      <c r="AG23" s="3">
        <f>IF($E23="〇",AF23*基本シート!$E$2,AF23*VLOOKUP(LEFT(AG$6,FIND("(",AG$6)-1),基本シート!$B$6:$C$29,2,FALSE))</f>
        <v>18.43</v>
      </c>
      <c r="AH23" s="3">
        <v>0.63</v>
      </c>
      <c r="AI23" s="3">
        <f>IF($E23="〇",AH23*基本シート!$E$2,AH23*VLOOKUP(LEFT(AI$6,FIND("(",AI$6)-1),基本シート!$B$6:$C$29,2,FALSE))</f>
        <v>23.221799999999998</v>
      </c>
      <c r="AJ23" s="3">
        <v>0.7</v>
      </c>
      <c r="AK23" s="3">
        <f>IF($E23="〇",AJ23*基本シート!$E$2,AJ23*VLOOKUP(LEFT(AK$6,FIND("(",AK$6)-1),基本シート!$B$6:$C$29,2,FALSE))</f>
        <v>25.802</v>
      </c>
      <c r="AL23" s="3">
        <v>2.7</v>
      </c>
      <c r="AM23" s="3">
        <f>IF($E23="〇",AL23*基本シート!$E$2,AL23*VLOOKUP(LEFT(AM$6,FIND("(",AM$6)-1),基本シート!$B$6:$C$29,2,FALSE))</f>
        <v>99.522000000000006</v>
      </c>
      <c r="AN23" s="3">
        <v>3</v>
      </c>
      <c r="AO23" s="3">
        <f>IF($E23="〇",AN23*基本シート!$E$2,AN23*VLOOKUP(LEFT(AO$6,FIND("(",AO$6)-1),基本シート!$B$6:$C$29,2,FALSE))</f>
        <v>110.58</v>
      </c>
      <c r="AP23" s="3">
        <v>3.33</v>
      </c>
      <c r="AQ23" s="3">
        <f>IF($E23="〇",AP23*基本シート!$E$2,AP23*VLOOKUP(LEFT(AQ$6,FIND("(",AQ$6)-1),基本シート!$B$6:$C$29,2,FALSE))</f>
        <v>122.74380000000001</v>
      </c>
      <c r="AR23" s="3">
        <v>3.91</v>
      </c>
      <c r="AS23" s="3">
        <f>IF($E23="〇",AR23*基本シート!$E$2,AR23*VLOOKUP(LEFT(AS$6,FIND("(",AS$6)-1),基本シート!$B$6:$C$29,2,FALSE))</f>
        <v>144.12260000000001</v>
      </c>
      <c r="AT23" s="3">
        <v>2.29</v>
      </c>
      <c r="AU23" s="3">
        <f>IF($E23="〇",AT23*基本シート!$E$2,AT23*VLOOKUP(LEFT(AU$6,FIND("(",AU$6)-1),基本シート!$B$6:$C$29,2,FALSE))</f>
        <v>84.409400000000005</v>
      </c>
      <c r="AV23" s="3">
        <v>1.79</v>
      </c>
      <c r="AW23" s="3">
        <f>IF($E23="〇",AV23*基本シート!$E$2,AV23*VLOOKUP(LEFT(AW$6,FIND("(",AW$6)-1),基本シート!$B$6:$C$29,2,FALSE))</f>
        <v>65.979399999999998</v>
      </c>
      <c r="AX23" s="3">
        <v>1.21</v>
      </c>
      <c r="AY23" s="3">
        <f>IF($E23="〇",AX23*基本シート!$E$2,AX23*VLOOKUP(LEFT(AY$6,FIND("(",AY$6)-1),基本シート!$B$6:$C$29,2,FALSE))</f>
        <v>36.130600000000001</v>
      </c>
      <c r="AZ23" s="3">
        <v>1.07</v>
      </c>
      <c r="BA23" s="3">
        <f>IF($E23="〇",AZ23*基本シート!$E$2,AZ23*VLOOKUP(LEFT(BA$6,FIND("(",BA$6)-1),基本シート!$B$6:$C$29,2,FALSE))</f>
        <v>31.950200000000002</v>
      </c>
      <c r="BB23" s="3">
        <v>0.97</v>
      </c>
      <c r="BC23" s="3">
        <f>IF($E23="〇",BB23*基本シート!$E$2,BB23*VLOOKUP(LEFT(BC$6,FIND("(",BC$6)-1),基本シート!$B$6:$C$29,2,FALSE))</f>
        <v>28.964199999999998</v>
      </c>
      <c r="BD23" s="3">
        <f t="shared" si="7"/>
        <v>34.97</v>
      </c>
      <c r="BE23" s="3">
        <f t="shared" si="8"/>
        <v>1209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0.01</v>
      </c>
      <c r="BO23" s="3">
        <v>7.0000000000000007E-2</v>
      </c>
      <c r="BP23" s="3">
        <v>0.1</v>
      </c>
      <c r="BQ23" s="3">
        <v>0.14000000000000001</v>
      </c>
      <c r="BR23" s="3">
        <v>0.15</v>
      </c>
      <c r="BS23" s="3">
        <v>0.09</v>
      </c>
      <c r="BT23" s="3">
        <v>0.02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0.04</v>
      </c>
      <c r="EI23" s="3">
        <v>0.02</v>
      </c>
      <c r="EJ23" s="3">
        <v>0.01</v>
      </c>
      <c r="EK23" s="3">
        <v>0.01</v>
      </c>
      <c r="EL23" s="3">
        <v>0.01</v>
      </c>
      <c r="EM23" s="3">
        <v>0.01</v>
      </c>
      <c r="EN23" s="3">
        <v>0.01</v>
      </c>
      <c r="EO23" s="3">
        <v>0.01</v>
      </c>
      <c r="EP23" s="3">
        <v>0.01</v>
      </c>
      <c r="EQ23" s="3">
        <v>0.03</v>
      </c>
      <c r="ER23" s="3">
        <v>0.03</v>
      </c>
      <c r="ES23" s="3">
        <v>0.03</v>
      </c>
      <c r="ET23" s="3">
        <v>0.04</v>
      </c>
      <c r="EU23" s="3">
        <v>0.03</v>
      </c>
      <c r="EV23" s="3">
        <v>0.04</v>
      </c>
      <c r="EW23" s="3">
        <v>0.04</v>
      </c>
      <c r="EX23" s="3">
        <v>0.03</v>
      </c>
      <c r="EY23" s="3">
        <v>0.04</v>
      </c>
      <c r="EZ23" s="3">
        <f t="shared" si="11"/>
        <v>0.68000000000000038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0</v>
      </c>
      <c r="FZ23" s="3">
        <v>1</v>
      </c>
      <c r="GA23" s="3">
        <v>1.01</v>
      </c>
      <c r="GB23" s="3">
        <v>1.05</v>
      </c>
      <c r="GC23" s="3">
        <v>1.2</v>
      </c>
      <c r="GD23" s="3">
        <v>1.28</v>
      </c>
      <c r="GE23" s="3">
        <v>1.1100000000000001</v>
      </c>
      <c r="GF23" s="3">
        <v>1.26</v>
      </c>
      <c r="GG23" s="3">
        <v>1.38</v>
      </c>
      <c r="GH23" s="3">
        <v>0.66</v>
      </c>
      <c r="GI23" s="3">
        <v>1.05</v>
      </c>
      <c r="GJ23" s="3">
        <v>0.96</v>
      </c>
      <c r="GK23" s="3">
        <v>0.89</v>
      </c>
      <c r="GL23" s="3">
        <v>0.64</v>
      </c>
      <c r="GM23" s="3">
        <v>0.71</v>
      </c>
      <c r="GN23" s="3">
        <v>0.71</v>
      </c>
      <c r="GO23" s="3">
        <v>2.67</v>
      </c>
      <c r="GP23" s="3">
        <v>2.97</v>
      </c>
      <c r="GQ23" s="3">
        <v>3.3</v>
      </c>
      <c r="GR23" s="3">
        <v>3.87</v>
      </c>
      <c r="GS23" s="3">
        <v>2.2599999999999998</v>
      </c>
      <c r="GT23" s="3">
        <v>1.75</v>
      </c>
      <c r="GU23" s="3">
        <v>1.17</v>
      </c>
      <c r="GV23" s="3">
        <v>1.04</v>
      </c>
      <c r="GW23" s="3">
        <v>0.93</v>
      </c>
      <c r="GX23" s="3">
        <f t="shared" si="13"/>
        <v>34.870000000000005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182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 t="s">
        <v>298</v>
      </c>
      <c r="G24" s="6" t="s">
        <v>298</v>
      </c>
      <c r="H24" s="3">
        <v>1.1299999999999999</v>
      </c>
      <c r="I24" s="3">
        <f>IF($E24="〇",H24*基本シート!$E$2,H24*VLOOKUP(LEFT(I$6,FIND("(",I$6)-1),基本シート!$B$6:$C$29,2,FALSE))</f>
        <v>33.741799999999998</v>
      </c>
      <c r="J24" s="3">
        <v>1.22</v>
      </c>
      <c r="K24" s="3">
        <f>IF($E24="〇",J24*基本シート!$E$2,J24*VLOOKUP(LEFT(K$6,FIND("(",K$6)-1),基本シート!$B$6:$C$29,2,FALSE))</f>
        <v>36.429200000000002</v>
      </c>
      <c r="L24" s="3">
        <v>1.06</v>
      </c>
      <c r="M24" s="3">
        <f>IF($E24="〇",L24*基本シート!$E$2,L24*VLOOKUP(LEFT(M$6,FIND("(",M$6)-1),基本シート!$B$6:$C$29,2,FALSE))</f>
        <v>31.651600000000002</v>
      </c>
      <c r="N24" s="3">
        <v>1.1599999999999999</v>
      </c>
      <c r="O24" s="3">
        <f>IF($E24="〇",N24*基本シート!$E$2,N24*VLOOKUP(LEFT(O$6,FIND("(",O$6)-1),基本シート!$B$6:$C$29,2,FALSE))</f>
        <v>34.637599999999999</v>
      </c>
      <c r="P24" s="3">
        <v>1.18</v>
      </c>
      <c r="Q24" s="3">
        <f>IF($E24="〇",P24*基本シート!$E$2,P24*VLOOKUP(LEFT(Q$6,FIND("(",Q$6)-1),基本シート!$B$6:$C$29,2,FALSE))</f>
        <v>35.2348</v>
      </c>
      <c r="R24" s="3">
        <v>1.17</v>
      </c>
      <c r="S24" s="3">
        <f>IF($E24="〇",R24*基本シート!$E$2,R24*VLOOKUP(LEFT(S$6,FIND("(",S$6)-1),基本シート!$B$6:$C$29,2,FALSE))</f>
        <v>34.936199999999999</v>
      </c>
      <c r="T24" s="3">
        <v>1.34</v>
      </c>
      <c r="U24" s="3">
        <f>IF($E24="〇",T24*基本シート!$E$2,T24*VLOOKUP(LEFT(U$6,FIND("(",U$6)-1),基本シート!$B$6:$C$29,2,FALSE))</f>
        <v>40.0124</v>
      </c>
      <c r="V24" s="3">
        <v>1.27</v>
      </c>
      <c r="W24" s="3">
        <f>IF($E24="〇",V24*基本シート!$E$2,V24*VLOOKUP(LEFT(W$6,FIND("(",W$6)-1),基本シート!$B$6:$C$29,2,FALSE))</f>
        <v>46.812199999999997</v>
      </c>
      <c r="X24" s="3">
        <v>0.97</v>
      </c>
      <c r="Y24" s="3">
        <f>IF($E24="〇",X24*基本シート!$E$2,X24*VLOOKUP(LEFT(Y$6,FIND("(",Y$6)-1),基本シート!$B$6:$C$29,2,FALSE))</f>
        <v>35.754199999999997</v>
      </c>
      <c r="Z24" s="3">
        <v>0.89</v>
      </c>
      <c r="AA24" s="3">
        <f>IF($E24="〇",Z24*基本シート!$E$2,Z24*VLOOKUP(LEFT(AA$6,FIND("(",AA$6)-1),基本シート!$B$6:$C$29,2,FALSE))</f>
        <v>32.805399999999999</v>
      </c>
      <c r="AB24" s="3">
        <v>0.76</v>
      </c>
      <c r="AC24" s="3">
        <f>IF($E24="〇",AB24*基本シート!$E$2,AB24*VLOOKUP(LEFT(AC$6,FIND("(",AC$6)-1),基本シート!$B$6:$C$29,2,FALSE))</f>
        <v>28.0136</v>
      </c>
      <c r="AD24" s="3">
        <v>0.78</v>
      </c>
      <c r="AE24" s="3">
        <f>IF($E24="〇",AD24*基本シート!$E$2,AD24*VLOOKUP(LEFT(AE$6,FIND("(",AE$6)-1),基本シート!$B$6:$C$29,2,FALSE))</f>
        <v>28.750800000000002</v>
      </c>
      <c r="AF24" s="3">
        <v>0.47</v>
      </c>
      <c r="AG24" s="3">
        <f>IF($E24="〇",AF24*基本シート!$E$2,AF24*VLOOKUP(LEFT(AG$6,FIND("(",AG$6)-1),基本シート!$B$6:$C$29,2,FALSE))</f>
        <v>17.324199999999998</v>
      </c>
      <c r="AH24" s="3">
        <v>0.21</v>
      </c>
      <c r="AI24" s="3">
        <f>IF($E24="〇",AH24*基本シート!$E$2,AH24*VLOOKUP(LEFT(AI$6,FIND("(",AI$6)-1),基本シート!$B$6:$C$29,2,FALSE))</f>
        <v>7.7405999999999997</v>
      </c>
      <c r="AJ24" s="3">
        <v>0.21</v>
      </c>
      <c r="AK24" s="3">
        <f>IF($E24="〇",AJ24*基本シート!$E$2,AJ24*VLOOKUP(LEFT(AK$6,FIND("(",AK$6)-1),基本シート!$B$6:$C$29,2,FALSE))</f>
        <v>7.7405999999999997</v>
      </c>
      <c r="AL24" s="3">
        <v>1.86</v>
      </c>
      <c r="AM24" s="3">
        <f>IF($E24="〇",AL24*基本シート!$E$2,AL24*VLOOKUP(LEFT(AM$6,FIND("(",AM$6)-1),基本シート!$B$6:$C$29,2,FALSE))</f>
        <v>68.559600000000003</v>
      </c>
      <c r="AN24" s="3">
        <v>2.93</v>
      </c>
      <c r="AO24" s="3">
        <f>IF($E24="〇",AN24*基本シート!$E$2,AN24*VLOOKUP(LEFT(AO$6,FIND("(",AO$6)-1),基本シート!$B$6:$C$29,2,FALSE))</f>
        <v>107.99980000000001</v>
      </c>
      <c r="AP24" s="3">
        <v>3.07</v>
      </c>
      <c r="AQ24" s="3">
        <f>IF($E24="〇",AP24*基本シート!$E$2,AP24*VLOOKUP(LEFT(AQ$6,FIND("(",AQ$6)-1),基本シート!$B$6:$C$29,2,FALSE))</f>
        <v>113.16019999999999</v>
      </c>
      <c r="AR24" s="3">
        <v>3.35</v>
      </c>
      <c r="AS24" s="3">
        <f>IF($E24="〇",AR24*基本シート!$E$2,AR24*VLOOKUP(LEFT(AS$6,FIND("(",AS$6)-1),基本シート!$B$6:$C$29,2,FALSE))</f>
        <v>123.48099999999999</v>
      </c>
      <c r="AT24" s="3">
        <v>2.76</v>
      </c>
      <c r="AU24" s="3">
        <f>IF($E24="〇",AT24*基本シート!$E$2,AT24*VLOOKUP(LEFT(AU$6,FIND("(",AU$6)-1),基本シート!$B$6:$C$29,2,FALSE))</f>
        <v>101.7336</v>
      </c>
      <c r="AV24" s="3">
        <v>1.4</v>
      </c>
      <c r="AW24" s="3">
        <f>IF($E24="〇",AV24*基本シート!$E$2,AV24*VLOOKUP(LEFT(AW$6,FIND("(",AW$6)-1),基本シート!$B$6:$C$29,2,FALSE))</f>
        <v>51.603999999999999</v>
      </c>
      <c r="AX24" s="3">
        <v>1.58</v>
      </c>
      <c r="AY24" s="3">
        <f>IF($E24="〇",AX24*基本シート!$E$2,AX24*VLOOKUP(LEFT(AY$6,FIND("(",AY$6)-1),基本シート!$B$6:$C$29,2,FALSE))</f>
        <v>47.178800000000003</v>
      </c>
      <c r="AZ24" s="3">
        <v>1.1100000000000001</v>
      </c>
      <c r="BA24" s="3">
        <f>IF($E24="〇",AZ24*基本シート!$E$2,AZ24*VLOOKUP(LEFT(BA$6,FIND("(",BA$6)-1),基本シート!$B$6:$C$29,2,FALSE))</f>
        <v>33.144600000000004</v>
      </c>
      <c r="BB24" s="3">
        <v>1.03</v>
      </c>
      <c r="BC24" s="3">
        <f>IF($E24="〇",BB24*基本シート!$E$2,BB24*VLOOKUP(LEFT(BC$6,FIND("(",BC$6)-1),基本シート!$B$6:$C$29,2,FALSE))</f>
        <v>30.755800000000001</v>
      </c>
      <c r="BD24" s="3">
        <f t="shared" si="7"/>
        <v>32.910000000000004</v>
      </c>
      <c r="BE24" s="3">
        <f t="shared" si="8"/>
        <v>1129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0.01</v>
      </c>
      <c r="BO24" s="3">
        <v>0.15</v>
      </c>
      <c r="BP24" s="3">
        <v>0.24</v>
      </c>
      <c r="BQ24" s="3">
        <v>0.23</v>
      </c>
      <c r="BR24" s="3">
        <v>0.23</v>
      </c>
      <c r="BS24" s="3">
        <v>0.64</v>
      </c>
      <c r="BT24" s="3">
        <v>0.48</v>
      </c>
      <c r="BU24" s="3">
        <v>0.05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</v>
      </c>
      <c r="DE24" s="3">
        <f>DD24*基本シート!$C$3</f>
        <v>0</v>
      </c>
      <c r="DF24" s="3">
        <v>0</v>
      </c>
      <c r="DG24" s="3">
        <f>DF24*基本シート!$C$3</f>
        <v>0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>
        <v>0.04</v>
      </c>
      <c r="EC24" s="3">
        <v>0.04</v>
      </c>
      <c r="ED24" s="3">
        <v>0.04</v>
      </c>
      <c r="EE24" s="3">
        <v>0.04</v>
      </c>
      <c r="EF24" s="3">
        <v>0.04</v>
      </c>
      <c r="EG24" s="3">
        <v>0.03</v>
      </c>
      <c r="EH24" s="3">
        <v>0.04</v>
      </c>
      <c r="EI24" s="3">
        <v>0.02</v>
      </c>
      <c r="EJ24" s="3">
        <v>0.01</v>
      </c>
      <c r="EK24" s="3">
        <v>0</v>
      </c>
      <c r="EL24" s="3">
        <v>0.02</v>
      </c>
      <c r="EM24" s="3">
        <v>0.02</v>
      </c>
      <c r="EN24" s="3">
        <v>0</v>
      </c>
      <c r="EO24" s="3">
        <v>0.12</v>
      </c>
      <c r="EP24" s="3">
        <v>0</v>
      </c>
      <c r="EQ24" s="3">
        <v>0.02</v>
      </c>
      <c r="ER24" s="3">
        <v>0.03</v>
      </c>
      <c r="ES24" s="3">
        <v>0.04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11"/>
        <v>0.79000000000000037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0.11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0.11</v>
      </c>
      <c r="FZ24" s="3">
        <v>1.0900000000000001</v>
      </c>
      <c r="GA24" s="3">
        <v>1.18</v>
      </c>
      <c r="GB24" s="3">
        <v>1.02</v>
      </c>
      <c r="GC24" s="3">
        <v>1.1200000000000001</v>
      </c>
      <c r="GD24" s="3">
        <v>1.1399999999999999</v>
      </c>
      <c r="GE24" s="3">
        <v>1.1399999999999999</v>
      </c>
      <c r="GF24" s="3">
        <v>1.3</v>
      </c>
      <c r="GG24" s="3">
        <v>1.25</v>
      </c>
      <c r="GH24" s="3">
        <v>0.97</v>
      </c>
      <c r="GI24" s="3">
        <v>1.04</v>
      </c>
      <c r="GJ24" s="3">
        <v>0.98</v>
      </c>
      <c r="GK24" s="3">
        <v>0.99</v>
      </c>
      <c r="GL24" s="3">
        <v>0.7</v>
      </c>
      <c r="GM24" s="3">
        <v>0.73</v>
      </c>
      <c r="GN24" s="3">
        <v>0.8</v>
      </c>
      <c r="GO24" s="3">
        <v>1.89</v>
      </c>
      <c r="GP24" s="3">
        <v>2.9</v>
      </c>
      <c r="GQ24" s="3">
        <v>3.03</v>
      </c>
      <c r="GR24" s="3">
        <v>3.31</v>
      </c>
      <c r="GS24" s="3">
        <v>2.72</v>
      </c>
      <c r="GT24" s="3">
        <v>1.36</v>
      </c>
      <c r="GU24" s="3">
        <v>1.54</v>
      </c>
      <c r="GV24" s="3">
        <v>1.07</v>
      </c>
      <c r="GW24" s="3">
        <v>0.99</v>
      </c>
      <c r="GX24" s="3">
        <f t="shared" si="13"/>
        <v>34.26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183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 t="s">
        <v>298</v>
      </c>
      <c r="G25" s="6" t="s">
        <v>298</v>
      </c>
      <c r="H25" s="3">
        <v>1.1499999999999999</v>
      </c>
      <c r="I25" s="3">
        <f>IF($E25="〇",H25*基本シート!$E$2,H25*VLOOKUP(LEFT(I$6,FIND("(",I$6)-1),基本シート!$B$6:$C$29,2,FALSE))</f>
        <v>34.338999999999999</v>
      </c>
      <c r="J25" s="3">
        <v>1.06</v>
      </c>
      <c r="K25" s="3">
        <f>IF($E25="〇",J25*基本シート!$E$2,J25*VLOOKUP(LEFT(K$6,FIND("(",K$6)-1),基本シート!$B$6:$C$29,2,FALSE))</f>
        <v>31.651600000000002</v>
      </c>
      <c r="L25" s="3">
        <v>1.18</v>
      </c>
      <c r="M25" s="3">
        <f>IF($E25="〇",L25*基本シート!$E$2,L25*VLOOKUP(LEFT(M$6,FIND("(",M$6)-1),基本シート!$B$6:$C$29,2,FALSE))</f>
        <v>35.2348</v>
      </c>
      <c r="N25" s="3">
        <v>1.27</v>
      </c>
      <c r="O25" s="3">
        <f>IF($E25="〇",N25*基本シート!$E$2,N25*VLOOKUP(LEFT(O$6,FIND("(",O$6)-1),基本シート!$B$6:$C$29,2,FALSE))</f>
        <v>37.922199999999997</v>
      </c>
      <c r="P25" s="3">
        <v>1.34</v>
      </c>
      <c r="Q25" s="3">
        <f>IF($E25="〇",P25*基本シート!$E$2,P25*VLOOKUP(LEFT(Q$6,FIND("(",Q$6)-1),基本シート!$B$6:$C$29,2,FALSE))</f>
        <v>40.0124</v>
      </c>
      <c r="R25" s="3">
        <v>1.24</v>
      </c>
      <c r="S25" s="3">
        <f>IF($E25="〇",R25*基本シート!$E$2,R25*VLOOKUP(LEFT(S$6,FIND("(",S$6)-1),基本シート!$B$6:$C$29,2,FALSE))</f>
        <v>37.026400000000002</v>
      </c>
      <c r="T25" s="3">
        <v>1.21</v>
      </c>
      <c r="U25" s="3">
        <f>IF($E25="〇",T25*基本シート!$E$2,T25*VLOOKUP(LEFT(U$6,FIND("(",U$6)-1),基本シート!$B$6:$C$29,2,FALSE))</f>
        <v>36.130600000000001</v>
      </c>
      <c r="V25" s="3">
        <v>1.08</v>
      </c>
      <c r="W25" s="3">
        <f>IF($E25="〇",V25*基本シート!$E$2,V25*VLOOKUP(LEFT(W$6,FIND("(",W$6)-1),基本シート!$B$6:$C$29,2,FALSE))</f>
        <v>39.808800000000005</v>
      </c>
      <c r="X25" s="3">
        <v>0.54</v>
      </c>
      <c r="Y25" s="3">
        <f>IF($E25="〇",X25*基本シート!$E$2,X25*VLOOKUP(LEFT(Y$6,FIND("(",Y$6)-1),基本シート!$B$6:$C$29,2,FALSE))</f>
        <v>19.904400000000003</v>
      </c>
      <c r="Z25" s="3">
        <v>0.13</v>
      </c>
      <c r="AA25" s="3">
        <f>IF($E25="〇",Z25*基本シート!$E$2,Z25*VLOOKUP(LEFT(AA$6,FIND("(",AA$6)-1),基本シート!$B$6:$C$29,2,FALSE))</f>
        <v>4.7918000000000003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0.01</v>
      </c>
      <c r="AM25" s="3">
        <f>IF($E25="〇",AL25*基本シート!$E$2,AL25*VLOOKUP(LEFT(AM$6,FIND("(",AM$6)-1),基本シート!$B$6:$C$29,2,FALSE))</f>
        <v>0.36859999999999998</v>
      </c>
      <c r="AN25" s="3">
        <v>0.02</v>
      </c>
      <c r="AO25" s="3">
        <f>IF($E25="〇",AN25*基本シート!$E$2,AN25*VLOOKUP(LEFT(AO$6,FIND("(",AO$6)-1),基本シート!$B$6:$C$29,2,FALSE))</f>
        <v>0.73719999999999997</v>
      </c>
      <c r="AP25" s="3">
        <v>2.56</v>
      </c>
      <c r="AQ25" s="3">
        <f>IF($E25="〇",AP25*基本シート!$E$2,AP25*VLOOKUP(LEFT(AQ$6,FIND("(",AQ$6)-1),基本シート!$B$6:$C$29,2,FALSE))</f>
        <v>94.361599999999996</v>
      </c>
      <c r="AR25" s="3">
        <v>3.56</v>
      </c>
      <c r="AS25" s="3">
        <f>IF($E25="〇",AR25*基本シート!$E$2,AR25*VLOOKUP(LEFT(AS$6,FIND("(",AS$6)-1),基本シート!$B$6:$C$29,2,FALSE))</f>
        <v>131.2216</v>
      </c>
      <c r="AT25" s="3">
        <v>2.52</v>
      </c>
      <c r="AU25" s="3">
        <f>IF($E25="〇",AT25*基本シート!$E$2,AT25*VLOOKUP(LEFT(AU$6,FIND("(",AU$6)-1),基本シート!$B$6:$C$29,2,FALSE))</f>
        <v>92.887199999999993</v>
      </c>
      <c r="AV25" s="3">
        <v>1.1299999999999999</v>
      </c>
      <c r="AW25" s="3">
        <f>IF($E25="〇",AV25*基本シート!$E$2,AV25*VLOOKUP(LEFT(AW$6,FIND("(",AW$6)-1),基本シート!$B$6:$C$29,2,FALSE))</f>
        <v>41.651799999999994</v>
      </c>
      <c r="AX25" s="3">
        <v>1.48</v>
      </c>
      <c r="AY25" s="3">
        <f>IF($E25="〇",AX25*基本シート!$E$2,AX25*VLOOKUP(LEFT(AY$6,FIND("(",AY$6)-1),基本シート!$B$6:$C$29,2,FALSE))</f>
        <v>44.192799999999998</v>
      </c>
      <c r="AZ25" s="3">
        <v>1.18</v>
      </c>
      <c r="BA25" s="3">
        <f>IF($E25="〇",AZ25*基本シート!$E$2,AZ25*VLOOKUP(LEFT(BA$6,FIND("(",BA$6)-1),基本シート!$B$6:$C$29,2,FALSE))</f>
        <v>35.2348</v>
      </c>
      <c r="BB25" s="3">
        <v>1.1399999999999999</v>
      </c>
      <c r="BC25" s="3">
        <f>IF($E25="〇",BB25*基本シート!$E$2,BB25*VLOOKUP(LEFT(BC$6,FIND("(",BC$6)-1),基本シート!$B$6:$C$29,2,FALSE))</f>
        <v>34.040399999999998</v>
      </c>
      <c r="BD25" s="3">
        <f t="shared" si="7"/>
        <v>23.8</v>
      </c>
      <c r="BE25" s="3">
        <f t="shared" si="8"/>
        <v>792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0.12</v>
      </c>
      <c r="BN25" s="3">
        <v>0.65</v>
      </c>
      <c r="BO25" s="3">
        <v>1.39</v>
      </c>
      <c r="BP25" s="3">
        <v>2.19</v>
      </c>
      <c r="BQ25" s="3">
        <v>3.16</v>
      </c>
      <c r="BR25" s="3">
        <v>3.45</v>
      </c>
      <c r="BS25" s="3">
        <v>4.1900000000000004</v>
      </c>
      <c r="BT25" s="3">
        <v>2.1</v>
      </c>
      <c r="BU25" s="3">
        <v>0.48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0.17</v>
      </c>
      <c r="CY25" s="3">
        <f>CX25*基本シート!$C$3</f>
        <v>2.72</v>
      </c>
      <c r="CZ25" s="3">
        <v>0.83</v>
      </c>
      <c r="DA25" s="3">
        <f>CZ25*基本シート!$C$3</f>
        <v>13.28</v>
      </c>
      <c r="DB25" s="3">
        <v>0.53</v>
      </c>
      <c r="DC25" s="3">
        <f>DB25*基本シート!$C$3</f>
        <v>8.48</v>
      </c>
      <c r="DD25" s="3">
        <v>2.34</v>
      </c>
      <c r="DE25" s="3">
        <f>DD25*基本シート!$C$3</f>
        <v>37.44</v>
      </c>
      <c r="DF25" s="3">
        <v>1.29</v>
      </c>
      <c r="DG25" s="3">
        <f>DF25*基本シート!$C$3</f>
        <v>20.64</v>
      </c>
      <c r="DH25" s="3">
        <v>0.05</v>
      </c>
      <c r="DI25" s="3">
        <f>DH25*基本シート!$C$3</f>
        <v>0.8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5.22</v>
      </c>
      <c r="EA25" s="3">
        <f>ROUND(DZ25*基本シート!$C$3,0)</f>
        <v>84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0.04</v>
      </c>
      <c r="EH25" s="3">
        <v>0.03</v>
      </c>
      <c r="EI25" s="3">
        <v>0.01</v>
      </c>
      <c r="EJ25" s="3">
        <v>0.09</v>
      </c>
      <c r="EK25" s="3">
        <v>0.4</v>
      </c>
      <c r="EL25" s="3">
        <v>1.01</v>
      </c>
      <c r="EM25" s="3">
        <v>1.48</v>
      </c>
      <c r="EN25" s="3">
        <v>2.2400000000000002</v>
      </c>
      <c r="EO25" s="3">
        <v>1.1499999999999999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11"/>
        <v>6.8600000000000012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0.02</v>
      </c>
      <c r="FP25" s="3">
        <v>1.18</v>
      </c>
      <c r="FQ25" s="3">
        <v>2.83</v>
      </c>
      <c r="FR25" s="3">
        <v>0.99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5.0200000000000005</v>
      </c>
      <c r="FZ25" s="3">
        <v>1.1100000000000001</v>
      </c>
      <c r="GA25" s="3">
        <v>1.02</v>
      </c>
      <c r="GB25" s="3">
        <v>1.1399999999999999</v>
      </c>
      <c r="GC25" s="3">
        <v>1.23</v>
      </c>
      <c r="GD25" s="3">
        <v>1.31</v>
      </c>
      <c r="GE25" s="3">
        <v>1.2</v>
      </c>
      <c r="GF25" s="3">
        <v>1.18</v>
      </c>
      <c r="GG25" s="3">
        <v>1.19</v>
      </c>
      <c r="GH25" s="3">
        <v>1.1000000000000001</v>
      </c>
      <c r="GI25" s="3">
        <v>1.1200000000000001</v>
      </c>
      <c r="GJ25" s="3">
        <v>1.01</v>
      </c>
      <c r="GK25" s="3">
        <v>0.85</v>
      </c>
      <c r="GL25" s="3">
        <v>0.68</v>
      </c>
      <c r="GM25" s="3">
        <v>0.7</v>
      </c>
      <c r="GN25" s="3">
        <v>0.83</v>
      </c>
      <c r="GO25" s="3">
        <v>1.62</v>
      </c>
      <c r="GP25" s="3">
        <v>2.85</v>
      </c>
      <c r="GQ25" s="3">
        <v>3.55</v>
      </c>
      <c r="GR25" s="3">
        <v>3.53</v>
      </c>
      <c r="GS25" s="3">
        <v>2.4900000000000002</v>
      </c>
      <c r="GT25" s="3">
        <v>1.0900000000000001</v>
      </c>
      <c r="GU25" s="3">
        <v>1.44</v>
      </c>
      <c r="GV25" s="3">
        <v>1.1399999999999999</v>
      </c>
      <c r="GW25" s="3">
        <v>1.1000000000000001</v>
      </c>
      <c r="GX25" s="3">
        <f t="shared" si="13"/>
        <v>34.480000000000004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184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 t="s">
        <v>298</v>
      </c>
      <c r="G26" s="6" t="s">
        <v>296</v>
      </c>
      <c r="H26" s="3">
        <v>0.97</v>
      </c>
      <c r="I26" s="3">
        <f>IF($E26="〇",H26*基本シート!$E$2,H26*VLOOKUP(LEFT(I$6,FIND("(",I$6)-1),基本シート!$B$6:$C$29,2,FALSE))</f>
        <v>28.964199999999998</v>
      </c>
      <c r="J26" s="3">
        <v>1.06</v>
      </c>
      <c r="K26" s="3">
        <f>IF($E26="〇",J26*基本シート!$E$2,J26*VLOOKUP(LEFT(K$6,FIND("(",K$6)-1),基本シート!$B$6:$C$29,2,FALSE))</f>
        <v>31.651600000000002</v>
      </c>
      <c r="L26" s="3">
        <v>1.01</v>
      </c>
      <c r="M26" s="3">
        <f>IF($E26="〇",L26*基本シート!$E$2,L26*VLOOKUP(LEFT(M$6,FIND("(",M$6)-1),基本シート!$B$6:$C$29,2,FALSE))</f>
        <v>30.1586</v>
      </c>
      <c r="N26" s="3">
        <v>0.99</v>
      </c>
      <c r="O26" s="3">
        <f>IF($E26="〇",N26*基本シート!$E$2,N26*VLOOKUP(LEFT(O$6,FIND("(",O$6)-1),基本シート!$B$6:$C$29,2,FALSE))</f>
        <v>29.561399999999999</v>
      </c>
      <c r="P26" s="3">
        <v>1.1200000000000001</v>
      </c>
      <c r="Q26" s="3">
        <f>IF($E26="〇",P26*基本シート!$E$2,P26*VLOOKUP(LEFT(Q$6,FIND("(",Q$6)-1),基本シート!$B$6:$C$29,2,FALSE))</f>
        <v>33.443200000000004</v>
      </c>
      <c r="R26" s="3">
        <v>0.9</v>
      </c>
      <c r="S26" s="3">
        <f>IF($E26="〇",R26*基本シート!$E$2,R26*VLOOKUP(LEFT(S$6,FIND("(",S$6)-1),基本シート!$B$6:$C$29,2,FALSE))</f>
        <v>26.873999999999999</v>
      </c>
      <c r="T26" s="3">
        <v>1.03</v>
      </c>
      <c r="U26" s="3">
        <f>IF($E26="〇",T26*基本シート!$E$2,T26*VLOOKUP(LEFT(U$6,FIND("(",U$6)-1),基本シート!$B$6:$C$29,2,FALSE))</f>
        <v>30.755800000000001</v>
      </c>
      <c r="V26" s="3">
        <v>0.93</v>
      </c>
      <c r="W26" s="3">
        <f>IF($E26="〇",V26*基本シート!$E$2,V26*VLOOKUP(LEFT(W$6,FIND("(",W$6)-1),基本シート!$B$6:$C$29,2,FALSE))</f>
        <v>34.279800000000002</v>
      </c>
      <c r="X26" s="3">
        <v>0.28999999999999998</v>
      </c>
      <c r="Y26" s="3">
        <f>IF($E26="〇",X26*基本シート!$E$2,X26*VLOOKUP(LEFT(Y$6,FIND("(",Y$6)-1),基本シート!$B$6:$C$29,2,FALSE))</f>
        <v>10.689399999999999</v>
      </c>
      <c r="Z26" s="3">
        <v>0.08</v>
      </c>
      <c r="AA26" s="3">
        <f>IF($E26="〇",Z26*基本シート!$E$2,Z26*VLOOKUP(LEFT(AA$6,FIND("(",AA$6)-1),基本シート!$B$6:$C$29,2,FALSE))</f>
        <v>2.9487999999999999</v>
      </c>
      <c r="AB26" s="3">
        <v>0.01</v>
      </c>
      <c r="AC26" s="3">
        <f>IF($E26="〇",AB26*基本シート!$E$2,AB26*VLOOKUP(LEFT(AC$6,FIND("(",AC$6)-1),基本シート!$B$6:$C$29,2,FALSE))</f>
        <v>0.36859999999999998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1.47</v>
      </c>
      <c r="AQ26" s="3">
        <f>IF($E26="〇",AP26*基本シート!$E$2,AP26*VLOOKUP(LEFT(AQ$6,FIND("(",AQ$6)-1),基本シート!$B$6:$C$29,2,FALSE))</f>
        <v>54.184199999999997</v>
      </c>
      <c r="AR26" s="3">
        <v>2.81</v>
      </c>
      <c r="AS26" s="3">
        <f>IF($E26="〇",AR26*基本シート!$E$2,AR26*VLOOKUP(LEFT(AS$6,FIND("(",AS$6)-1),基本シート!$B$6:$C$29,2,FALSE))</f>
        <v>103.5766</v>
      </c>
      <c r="AT26" s="3">
        <v>2.29</v>
      </c>
      <c r="AU26" s="3">
        <f>IF($E26="〇",AT26*基本シート!$E$2,AT26*VLOOKUP(LEFT(AU$6,FIND("(",AU$6)-1),基本シート!$B$6:$C$29,2,FALSE))</f>
        <v>84.409400000000005</v>
      </c>
      <c r="AV26" s="3">
        <v>0.78</v>
      </c>
      <c r="AW26" s="3">
        <f>IF($E26="〇",AV26*基本シート!$E$2,AV26*VLOOKUP(LEFT(AW$6,FIND("(",AW$6)-1),基本シート!$B$6:$C$29,2,FALSE))</f>
        <v>28.750800000000002</v>
      </c>
      <c r="AX26" s="3">
        <v>0.72</v>
      </c>
      <c r="AY26" s="3">
        <f>IF($E26="〇",AX26*基本シート!$E$2,AX26*VLOOKUP(LEFT(AY$6,FIND("(",AY$6)-1),基本シート!$B$6:$C$29,2,FALSE))</f>
        <v>21.499199999999998</v>
      </c>
      <c r="AZ26" s="3">
        <v>0.68</v>
      </c>
      <c r="BA26" s="3">
        <f>IF($E26="〇",AZ26*基本シート!$E$2,AZ26*VLOOKUP(LEFT(BA$6,FIND("(",BA$6)-1),基本シート!$B$6:$C$29,2,FALSE))</f>
        <v>20.3048</v>
      </c>
      <c r="BB26" s="3">
        <v>0.83</v>
      </c>
      <c r="BC26" s="3">
        <f>IF($E26="〇",BB26*基本シート!$E$2,BB26*VLOOKUP(LEFT(BC$6,FIND("(",BC$6)-1),基本シート!$B$6:$C$29,2,FALSE))</f>
        <v>24.783799999999999</v>
      </c>
      <c r="BD26" s="3">
        <f t="shared" si="7"/>
        <v>17.98</v>
      </c>
      <c r="BE26" s="3">
        <f t="shared" si="8"/>
        <v>598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0.09</v>
      </c>
      <c r="BN26" s="3">
        <v>0.37</v>
      </c>
      <c r="BO26" s="3">
        <v>1.62</v>
      </c>
      <c r="BP26" s="3">
        <v>4.55</v>
      </c>
      <c r="BQ26" s="3">
        <v>5.66</v>
      </c>
      <c r="BR26" s="3">
        <v>5.05</v>
      </c>
      <c r="BS26" s="3">
        <v>4.22</v>
      </c>
      <c r="BT26" s="3">
        <v>2.2200000000000002</v>
      </c>
      <c r="BU26" s="3">
        <v>0.26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0.42</v>
      </c>
      <c r="CW26" s="3">
        <f>CV26*基本シート!$C$3</f>
        <v>6.72</v>
      </c>
      <c r="CX26" s="3">
        <v>1.08</v>
      </c>
      <c r="CY26" s="3">
        <f>CX26*基本シート!$C$3</f>
        <v>17.28</v>
      </c>
      <c r="CZ26" s="3">
        <v>2.35</v>
      </c>
      <c r="DA26" s="3">
        <f>CZ26*基本シート!$C$3</f>
        <v>37.6</v>
      </c>
      <c r="DB26" s="3">
        <v>4.4000000000000004</v>
      </c>
      <c r="DC26" s="3">
        <f>DB26*基本シート!$C$3</f>
        <v>70.400000000000006</v>
      </c>
      <c r="DD26" s="3">
        <v>3.65</v>
      </c>
      <c r="DE26" s="3">
        <f>DD26*基本シート!$C$3</f>
        <v>58.4</v>
      </c>
      <c r="DF26" s="3">
        <v>1.59</v>
      </c>
      <c r="DG26" s="3">
        <f>DF26*基本シート!$C$3</f>
        <v>25.44</v>
      </c>
      <c r="DH26" s="3">
        <v>0.02</v>
      </c>
      <c r="DI26" s="3">
        <f>DH26*基本シート!$C$3</f>
        <v>0.32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13.51</v>
      </c>
      <c r="EA26" s="3">
        <f>ROUND(DZ26*基本シート!$C$3,0)</f>
        <v>216</v>
      </c>
      <c r="EB26" s="3">
        <v>0.04</v>
      </c>
      <c r="EC26" s="3">
        <v>0.04</v>
      </c>
      <c r="ED26" s="3">
        <v>0.04</v>
      </c>
      <c r="EE26" s="3">
        <v>0.04</v>
      </c>
      <c r="EF26" s="3">
        <v>0.04</v>
      </c>
      <c r="EG26" s="3">
        <v>0.04</v>
      </c>
      <c r="EH26" s="3">
        <v>0.04</v>
      </c>
      <c r="EI26" s="3">
        <v>0.01</v>
      </c>
      <c r="EJ26" s="3">
        <v>0.02</v>
      </c>
      <c r="EK26" s="3">
        <v>0.68</v>
      </c>
      <c r="EL26" s="3">
        <v>2.77</v>
      </c>
      <c r="EM26" s="3">
        <v>2.71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0.04</v>
      </c>
      <c r="EU26" s="3">
        <v>0.03</v>
      </c>
      <c r="EV26" s="3">
        <v>0.04</v>
      </c>
      <c r="EW26" s="3">
        <v>0.03</v>
      </c>
      <c r="EX26" s="3">
        <v>0.04</v>
      </c>
      <c r="EY26" s="3">
        <v>0.04</v>
      </c>
      <c r="EZ26" s="3">
        <f t="shared" si="11"/>
        <v>6.6900000000000013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0.03</v>
      </c>
      <c r="FP26" s="3">
        <v>0.97</v>
      </c>
      <c r="FQ26" s="3">
        <v>2.94</v>
      </c>
      <c r="FR26" s="3">
        <v>1.21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5.16</v>
      </c>
      <c r="FZ26" s="3">
        <v>0.93</v>
      </c>
      <c r="GA26" s="3">
        <v>1.02</v>
      </c>
      <c r="GB26" s="3">
        <v>0.97</v>
      </c>
      <c r="GC26" s="3">
        <v>0.95</v>
      </c>
      <c r="GD26" s="3">
        <v>1.08</v>
      </c>
      <c r="GE26" s="3">
        <v>0.86</v>
      </c>
      <c r="GF26" s="3">
        <v>0.99</v>
      </c>
      <c r="GG26" s="3">
        <v>1.01</v>
      </c>
      <c r="GH26" s="3">
        <v>0.64</v>
      </c>
      <c r="GI26" s="3">
        <v>0.6</v>
      </c>
      <c r="GJ26" s="3">
        <v>0.71</v>
      </c>
      <c r="GK26" s="3">
        <v>0.6</v>
      </c>
      <c r="GL26" s="3">
        <v>0.66</v>
      </c>
      <c r="GM26" s="3">
        <v>0.56999999999999995</v>
      </c>
      <c r="GN26" s="3">
        <v>0.66</v>
      </c>
      <c r="GO26" s="3">
        <v>1.21</v>
      </c>
      <c r="GP26" s="3">
        <v>2.95</v>
      </c>
      <c r="GQ26" s="3">
        <v>2.68</v>
      </c>
      <c r="GR26" s="3">
        <v>2.77</v>
      </c>
      <c r="GS26" s="3">
        <v>2.2599999999999998</v>
      </c>
      <c r="GT26" s="3">
        <v>0.74</v>
      </c>
      <c r="GU26" s="3">
        <v>0.69</v>
      </c>
      <c r="GV26" s="3">
        <v>0.64</v>
      </c>
      <c r="GW26" s="3">
        <v>0.79</v>
      </c>
      <c r="GX26" s="3">
        <f t="shared" si="13"/>
        <v>26.979999999999997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185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 t="s">
        <v>296</v>
      </c>
      <c r="G27" s="6" t="s">
        <v>365</v>
      </c>
      <c r="H27" s="3">
        <v>0.86</v>
      </c>
      <c r="I27" s="3">
        <f>IF($E27="〇",H27*基本シート!$E$2,H27*VLOOKUP(LEFT(I$6,FIND("(",I$6)-1),基本シート!$B$6:$C$29,2,FALSE))</f>
        <v>25.679600000000001</v>
      </c>
      <c r="J27" s="3">
        <v>0.93</v>
      </c>
      <c r="K27" s="3">
        <f>IF($E27="〇",J27*基本シート!$E$2,J27*VLOOKUP(LEFT(K$6,FIND("(",K$6)-1),基本シート!$B$6:$C$29,2,FALSE))</f>
        <v>27.7698</v>
      </c>
      <c r="L27" s="3">
        <v>0.92</v>
      </c>
      <c r="M27" s="3">
        <f>IF($E27="〇",L27*基本シート!$E$2,L27*VLOOKUP(LEFT(M$6,FIND("(",M$6)-1),基本シート!$B$6:$C$29,2,FALSE))</f>
        <v>27.4712</v>
      </c>
      <c r="N27" s="3">
        <v>0.93</v>
      </c>
      <c r="O27" s="3">
        <f>IF($E27="〇",N27*基本シート!$E$2,N27*VLOOKUP(LEFT(O$6,FIND("(",O$6)-1),基本シート!$B$6:$C$29,2,FALSE))</f>
        <v>27.7698</v>
      </c>
      <c r="P27" s="3">
        <v>0.93</v>
      </c>
      <c r="Q27" s="3">
        <f>IF($E27="〇",P27*基本シート!$E$2,P27*VLOOKUP(LEFT(Q$6,FIND("(",Q$6)-1),基本シート!$B$6:$C$29,2,FALSE))</f>
        <v>27.7698</v>
      </c>
      <c r="R27" s="3">
        <v>1.06</v>
      </c>
      <c r="S27" s="3">
        <f>IF($E27="〇",R27*基本シート!$E$2,R27*VLOOKUP(LEFT(S$6,FIND("(",S$6)-1),基本シート!$B$6:$C$29,2,FALSE))</f>
        <v>31.651600000000002</v>
      </c>
      <c r="T27" s="3">
        <v>1.17</v>
      </c>
      <c r="U27" s="3">
        <f>IF($E27="〇",T27*基本シート!$E$2,T27*VLOOKUP(LEFT(U$6,FIND("(",U$6)-1),基本シート!$B$6:$C$29,2,FALSE))</f>
        <v>34.936199999999999</v>
      </c>
      <c r="V27" s="3">
        <v>0.91</v>
      </c>
      <c r="W27" s="3">
        <f>IF($E27="〇",V27*基本シート!$E$2,V27*VLOOKUP(LEFT(W$6,FIND("(",W$6)-1),基本シート!$B$6:$C$29,2,FALSE))</f>
        <v>27.172599999999999</v>
      </c>
      <c r="X27" s="3">
        <v>0.8</v>
      </c>
      <c r="Y27" s="3">
        <f>IF($E27="〇",X27*基本シート!$E$2,X27*VLOOKUP(LEFT(Y$6,FIND("(",Y$6)-1),基本シート!$B$6:$C$29,2,FALSE))</f>
        <v>23.888000000000002</v>
      </c>
      <c r="Z27" s="3">
        <v>0.55000000000000004</v>
      </c>
      <c r="AA27" s="3">
        <f>IF($E27="〇",Z27*基本シート!$E$2,Z27*VLOOKUP(LEFT(AA$6,FIND("(",AA$6)-1),基本シート!$B$6:$C$29,2,FALSE))</f>
        <v>16.423000000000002</v>
      </c>
      <c r="AB27" s="3">
        <v>0.36</v>
      </c>
      <c r="AC27" s="3">
        <f>IF($E27="〇",AB27*基本シート!$E$2,AB27*VLOOKUP(LEFT(AC$6,FIND("(",AC$6)-1),基本シート!$B$6:$C$29,2,FALSE))</f>
        <v>10.749599999999999</v>
      </c>
      <c r="AD27" s="3">
        <v>0.05</v>
      </c>
      <c r="AE27" s="3">
        <f>IF($E27="〇",AD27*基本シート!$E$2,AD27*VLOOKUP(LEFT(AE$6,FIND("(",AE$6)-1),基本シート!$B$6:$C$29,2,FALSE))</f>
        <v>1.4930000000000001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1.1399999999999999</v>
      </c>
      <c r="AO27" s="3">
        <f>IF($E27="〇",AN27*基本シート!$E$2,AN27*VLOOKUP(LEFT(AO$6,FIND("(",AO$6)-1),基本シート!$B$6:$C$29,2,FALSE))</f>
        <v>34.040399999999998</v>
      </c>
      <c r="AP27" s="3">
        <v>2.0499999999999998</v>
      </c>
      <c r="AQ27" s="3">
        <f>IF($E27="〇",AP27*基本シート!$E$2,AP27*VLOOKUP(LEFT(AQ$6,FIND("(",AQ$6)-1),基本シート!$B$6:$C$29,2,FALSE))</f>
        <v>61.212999999999994</v>
      </c>
      <c r="AR27" s="3">
        <v>0.89</v>
      </c>
      <c r="AS27" s="3">
        <f>IF($E27="〇",AR27*基本シート!$E$2,AR27*VLOOKUP(LEFT(AS$6,FIND("(",AS$6)-1),基本シート!$B$6:$C$29,2,FALSE))</f>
        <v>26.575399999999998</v>
      </c>
      <c r="AT27" s="3">
        <v>0.81</v>
      </c>
      <c r="AU27" s="3">
        <f>IF($E27="〇",AT27*基本シート!$E$2,AT27*VLOOKUP(LEFT(AU$6,FIND("(",AU$6)-1),基本シート!$B$6:$C$29,2,FALSE))</f>
        <v>24.186600000000002</v>
      </c>
      <c r="AV27" s="3">
        <v>0.82</v>
      </c>
      <c r="AW27" s="3">
        <f>IF($E27="〇",AV27*基本シート!$E$2,AV27*VLOOKUP(LEFT(AW$6,FIND("(",AW$6)-1),基本シート!$B$6:$C$29,2,FALSE))</f>
        <v>24.485199999999999</v>
      </c>
      <c r="AX27" s="3">
        <v>1.4</v>
      </c>
      <c r="AY27" s="3">
        <f>IF($E27="〇",AX27*基本シート!$E$2,AX27*VLOOKUP(LEFT(AY$6,FIND("(",AY$6)-1),基本シート!$B$6:$C$29,2,FALSE))</f>
        <v>41.803999999999995</v>
      </c>
      <c r="AZ27" s="3">
        <v>0.79</v>
      </c>
      <c r="BA27" s="3">
        <f>IF($E27="〇",AZ27*基本シート!$E$2,AZ27*VLOOKUP(LEFT(BA$6,FIND("(",BA$6)-1),基本シート!$B$6:$C$29,2,FALSE))</f>
        <v>23.589400000000001</v>
      </c>
      <c r="BB27" s="3">
        <v>0.82</v>
      </c>
      <c r="BC27" s="3">
        <f>IF($E27="〇",BB27*基本シート!$E$2,BB27*VLOOKUP(LEFT(BC$6,FIND("(",BC$6)-1),基本シート!$B$6:$C$29,2,FALSE))</f>
        <v>24.485199999999999</v>
      </c>
      <c r="BD27" s="3">
        <f t="shared" si="7"/>
        <v>18.190000000000005</v>
      </c>
      <c r="BE27" s="3">
        <f t="shared" si="8"/>
        <v>543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0.13</v>
      </c>
      <c r="BN27" s="3">
        <v>0.24</v>
      </c>
      <c r="BO27" s="3">
        <v>0.43</v>
      </c>
      <c r="BP27" s="3">
        <v>0.98</v>
      </c>
      <c r="BQ27" s="3">
        <v>1.48</v>
      </c>
      <c r="BR27" s="3">
        <v>4.3600000000000003</v>
      </c>
      <c r="BS27" s="3">
        <v>1.1100000000000001</v>
      </c>
      <c r="BT27" s="3">
        <v>0.38</v>
      </c>
      <c r="BU27" s="3">
        <v>0.05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0.02</v>
      </c>
      <c r="DA27" s="3">
        <f>CZ27*基本シート!$C$3</f>
        <v>0.32</v>
      </c>
      <c r="DB27" s="3">
        <v>1.55</v>
      </c>
      <c r="DC27" s="3">
        <f>DB27*基本シート!$C$3</f>
        <v>24.8</v>
      </c>
      <c r="DD27" s="3">
        <v>0</v>
      </c>
      <c r="DE27" s="3">
        <f>DD27*基本シート!$C$3</f>
        <v>0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1.57</v>
      </c>
      <c r="EA27" s="3">
        <f>ROUND(DZ27*基本シート!$C$3,0)</f>
        <v>25</v>
      </c>
      <c r="EB27" s="3">
        <v>0.04</v>
      </c>
      <c r="EC27" s="3">
        <v>0.03</v>
      </c>
      <c r="ED27" s="3">
        <v>0.04</v>
      </c>
      <c r="EE27" s="3">
        <v>0.04</v>
      </c>
      <c r="EF27" s="3">
        <v>0.04</v>
      </c>
      <c r="EG27" s="3">
        <v>0.04</v>
      </c>
      <c r="EH27" s="3">
        <v>0.04</v>
      </c>
      <c r="EI27" s="3">
        <v>0.01</v>
      </c>
      <c r="EJ27" s="3">
        <v>0.01</v>
      </c>
      <c r="EK27" s="3">
        <v>0.03</v>
      </c>
      <c r="EL27" s="3">
        <v>7.0000000000000007E-2</v>
      </c>
      <c r="EM27" s="3">
        <v>0.77</v>
      </c>
      <c r="EN27" s="3">
        <v>2.1800000000000002</v>
      </c>
      <c r="EO27" s="3">
        <v>0.42</v>
      </c>
      <c r="EP27" s="3">
        <v>0</v>
      </c>
      <c r="EQ27" s="3">
        <v>0</v>
      </c>
      <c r="ER27" s="3">
        <v>0</v>
      </c>
      <c r="ES27" s="3">
        <v>0.03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0.04</v>
      </c>
      <c r="EZ27" s="3">
        <f t="shared" si="11"/>
        <v>4.0199999999999996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0.24</v>
      </c>
      <c r="FP27" s="3">
        <v>1.36</v>
      </c>
      <c r="FQ27" s="3">
        <v>1.17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2.77</v>
      </c>
      <c r="FZ27" s="3">
        <v>0.82</v>
      </c>
      <c r="GA27" s="3">
        <v>0.9</v>
      </c>
      <c r="GB27" s="3">
        <v>0.88</v>
      </c>
      <c r="GC27" s="3">
        <v>0.89</v>
      </c>
      <c r="GD27" s="3">
        <v>0.89</v>
      </c>
      <c r="GE27" s="3">
        <v>1.02</v>
      </c>
      <c r="GF27" s="3">
        <v>1.1299999999999999</v>
      </c>
      <c r="GG27" s="3">
        <v>1.03</v>
      </c>
      <c r="GH27" s="3">
        <v>1.03</v>
      </c>
      <c r="GI27" s="3">
        <v>0.95</v>
      </c>
      <c r="GJ27" s="3">
        <v>1.27</v>
      </c>
      <c r="GK27" s="3">
        <v>0.74</v>
      </c>
      <c r="GL27" s="3">
        <v>0.63</v>
      </c>
      <c r="GM27" s="3">
        <v>0.69</v>
      </c>
      <c r="GN27" s="3">
        <v>0.62</v>
      </c>
      <c r="GO27" s="3">
        <v>1.41</v>
      </c>
      <c r="GP27" s="3">
        <v>2.31</v>
      </c>
      <c r="GQ27" s="3">
        <v>2.02</v>
      </c>
      <c r="GR27" s="3">
        <v>0.85</v>
      </c>
      <c r="GS27" s="3">
        <v>0.78</v>
      </c>
      <c r="GT27" s="3">
        <v>0.78</v>
      </c>
      <c r="GU27" s="3">
        <v>1.36</v>
      </c>
      <c r="GV27" s="3">
        <v>0.75</v>
      </c>
      <c r="GW27" s="3">
        <v>0.78</v>
      </c>
      <c r="GX27" s="3">
        <f t="shared" si="13"/>
        <v>24.53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186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 t="s">
        <v>296</v>
      </c>
      <c r="G28" s="6" t="s">
        <v>298</v>
      </c>
      <c r="H28" s="3">
        <v>0.72</v>
      </c>
      <c r="I28" s="3">
        <f>IF($E28="〇",H28*基本シート!$E$2,H28*VLOOKUP(LEFT(I$6,FIND("(",I$6)-1),基本シート!$B$6:$C$29,2,FALSE))</f>
        <v>21.499199999999998</v>
      </c>
      <c r="J28" s="3">
        <v>0.91</v>
      </c>
      <c r="K28" s="3">
        <f>IF($E28="〇",J28*基本シート!$E$2,J28*VLOOKUP(LEFT(K$6,FIND("(",K$6)-1),基本シート!$B$6:$C$29,2,FALSE))</f>
        <v>27.172599999999999</v>
      </c>
      <c r="L28" s="3">
        <v>0.8</v>
      </c>
      <c r="M28" s="3">
        <f>IF($E28="〇",L28*基本シート!$E$2,L28*VLOOKUP(LEFT(M$6,FIND("(",M$6)-1),基本シート!$B$6:$C$29,2,FALSE))</f>
        <v>23.888000000000002</v>
      </c>
      <c r="N28" s="3">
        <v>0.95</v>
      </c>
      <c r="O28" s="3">
        <f>IF($E28="〇",N28*基本シート!$E$2,N28*VLOOKUP(LEFT(O$6,FIND("(",O$6)-1),基本シート!$B$6:$C$29,2,FALSE))</f>
        <v>28.366999999999997</v>
      </c>
      <c r="P28" s="3">
        <v>1.72</v>
      </c>
      <c r="Q28" s="3">
        <f>IF($E28="〇",P28*基本シート!$E$2,P28*VLOOKUP(LEFT(Q$6,FIND("(",Q$6)-1),基本シート!$B$6:$C$29,2,FALSE))</f>
        <v>51.359200000000001</v>
      </c>
      <c r="R28" s="3">
        <v>0.98</v>
      </c>
      <c r="S28" s="3">
        <f>IF($E28="〇",R28*基本シート!$E$2,R28*VLOOKUP(LEFT(S$6,FIND("(",S$6)-1),基本シート!$B$6:$C$29,2,FALSE))</f>
        <v>29.262799999999999</v>
      </c>
      <c r="T28" s="3">
        <v>0.86</v>
      </c>
      <c r="U28" s="3">
        <f>IF($E28="〇",T28*基本シート!$E$2,T28*VLOOKUP(LEFT(U$6,FIND("(",U$6)-1),基本シート!$B$6:$C$29,2,FALSE))</f>
        <v>25.679600000000001</v>
      </c>
      <c r="V28" s="3">
        <v>0.68</v>
      </c>
      <c r="W28" s="3">
        <f>IF($E28="〇",V28*基本シート!$E$2,V28*VLOOKUP(LEFT(W$6,FIND("(",W$6)-1),基本シート!$B$6:$C$29,2,FALSE))</f>
        <v>20.3048</v>
      </c>
      <c r="X28" s="3">
        <v>0.16</v>
      </c>
      <c r="Y28" s="3">
        <f>IF($E28="〇",X28*基本シート!$E$2,X28*VLOOKUP(LEFT(Y$6,FIND("(",Y$6)-1),基本シート!$B$6:$C$29,2,FALSE))</f>
        <v>4.7775999999999996</v>
      </c>
      <c r="Z28" s="3">
        <v>0.03</v>
      </c>
      <c r="AA28" s="3">
        <f>IF($E28="〇",Z28*基本シート!$E$2,Z28*VLOOKUP(LEFT(AA$6,FIND("(",AA$6)-1),基本シート!$B$6:$C$29,2,FALSE))</f>
        <v>0.89579999999999993</v>
      </c>
      <c r="AB28" s="3">
        <v>0.72</v>
      </c>
      <c r="AC28" s="3">
        <f>IF($E28="〇",AB28*基本シート!$E$2,AB28*VLOOKUP(LEFT(AC$6,FIND("(",AC$6)-1),基本シート!$B$6:$C$29,2,FALSE))</f>
        <v>21.499199999999998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0.01</v>
      </c>
      <c r="AK28" s="3">
        <f>IF($E28="〇",AJ28*基本シート!$E$2,AJ28*VLOOKUP(LEFT(AK$6,FIND("(",AK$6)-1),基本シート!$B$6:$C$29,2,FALSE))</f>
        <v>0.29859999999999998</v>
      </c>
      <c r="AL28" s="3">
        <v>0.01</v>
      </c>
      <c r="AM28" s="3">
        <f>IF($E28="〇",AL28*基本シート!$E$2,AL28*VLOOKUP(LEFT(AM$6,FIND("(",AM$6)-1),基本シート!$B$6:$C$29,2,FALSE))</f>
        <v>0.29859999999999998</v>
      </c>
      <c r="AN28" s="3">
        <v>1.64</v>
      </c>
      <c r="AO28" s="3">
        <f>IF($E28="〇",AN28*基本シート!$E$2,AN28*VLOOKUP(LEFT(AO$6,FIND("(",AO$6)-1),基本シート!$B$6:$C$29,2,FALSE))</f>
        <v>48.970399999999998</v>
      </c>
      <c r="AP28" s="3">
        <v>2.2000000000000002</v>
      </c>
      <c r="AQ28" s="3">
        <f>IF($E28="〇",AP28*基本シート!$E$2,AP28*VLOOKUP(LEFT(AQ$6,FIND("(",AQ$6)-1),基本シート!$B$6:$C$29,2,FALSE))</f>
        <v>65.692000000000007</v>
      </c>
      <c r="AR28" s="3">
        <v>1.35</v>
      </c>
      <c r="AS28" s="3">
        <f>IF($E28="〇",AR28*基本シート!$E$2,AR28*VLOOKUP(LEFT(AS$6,FIND("(",AS$6)-1),基本シート!$B$6:$C$29,2,FALSE))</f>
        <v>40.311</v>
      </c>
      <c r="AT28" s="3">
        <v>1.1599999999999999</v>
      </c>
      <c r="AU28" s="3">
        <f>IF($E28="〇",AT28*基本シート!$E$2,AT28*VLOOKUP(LEFT(AU$6,FIND("(",AU$6)-1),基本シート!$B$6:$C$29,2,FALSE))</f>
        <v>34.637599999999999</v>
      </c>
      <c r="AV28" s="3">
        <v>1.33</v>
      </c>
      <c r="AW28" s="3">
        <f>IF($E28="〇",AV28*基本シート!$E$2,AV28*VLOOKUP(LEFT(AW$6,FIND("(",AW$6)-1),基本シート!$B$6:$C$29,2,FALSE))</f>
        <v>39.713799999999999</v>
      </c>
      <c r="AX28" s="3">
        <v>1.73</v>
      </c>
      <c r="AY28" s="3">
        <f>IF($E28="〇",AX28*基本シート!$E$2,AX28*VLOOKUP(LEFT(AY$6,FIND("(",AY$6)-1),基本シート!$B$6:$C$29,2,FALSE))</f>
        <v>51.657800000000002</v>
      </c>
      <c r="AZ28" s="3">
        <v>1.1599999999999999</v>
      </c>
      <c r="BA28" s="3">
        <f>IF($E28="〇",AZ28*基本シート!$E$2,AZ28*VLOOKUP(LEFT(BA$6,FIND("(",BA$6)-1),基本シート!$B$6:$C$29,2,FALSE))</f>
        <v>34.637599999999999</v>
      </c>
      <c r="BB28" s="3">
        <v>2.12</v>
      </c>
      <c r="BC28" s="3">
        <f>IF($E28="〇",BB28*基本シート!$E$2,BB28*VLOOKUP(LEFT(BC$6,FIND("(",BC$6)-1),基本シート!$B$6:$C$29,2,FALSE))</f>
        <v>63.303200000000004</v>
      </c>
      <c r="BD28" s="3">
        <f t="shared" si="7"/>
        <v>21.240000000000002</v>
      </c>
      <c r="BE28" s="3">
        <f t="shared" si="8"/>
        <v>634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0.41</v>
      </c>
      <c r="BN28" s="3">
        <v>0.82</v>
      </c>
      <c r="BO28" s="3">
        <v>0.68</v>
      </c>
      <c r="BP28" s="3">
        <v>1.78</v>
      </c>
      <c r="BQ28" s="3">
        <v>1.86</v>
      </c>
      <c r="BR28" s="3">
        <v>4.91</v>
      </c>
      <c r="BS28" s="3">
        <v>4.51</v>
      </c>
      <c r="BT28" s="3">
        <v>2.02</v>
      </c>
      <c r="BU28" s="3">
        <v>0.24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0.01</v>
      </c>
      <c r="CW28" s="3">
        <f>CV28*基本シート!$C$3</f>
        <v>0.16</v>
      </c>
      <c r="CX28" s="3">
        <v>0.03</v>
      </c>
      <c r="CY28" s="3">
        <f>CX28*基本シート!$C$3</f>
        <v>0.48</v>
      </c>
      <c r="CZ28" s="3">
        <v>0.16</v>
      </c>
      <c r="DA28" s="3">
        <f>CZ28*基本シート!$C$3</f>
        <v>2.56</v>
      </c>
      <c r="DB28" s="3">
        <v>0.86</v>
      </c>
      <c r="DC28" s="3">
        <f>DB28*基本シート!$C$3</f>
        <v>13.76</v>
      </c>
      <c r="DD28" s="3">
        <v>2.15</v>
      </c>
      <c r="DE28" s="3">
        <f>DD28*基本シート!$C$3</f>
        <v>34.4</v>
      </c>
      <c r="DF28" s="3">
        <v>0.99</v>
      </c>
      <c r="DG28" s="3">
        <f>DF28*基本シート!$C$3</f>
        <v>15.84</v>
      </c>
      <c r="DH28" s="3">
        <v>0.01</v>
      </c>
      <c r="DI28" s="3">
        <f>DH28*基本シート!$C$3</f>
        <v>0.16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4.21</v>
      </c>
      <c r="EA28" s="3">
        <f>ROUND(DZ28*基本シート!$C$3,0)</f>
        <v>67</v>
      </c>
      <c r="EB28" s="3">
        <v>0.04</v>
      </c>
      <c r="EC28" s="3">
        <v>0.04</v>
      </c>
      <c r="ED28" s="3">
        <v>0.03</v>
      </c>
      <c r="EE28" s="3">
        <v>0.04</v>
      </c>
      <c r="EF28" s="3">
        <v>0.04</v>
      </c>
      <c r="EG28" s="3">
        <v>0.04</v>
      </c>
      <c r="EH28" s="3">
        <v>0.03</v>
      </c>
      <c r="EI28" s="3">
        <v>0.03</v>
      </c>
      <c r="EJ28" s="3">
        <v>0.22</v>
      </c>
      <c r="EK28" s="3">
        <v>0</v>
      </c>
      <c r="EL28" s="3">
        <v>0.28000000000000003</v>
      </c>
      <c r="EM28" s="3">
        <v>1.1100000000000001</v>
      </c>
      <c r="EN28" s="3">
        <v>3.23</v>
      </c>
      <c r="EO28" s="3">
        <v>1.62</v>
      </c>
      <c r="EP28" s="3">
        <v>0</v>
      </c>
      <c r="EQ28" s="3">
        <v>0</v>
      </c>
      <c r="ER28" s="3">
        <v>0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0.03</v>
      </c>
      <c r="EZ28" s="3">
        <f t="shared" si="11"/>
        <v>7.0200000000000005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0.25</v>
      </c>
      <c r="FK28" s="3">
        <v>0</v>
      </c>
      <c r="FL28" s="3">
        <v>0</v>
      </c>
      <c r="FM28" s="3">
        <v>0</v>
      </c>
      <c r="FN28" s="3">
        <v>0</v>
      </c>
      <c r="FO28" s="3">
        <v>1.25</v>
      </c>
      <c r="FP28" s="3">
        <v>2.62</v>
      </c>
      <c r="FQ28" s="3">
        <v>1.22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5.34</v>
      </c>
      <c r="FZ28" s="3">
        <v>0.68</v>
      </c>
      <c r="GA28" s="3">
        <v>0.87</v>
      </c>
      <c r="GB28" s="3">
        <v>0.77</v>
      </c>
      <c r="GC28" s="3">
        <v>0.91</v>
      </c>
      <c r="GD28" s="3">
        <v>1.68</v>
      </c>
      <c r="GE28" s="3">
        <v>0.94</v>
      </c>
      <c r="GF28" s="3">
        <v>0.83</v>
      </c>
      <c r="GG28" s="3">
        <v>1.06</v>
      </c>
      <c r="GH28" s="3">
        <v>0.76</v>
      </c>
      <c r="GI28" s="3">
        <v>0.95</v>
      </c>
      <c r="GJ28" s="3">
        <v>2.19</v>
      </c>
      <c r="GK28" s="3">
        <v>0.59</v>
      </c>
      <c r="GL28" s="3">
        <v>0.82</v>
      </c>
      <c r="GM28" s="3">
        <v>0.74</v>
      </c>
      <c r="GN28" s="3">
        <v>2.29</v>
      </c>
      <c r="GO28" s="3">
        <v>2.86</v>
      </c>
      <c r="GP28" s="3">
        <v>2.87</v>
      </c>
      <c r="GQ28" s="3">
        <v>2.16</v>
      </c>
      <c r="GR28" s="3">
        <v>1.31</v>
      </c>
      <c r="GS28" s="3">
        <v>1.1200000000000001</v>
      </c>
      <c r="GT28" s="3">
        <v>1.29</v>
      </c>
      <c r="GU28" s="3">
        <v>1.69</v>
      </c>
      <c r="GV28" s="3">
        <v>1.1200000000000001</v>
      </c>
      <c r="GW28" s="3">
        <v>2.09</v>
      </c>
      <c r="GX28" s="3">
        <f t="shared" si="13"/>
        <v>32.590000000000003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187</v>
      </c>
      <c r="C29" s="6" t="str">
        <f>TEXT(VLOOKUP(LEFT(B29,FIND("月",B29)),基本シート!$E$6:$F$17,2,FALSE)&amp;B29,"aaaa")</f>
        <v>月曜日</v>
      </c>
      <c r="D29" s="6"/>
      <c r="E29" s="6" t="str">
        <f t="shared" si="9"/>
        <v/>
      </c>
      <c r="F29" s="6" t="s">
        <v>298</v>
      </c>
      <c r="G29" s="6" t="s">
        <v>298</v>
      </c>
      <c r="H29" s="3">
        <v>1.01</v>
      </c>
      <c r="I29" s="3">
        <f>IF($E29="〇",H29*基本シート!$E$2,H29*VLOOKUP(LEFT(I$6,FIND("(",I$6)-1),基本シート!$B$6:$C$29,2,FALSE))</f>
        <v>30.1586</v>
      </c>
      <c r="J29" s="3">
        <v>1.03</v>
      </c>
      <c r="K29" s="3">
        <f>IF($E29="〇",J29*基本シート!$E$2,J29*VLOOKUP(LEFT(K$6,FIND("(",K$6)-1),基本シート!$B$6:$C$29,2,FALSE))</f>
        <v>30.755800000000001</v>
      </c>
      <c r="L29" s="3">
        <v>1.06</v>
      </c>
      <c r="M29" s="3">
        <f>IF($E29="〇",L29*基本シート!$E$2,L29*VLOOKUP(LEFT(M$6,FIND("(",M$6)-1),基本シート!$B$6:$C$29,2,FALSE))</f>
        <v>31.651600000000002</v>
      </c>
      <c r="N29" s="3">
        <v>1</v>
      </c>
      <c r="O29" s="3">
        <f>IF($E29="〇",N29*基本シート!$E$2,N29*VLOOKUP(LEFT(O$6,FIND("(",O$6)-1),基本シート!$B$6:$C$29,2,FALSE))</f>
        <v>29.86</v>
      </c>
      <c r="P29" s="3">
        <v>1.24</v>
      </c>
      <c r="Q29" s="3">
        <f>IF($E29="〇",P29*基本シート!$E$2,P29*VLOOKUP(LEFT(Q$6,FIND("(",Q$6)-1),基本シート!$B$6:$C$29,2,FALSE))</f>
        <v>37.026400000000002</v>
      </c>
      <c r="R29" s="3">
        <v>1.1299999999999999</v>
      </c>
      <c r="S29" s="3">
        <f>IF($E29="〇",R29*基本シート!$E$2,R29*VLOOKUP(LEFT(S$6,FIND("(",S$6)-1),基本シート!$B$6:$C$29,2,FALSE))</f>
        <v>33.741799999999998</v>
      </c>
      <c r="T29" s="3">
        <v>1.33</v>
      </c>
      <c r="U29" s="3">
        <f>IF($E29="〇",T29*基本シート!$E$2,T29*VLOOKUP(LEFT(U$6,FIND("(",U$6)-1),基本シート!$B$6:$C$29,2,FALSE))</f>
        <v>39.713799999999999</v>
      </c>
      <c r="V29" s="3">
        <v>1.91</v>
      </c>
      <c r="W29" s="3">
        <f>IF($E29="〇",V29*基本シート!$E$2,V29*VLOOKUP(LEFT(W$6,FIND("(",W$6)-1),基本シート!$B$6:$C$29,2,FALSE))</f>
        <v>70.402599999999993</v>
      </c>
      <c r="X29" s="3">
        <v>0.36</v>
      </c>
      <c r="Y29" s="3">
        <f>IF($E29="〇",X29*基本シート!$E$2,X29*VLOOKUP(LEFT(Y$6,FIND("(",Y$6)-1),基本シート!$B$6:$C$29,2,FALSE))</f>
        <v>13.269599999999999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0.36859999999999998</v>
      </c>
      <c r="AN29" s="3">
        <v>2.61</v>
      </c>
      <c r="AO29" s="3">
        <f>IF($E29="〇",AN29*基本シート!$E$2,AN29*VLOOKUP(LEFT(AO$6,FIND("(",AO$6)-1),基本シート!$B$6:$C$29,2,FALSE))</f>
        <v>96.204599999999999</v>
      </c>
      <c r="AP29" s="3">
        <v>3.78</v>
      </c>
      <c r="AQ29" s="3">
        <f>IF($E29="〇",AP29*基本シート!$E$2,AP29*VLOOKUP(LEFT(AQ$6,FIND("(",AQ$6)-1),基本シート!$B$6:$C$29,2,FALSE))</f>
        <v>139.33079999999998</v>
      </c>
      <c r="AR29" s="3">
        <v>3.9</v>
      </c>
      <c r="AS29" s="3">
        <f>IF($E29="〇",AR29*基本シート!$E$2,AR29*VLOOKUP(LEFT(AS$6,FIND("(",AS$6)-1),基本シート!$B$6:$C$29,2,FALSE))</f>
        <v>143.75399999999999</v>
      </c>
      <c r="AT29" s="3">
        <v>2.92</v>
      </c>
      <c r="AU29" s="3">
        <f>IF($E29="〇",AT29*基本シート!$E$2,AT29*VLOOKUP(LEFT(AU$6,FIND("(",AU$6)-1),基本シート!$B$6:$C$29,2,FALSE))</f>
        <v>107.63119999999999</v>
      </c>
      <c r="AV29" s="3">
        <v>1.55</v>
      </c>
      <c r="AW29" s="3">
        <f>IF($E29="〇",AV29*基本シート!$E$2,AV29*VLOOKUP(LEFT(AW$6,FIND("(",AW$6)-1),基本シート!$B$6:$C$29,2,FALSE))</f>
        <v>57.133000000000003</v>
      </c>
      <c r="AX29" s="3">
        <v>1.45</v>
      </c>
      <c r="AY29" s="3">
        <f>IF($E29="〇",AX29*基本シート!$E$2,AX29*VLOOKUP(LEFT(AY$6,FIND("(",AY$6)-1),基本シート!$B$6:$C$29,2,FALSE))</f>
        <v>43.296999999999997</v>
      </c>
      <c r="AZ29" s="3">
        <v>1.1200000000000001</v>
      </c>
      <c r="BA29" s="3">
        <f>IF($E29="〇",AZ29*基本シート!$E$2,AZ29*VLOOKUP(LEFT(BA$6,FIND("(",BA$6)-1),基本シート!$B$6:$C$29,2,FALSE))</f>
        <v>33.443200000000004</v>
      </c>
      <c r="BB29" s="3">
        <v>1.1599999999999999</v>
      </c>
      <c r="BC29" s="3">
        <f>IF($E29="〇",BB29*基本シート!$E$2,BB29*VLOOKUP(LEFT(BC$6,FIND("(",BC$6)-1),基本シート!$B$6:$C$29,2,FALSE))</f>
        <v>34.637599999999999</v>
      </c>
      <c r="BD29" s="3">
        <f t="shared" si="7"/>
        <v>28.57</v>
      </c>
      <c r="BE29" s="3">
        <f t="shared" si="8"/>
        <v>972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0.06</v>
      </c>
      <c r="BN29" s="3">
        <v>1.38</v>
      </c>
      <c r="BO29" s="3">
        <v>4.26</v>
      </c>
      <c r="BP29" s="3">
        <v>4.8</v>
      </c>
      <c r="BQ29" s="3">
        <v>3.26</v>
      </c>
      <c r="BR29" s="3">
        <v>1.34</v>
      </c>
      <c r="BS29" s="3">
        <v>1.07</v>
      </c>
      <c r="BT29" s="3">
        <v>0.05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0.04</v>
      </c>
      <c r="CU29" s="3">
        <f>CT29*基本シート!$C$3</f>
        <v>0.64</v>
      </c>
      <c r="CV29" s="3">
        <v>1.37</v>
      </c>
      <c r="CW29" s="3">
        <f>CV29*基本シート!$C$3</f>
        <v>21.92</v>
      </c>
      <c r="CX29" s="3">
        <v>0.67</v>
      </c>
      <c r="CY29" s="3">
        <f>CX29*基本シート!$C$3</f>
        <v>10.72</v>
      </c>
      <c r="CZ29" s="3">
        <v>2.4700000000000002</v>
      </c>
      <c r="DA29" s="3">
        <f>CZ29*基本シート!$C$3</f>
        <v>39.520000000000003</v>
      </c>
      <c r="DB29" s="3">
        <v>0.13</v>
      </c>
      <c r="DC29" s="3">
        <f>DB29*基本シート!$C$3</f>
        <v>2.08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4.7</v>
      </c>
      <c r="EA29" s="3">
        <f>ROUND(DZ29*基本シート!$C$3,0)</f>
        <v>75</v>
      </c>
      <c r="EB29" s="3">
        <v>0.04</v>
      </c>
      <c r="EC29" s="3">
        <v>0.04</v>
      </c>
      <c r="ED29" s="3">
        <v>0.04</v>
      </c>
      <c r="EE29" s="3">
        <v>0.03</v>
      </c>
      <c r="EF29" s="3">
        <v>0.03</v>
      </c>
      <c r="EG29" s="3">
        <v>0.03</v>
      </c>
      <c r="EH29" s="3">
        <v>0.03</v>
      </c>
      <c r="EI29" s="3">
        <v>0</v>
      </c>
      <c r="EJ29" s="3">
        <v>0.72</v>
      </c>
      <c r="EK29" s="3">
        <v>2.0299999999999998</v>
      </c>
      <c r="EL29" s="3">
        <v>3.28</v>
      </c>
      <c r="EM29" s="3">
        <v>0.11</v>
      </c>
      <c r="EN29" s="3">
        <v>0</v>
      </c>
      <c r="EO29" s="3">
        <v>0.34</v>
      </c>
      <c r="EP29" s="3">
        <v>0</v>
      </c>
      <c r="EQ29" s="3">
        <v>0</v>
      </c>
      <c r="ER29" s="3">
        <v>0</v>
      </c>
      <c r="ES29" s="3">
        <v>0.03</v>
      </c>
      <c r="ET29" s="3">
        <v>0.02</v>
      </c>
      <c r="EU29" s="3">
        <v>0.03</v>
      </c>
      <c r="EV29" s="3">
        <v>0.04</v>
      </c>
      <c r="EW29" s="3">
        <v>0.04</v>
      </c>
      <c r="EX29" s="3">
        <v>0.04</v>
      </c>
      <c r="EY29" s="3">
        <v>0.04</v>
      </c>
      <c r="EZ29" s="3">
        <f t="shared" si="11"/>
        <v>6.96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0.56999999999999995</v>
      </c>
      <c r="FN29" s="3">
        <v>0</v>
      </c>
      <c r="FO29" s="3">
        <v>0.99</v>
      </c>
      <c r="FP29" s="3">
        <v>3.26</v>
      </c>
      <c r="FQ29" s="3">
        <v>0.48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5.3000000000000007</v>
      </c>
      <c r="FZ29" s="3">
        <v>0.97</v>
      </c>
      <c r="GA29" s="3">
        <v>0.99</v>
      </c>
      <c r="GB29" s="3">
        <v>1.02</v>
      </c>
      <c r="GC29" s="3">
        <v>0.97</v>
      </c>
      <c r="GD29" s="3">
        <v>1.21</v>
      </c>
      <c r="GE29" s="3">
        <v>1.1000000000000001</v>
      </c>
      <c r="GF29" s="3">
        <v>1.3</v>
      </c>
      <c r="GG29" s="3">
        <v>1.97</v>
      </c>
      <c r="GH29" s="3">
        <v>0.98</v>
      </c>
      <c r="GI29" s="3">
        <v>0.86</v>
      </c>
      <c r="GJ29" s="3">
        <v>0.85</v>
      </c>
      <c r="GK29" s="3">
        <v>0.68</v>
      </c>
      <c r="GL29" s="3">
        <v>1.78</v>
      </c>
      <c r="GM29" s="3">
        <v>0.72</v>
      </c>
      <c r="GN29" s="3">
        <v>1.04</v>
      </c>
      <c r="GO29" s="3">
        <v>3.26</v>
      </c>
      <c r="GP29" s="3">
        <v>3.09</v>
      </c>
      <c r="GQ29" s="3">
        <v>3.75</v>
      </c>
      <c r="GR29" s="3">
        <v>3.88</v>
      </c>
      <c r="GS29" s="3">
        <v>2.89</v>
      </c>
      <c r="GT29" s="3">
        <v>1.51</v>
      </c>
      <c r="GU29" s="3">
        <v>1.41</v>
      </c>
      <c r="GV29" s="3">
        <v>1.08</v>
      </c>
      <c r="GW29" s="3">
        <v>1.1200000000000001</v>
      </c>
      <c r="GX29" s="3">
        <f t="shared" si="13"/>
        <v>38.429999999999986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188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 t="s">
        <v>298</v>
      </c>
      <c r="G30" s="6" t="s">
        <v>298</v>
      </c>
      <c r="H30" s="3">
        <v>1.08</v>
      </c>
      <c r="I30" s="3">
        <f>IF($E30="〇",H30*基本シート!$E$2,H30*VLOOKUP(LEFT(I$6,FIND("(",I$6)-1),基本シート!$B$6:$C$29,2,FALSE))</f>
        <v>32.248800000000003</v>
      </c>
      <c r="J30" s="3">
        <v>1.06</v>
      </c>
      <c r="K30" s="3">
        <f>IF($E30="〇",J30*基本シート!$E$2,J30*VLOOKUP(LEFT(K$6,FIND("(",K$6)-1),基本シート!$B$6:$C$29,2,FALSE))</f>
        <v>31.651600000000002</v>
      </c>
      <c r="L30" s="3">
        <v>1.19</v>
      </c>
      <c r="M30" s="3">
        <f>IF($E30="〇",L30*基本シート!$E$2,L30*VLOOKUP(LEFT(M$6,FIND("(",M$6)-1),基本シート!$B$6:$C$29,2,FALSE))</f>
        <v>35.5334</v>
      </c>
      <c r="N30" s="3">
        <v>1.17</v>
      </c>
      <c r="O30" s="3">
        <f>IF($E30="〇",N30*基本シート!$E$2,N30*VLOOKUP(LEFT(O$6,FIND("(",O$6)-1),基本シート!$B$6:$C$29,2,FALSE))</f>
        <v>34.936199999999999</v>
      </c>
      <c r="P30" s="3">
        <v>1.66</v>
      </c>
      <c r="Q30" s="3">
        <f>IF($E30="〇",P30*基本シート!$E$2,P30*VLOOKUP(LEFT(Q$6,FIND("(",Q$6)-1),基本シート!$B$6:$C$29,2,FALSE))</f>
        <v>49.567599999999999</v>
      </c>
      <c r="R30" s="3">
        <v>1.25</v>
      </c>
      <c r="S30" s="3">
        <f>IF($E30="〇",R30*基本シート!$E$2,R30*VLOOKUP(LEFT(S$6,FIND("(",S$6)-1),基本シート!$B$6:$C$29,2,FALSE))</f>
        <v>37.325000000000003</v>
      </c>
      <c r="T30" s="3">
        <v>1.77</v>
      </c>
      <c r="U30" s="3">
        <f>IF($E30="〇",T30*基本シート!$E$2,T30*VLOOKUP(LEFT(U$6,FIND("(",U$6)-1),基本シート!$B$6:$C$29,2,FALSE))</f>
        <v>52.852199999999996</v>
      </c>
      <c r="V30" s="3">
        <v>1.1399999999999999</v>
      </c>
      <c r="W30" s="3">
        <f>IF($E30="〇",V30*基本シート!$E$2,V30*VLOOKUP(LEFT(W$6,FIND("(",W$6)-1),基本シート!$B$6:$C$29,2,FALSE))</f>
        <v>42.020399999999995</v>
      </c>
      <c r="X30" s="3">
        <v>1.07</v>
      </c>
      <c r="Y30" s="3">
        <f>IF($E30="〇",X30*基本シート!$E$2,X30*VLOOKUP(LEFT(Y$6,FIND("(",Y$6)-1),基本シート!$B$6:$C$29,2,FALSE))</f>
        <v>39.440200000000004</v>
      </c>
      <c r="Z30" s="3">
        <v>0.86</v>
      </c>
      <c r="AA30" s="3">
        <f>IF($E30="〇",Z30*基本シート!$E$2,Z30*VLOOKUP(LEFT(AA$6,FIND("(",AA$6)-1),基本シート!$B$6:$C$29,2,FALSE))</f>
        <v>31.6996</v>
      </c>
      <c r="AB30" s="3">
        <v>0.64</v>
      </c>
      <c r="AC30" s="3">
        <f>IF($E30="〇",AB30*基本シート!$E$2,AB30*VLOOKUP(LEFT(AC$6,FIND("(",AC$6)-1),基本シート!$B$6:$C$29,2,FALSE))</f>
        <v>23.590399999999999</v>
      </c>
      <c r="AD30" s="3">
        <v>0.51</v>
      </c>
      <c r="AE30" s="3">
        <f>IF($E30="〇",AD30*基本シート!$E$2,AD30*VLOOKUP(LEFT(AE$6,FIND("(",AE$6)-1),基本シート!$B$6:$C$29,2,FALSE))</f>
        <v>18.7986</v>
      </c>
      <c r="AF30" s="3">
        <v>0.6</v>
      </c>
      <c r="AG30" s="3">
        <f>IF($E30="〇",AF30*基本シート!$E$2,AF30*VLOOKUP(LEFT(AG$6,FIND("(",AG$6)-1),基本シート!$B$6:$C$29,2,FALSE))</f>
        <v>22.116</v>
      </c>
      <c r="AH30" s="3">
        <v>0.52</v>
      </c>
      <c r="AI30" s="3">
        <f>IF($E30="〇",AH30*基本シート!$E$2,AH30*VLOOKUP(LEFT(AI$6,FIND("(",AI$6)-1),基本シート!$B$6:$C$29,2,FALSE))</f>
        <v>19.167200000000001</v>
      </c>
      <c r="AJ30" s="3">
        <v>0.4</v>
      </c>
      <c r="AK30" s="3">
        <f>IF($E30="〇",AJ30*基本シート!$E$2,AJ30*VLOOKUP(LEFT(AK$6,FIND("(",AK$6)-1),基本シート!$B$6:$C$29,2,FALSE))</f>
        <v>14.744</v>
      </c>
      <c r="AL30" s="3">
        <v>2.33</v>
      </c>
      <c r="AM30" s="3">
        <f>IF($E30="〇",AL30*基本シート!$E$2,AL30*VLOOKUP(LEFT(AM$6,FIND("(",AM$6)-1),基本シート!$B$6:$C$29,2,FALSE))</f>
        <v>85.883800000000008</v>
      </c>
      <c r="AN30" s="3">
        <v>2.79</v>
      </c>
      <c r="AO30" s="3">
        <f>IF($E30="〇",AN30*基本シート!$E$2,AN30*VLOOKUP(LEFT(AO$6,FIND("(",AO$6)-1),基本シート!$B$6:$C$29,2,FALSE))</f>
        <v>102.8394</v>
      </c>
      <c r="AP30" s="3">
        <v>3.2</v>
      </c>
      <c r="AQ30" s="3">
        <f>IF($E30="〇",AP30*基本シート!$E$2,AP30*VLOOKUP(LEFT(AQ$6,FIND("(",AQ$6)-1),基本シート!$B$6:$C$29,2,FALSE))</f>
        <v>117.952</v>
      </c>
      <c r="AR30" s="3">
        <v>3.91</v>
      </c>
      <c r="AS30" s="3">
        <f>IF($E30="〇",AR30*基本シート!$E$2,AR30*VLOOKUP(LEFT(AS$6,FIND("(",AS$6)-1),基本シート!$B$6:$C$29,2,FALSE))</f>
        <v>144.12260000000001</v>
      </c>
      <c r="AT30" s="3">
        <v>2.4</v>
      </c>
      <c r="AU30" s="3">
        <f>IF($E30="〇",AT30*基本シート!$E$2,AT30*VLOOKUP(LEFT(AU$6,FIND("(",AU$6)-1),基本シート!$B$6:$C$29,2,FALSE))</f>
        <v>88.463999999999999</v>
      </c>
      <c r="AV30" s="3">
        <v>1.24</v>
      </c>
      <c r="AW30" s="3">
        <f>IF($E30="〇",AV30*基本シート!$E$2,AV30*VLOOKUP(LEFT(AW$6,FIND("(",AW$6)-1),基本シート!$B$6:$C$29,2,FALSE))</f>
        <v>45.706400000000002</v>
      </c>
      <c r="AX30" s="3">
        <v>1.65</v>
      </c>
      <c r="AY30" s="3">
        <f>IF($E30="〇",AX30*基本シート!$E$2,AX30*VLOOKUP(LEFT(AY$6,FIND("(",AY$6)-1),基本シート!$B$6:$C$29,2,FALSE))</f>
        <v>49.268999999999998</v>
      </c>
      <c r="AZ30" s="3">
        <v>1.07</v>
      </c>
      <c r="BA30" s="3">
        <f>IF($E30="〇",AZ30*基本シート!$E$2,AZ30*VLOOKUP(LEFT(BA$6,FIND("(",BA$6)-1),基本シート!$B$6:$C$29,2,FALSE))</f>
        <v>31.950200000000002</v>
      </c>
      <c r="BB30" s="3">
        <v>1.1100000000000001</v>
      </c>
      <c r="BC30" s="3">
        <f>IF($E30="〇",BB30*基本シート!$E$2,BB30*VLOOKUP(LEFT(BC$6,FIND("(",BC$6)-1),基本シート!$B$6:$C$29,2,FALSE))</f>
        <v>33.144600000000004</v>
      </c>
      <c r="BD30" s="3">
        <f t="shared" si="7"/>
        <v>34.619999999999997</v>
      </c>
      <c r="BE30" s="3">
        <f t="shared" si="8"/>
        <v>1185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0.06</v>
      </c>
      <c r="BO30" s="3">
        <v>0.22</v>
      </c>
      <c r="BP30" s="3">
        <v>0.25</v>
      </c>
      <c r="BQ30" s="3">
        <v>0.3</v>
      </c>
      <c r="BR30" s="3">
        <v>0.26</v>
      </c>
      <c r="BS30" s="3">
        <v>0.31</v>
      </c>
      <c r="BT30" s="3">
        <v>0.43</v>
      </c>
      <c r="BU30" s="3">
        <v>0.12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>
        <v>0.04</v>
      </c>
      <c r="EC30" s="3">
        <v>0.04</v>
      </c>
      <c r="ED30" s="3">
        <v>0.04</v>
      </c>
      <c r="EE30" s="3">
        <v>0.03</v>
      </c>
      <c r="EF30" s="3">
        <v>0.04</v>
      </c>
      <c r="EG30" s="3">
        <v>0.04</v>
      </c>
      <c r="EH30" s="3">
        <v>0.04</v>
      </c>
      <c r="EI30" s="3">
        <v>0.02</v>
      </c>
      <c r="EJ30" s="3">
        <v>0.01</v>
      </c>
      <c r="EK30" s="3">
        <v>0.01</v>
      </c>
      <c r="EL30" s="3">
        <v>0</v>
      </c>
      <c r="EM30" s="3">
        <v>0.01</v>
      </c>
      <c r="EN30" s="3">
        <v>0</v>
      </c>
      <c r="EO30" s="3">
        <v>0.03</v>
      </c>
      <c r="EP30" s="3">
        <v>0.08</v>
      </c>
      <c r="EQ30" s="3">
        <v>0</v>
      </c>
      <c r="ER30" s="3">
        <v>0.02</v>
      </c>
      <c r="ES30" s="3">
        <v>0.03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11"/>
        <v>0.66000000000000025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0.01</v>
      </c>
      <c r="FZ30" s="3">
        <v>1.04</v>
      </c>
      <c r="GA30" s="3">
        <v>1.02</v>
      </c>
      <c r="GB30" s="3">
        <v>1.1499999999999999</v>
      </c>
      <c r="GC30" s="3">
        <v>1.1399999999999999</v>
      </c>
      <c r="GD30" s="3">
        <v>1.62</v>
      </c>
      <c r="GE30" s="3">
        <v>1.21</v>
      </c>
      <c r="GF30" s="3">
        <v>1.73</v>
      </c>
      <c r="GG30" s="3">
        <v>1.1200000000000001</v>
      </c>
      <c r="GH30" s="3">
        <v>1.1200000000000001</v>
      </c>
      <c r="GI30" s="3">
        <v>1.07</v>
      </c>
      <c r="GJ30" s="3">
        <v>0.89</v>
      </c>
      <c r="GK30" s="3">
        <v>0.8</v>
      </c>
      <c r="GL30" s="3">
        <v>0.86</v>
      </c>
      <c r="GM30" s="3">
        <v>0.8</v>
      </c>
      <c r="GN30" s="3">
        <v>0.75</v>
      </c>
      <c r="GO30" s="3">
        <v>2.46</v>
      </c>
      <c r="GP30" s="3">
        <v>2.77</v>
      </c>
      <c r="GQ30" s="3">
        <v>3.17</v>
      </c>
      <c r="GR30" s="3">
        <v>3.88</v>
      </c>
      <c r="GS30" s="3">
        <v>2.37</v>
      </c>
      <c r="GT30" s="3">
        <v>1.21</v>
      </c>
      <c r="GU30" s="3">
        <v>1.62</v>
      </c>
      <c r="GV30" s="3">
        <v>1.04</v>
      </c>
      <c r="GW30" s="3">
        <v>1.08</v>
      </c>
      <c r="GX30" s="3">
        <f t="shared" si="13"/>
        <v>35.92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189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 t="s">
        <v>296</v>
      </c>
      <c r="G31" s="6" t="s">
        <v>296</v>
      </c>
      <c r="H31" s="3">
        <v>0.99</v>
      </c>
      <c r="I31" s="3">
        <f>IF($E31="〇",H31*基本シート!$E$2,H31*VLOOKUP(LEFT(I$6,FIND("(",I$6)-1),基本シート!$B$6:$C$29,2,FALSE))</f>
        <v>29.561399999999999</v>
      </c>
      <c r="J31" s="3">
        <v>1.03</v>
      </c>
      <c r="K31" s="3">
        <f>IF($E31="〇",J31*基本シート!$E$2,J31*VLOOKUP(LEFT(K$6,FIND("(",K$6)-1),基本シート!$B$6:$C$29,2,FALSE))</f>
        <v>30.755800000000001</v>
      </c>
      <c r="L31" s="3">
        <v>1.1000000000000001</v>
      </c>
      <c r="M31" s="3">
        <f>IF($E31="〇",L31*基本シート!$E$2,L31*VLOOKUP(LEFT(M$6,FIND("(",M$6)-1),基本シート!$B$6:$C$29,2,FALSE))</f>
        <v>32.846000000000004</v>
      </c>
      <c r="N31" s="3">
        <v>1.1200000000000001</v>
      </c>
      <c r="O31" s="3">
        <f>IF($E31="〇",N31*基本シート!$E$2,N31*VLOOKUP(LEFT(O$6,FIND("(",O$6)-1),基本シート!$B$6:$C$29,2,FALSE))</f>
        <v>33.443200000000004</v>
      </c>
      <c r="P31" s="3">
        <v>1.06</v>
      </c>
      <c r="Q31" s="3">
        <f>IF($E31="〇",P31*基本シート!$E$2,P31*VLOOKUP(LEFT(Q$6,FIND("(",Q$6)-1),基本シート!$B$6:$C$29,2,FALSE))</f>
        <v>31.651600000000002</v>
      </c>
      <c r="R31" s="3">
        <v>0.86</v>
      </c>
      <c r="S31" s="3">
        <f>IF($E31="〇",R31*基本シート!$E$2,R31*VLOOKUP(LEFT(S$6,FIND("(",S$6)-1),基本シート!$B$6:$C$29,2,FALSE))</f>
        <v>25.679600000000001</v>
      </c>
      <c r="T31" s="3">
        <v>1.04</v>
      </c>
      <c r="U31" s="3">
        <f>IF($E31="〇",T31*基本シート!$E$2,T31*VLOOKUP(LEFT(U$6,FIND("(",U$6)-1),基本シート!$B$6:$C$29,2,FALSE))</f>
        <v>31.054400000000001</v>
      </c>
      <c r="V31" s="3">
        <v>0.67</v>
      </c>
      <c r="W31" s="3">
        <f>IF($E31="〇",V31*基本シート!$E$2,V31*VLOOKUP(LEFT(W$6,FIND("(",W$6)-1),基本シート!$B$6:$C$29,2,FALSE))</f>
        <v>24.696200000000001</v>
      </c>
      <c r="X31" s="3">
        <v>0.37</v>
      </c>
      <c r="Y31" s="3">
        <f>IF($E31="〇",X31*基本シート!$E$2,X31*VLOOKUP(LEFT(Y$6,FIND("(",Y$6)-1),基本シート!$B$6:$C$29,2,FALSE))</f>
        <v>13.638199999999999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0.01</v>
      </c>
      <c r="AC31" s="3">
        <f>IF($E31="〇",AB31*基本シート!$E$2,AB31*VLOOKUP(LEFT(AC$6,FIND("(",AC$6)-1),基本シート!$B$6:$C$29,2,FALSE))</f>
        <v>0.36859999999999998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2.37</v>
      </c>
      <c r="AQ31" s="3">
        <f>IF($E31="〇",AP31*基本シート!$E$2,AP31*VLOOKUP(LEFT(AQ$6,FIND("(",AQ$6)-1),基本シート!$B$6:$C$29,2,FALSE))</f>
        <v>87.358199999999997</v>
      </c>
      <c r="AR31" s="3">
        <v>3.24</v>
      </c>
      <c r="AS31" s="3">
        <f>IF($E31="〇",AR31*基本シート!$E$2,AR31*VLOOKUP(LEFT(AS$6,FIND("(",AS$6)-1),基本シート!$B$6:$C$29,2,FALSE))</f>
        <v>119.4264</v>
      </c>
      <c r="AT31" s="3">
        <v>2.16</v>
      </c>
      <c r="AU31" s="3">
        <f>IF($E31="〇",AT31*基本シート!$E$2,AT31*VLOOKUP(LEFT(AU$6,FIND("(",AU$6)-1),基本シート!$B$6:$C$29,2,FALSE))</f>
        <v>79.61760000000001</v>
      </c>
      <c r="AV31" s="3">
        <v>0.95</v>
      </c>
      <c r="AW31" s="3">
        <f>IF($E31="〇",AV31*基本シート!$E$2,AV31*VLOOKUP(LEFT(AW$6,FIND("(",AW$6)-1),基本シート!$B$6:$C$29,2,FALSE))</f>
        <v>35.016999999999996</v>
      </c>
      <c r="AX31" s="3">
        <v>1.1599999999999999</v>
      </c>
      <c r="AY31" s="3">
        <f>IF($E31="〇",AX31*基本シート!$E$2,AX31*VLOOKUP(LEFT(AY$6,FIND("(",AY$6)-1),基本シート!$B$6:$C$29,2,FALSE))</f>
        <v>34.637599999999999</v>
      </c>
      <c r="AZ31" s="3">
        <v>1.26</v>
      </c>
      <c r="BA31" s="3">
        <f>IF($E31="〇",AZ31*基本シート!$E$2,AZ31*VLOOKUP(LEFT(BA$6,FIND("(",BA$6)-1),基本シート!$B$6:$C$29,2,FALSE))</f>
        <v>37.623599999999996</v>
      </c>
      <c r="BB31" s="3">
        <v>1.1100000000000001</v>
      </c>
      <c r="BC31" s="3">
        <f>IF($E31="〇",BB31*基本シート!$E$2,BB31*VLOOKUP(LEFT(BC$6,FIND("(",BC$6)-1),基本シート!$B$6:$C$29,2,FALSE))</f>
        <v>33.144600000000004</v>
      </c>
      <c r="BD31" s="3">
        <f t="shared" si="7"/>
        <v>20.52</v>
      </c>
      <c r="BE31" s="3">
        <f t="shared" si="8"/>
        <v>681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0.06</v>
      </c>
      <c r="BN31" s="3">
        <v>0.47</v>
      </c>
      <c r="BO31" s="3">
        <v>3.29</v>
      </c>
      <c r="BP31" s="3">
        <v>4.45</v>
      </c>
      <c r="BQ31" s="3">
        <v>5.66</v>
      </c>
      <c r="BR31" s="3">
        <v>3.61</v>
      </c>
      <c r="BS31" s="3">
        <v>1.73</v>
      </c>
      <c r="BT31" s="3">
        <v>0.8</v>
      </c>
      <c r="BU31" s="3">
        <v>0.24</v>
      </c>
      <c r="BV31" s="3">
        <v>0.01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1.06</v>
      </c>
      <c r="CW31" s="3">
        <f>CV31*基本シート!$C$3</f>
        <v>16.96</v>
      </c>
      <c r="CX31" s="3">
        <v>1.01</v>
      </c>
      <c r="CY31" s="3">
        <f>CX31*基本シート!$C$3</f>
        <v>16.16</v>
      </c>
      <c r="CZ31" s="3">
        <v>2.97</v>
      </c>
      <c r="DA31" s="3">
        <f>CZ31*基本シート!$C$3</f>
        <v>47.52</v>
      </c>
      <c r="DB31" s="3">
        <v>2.92</v>
      </c>
      <c r="DC31" s="3">
        <f>DB31*基本シート!$C$3</f>
        <v>46.72</v>
      </c>
      <c r="DD31" s="3">
        <v>1.05</v>
      </c>
      <c r="DE31" s="3">
        <f>DD31*基本シート!$C$3</f>
        <v>16.8</v>
      </c>
      <c r="DF31" s="3">
        <v>0.11</v>
      </c>
      <c r="DG31" s="3">
        <f>DF31*基本シート!$C$3</f>
        <v>1.76</v>
      </c>
      <c r="DH31" s="3">
        <v>0</v>
      </c>
      <c r="DI31" s="3">
        <f>DH31*基本シート!$C$3</f>
        <v>0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9.1300000000000008</v>
      </c>
      <c r="EA31" s="3">
        <f>ROUND(DZ31*基本シート!$C$3,0)</f>
        <v>146</v>
      </c>
      <c r="EB31" s="3">
        <v>0.03</v>
      </c>
      <c r="EC31" s="3">
        <v>0.03</v>
      </c>
      <c r="ED31" s="3">
        <v>0.02</v>
      </c>
      <c r="EE31" s="3">
        <v>0.04</v>
      </c>
      <c r="EF31" s="3">
        <v>0.04</v>
      </c>
      <c r="EG31" s="3">
        <v>0.04</v>
      </c>
      <c r="EH31" s="3">
        <v>0.04</v>
      </c>
      <c r="EI31" s="3">
        <v>0.01</v>
      </c>
      <c r="EJ31" s="3">
        <v>0.05</v>
      </c>
      <c r="EK31" s="3">
        <v>1.41</v>
      </c>
      <c r="EL31" s="3">
        <v>2.78</v>
      </c>
      <c r="EM31" s="3">
        <v>1.96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0.04</v>
      </c>
      <c r="EV31" s="3">
        <v>0.04</v>
      </c>
      <c r="EW31" s="3">
        <v>0.03</v>
      </c>
      <c r="EX31" s="3">
        <v>0.04</v>
      </c>
      <c r="EY31" s="3">
        <v>0.04</v>
      </c>
      <c r="EZ31" s="3">
        <f t="shared" si="11"/>
        <v>6.6700000000000008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0.14000000000000001</v>
      </c>
      <c r="FP31" s="3">
        <v>1.55</v>
      </c>
      <c r="FQ31" s="3">
        <v>2.52</v>
      </c>
      <c r="FR31" s="3">
        <v>0.85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5.0599999999999996</v>
      </c>
      <c r="FZ31" s="3">
        <v>0.96</v>
      </c>
      <c r="GA31" s="3">
        <v>1</v>
      </c>
      <c r="GB31" s="3">
        <v>1.08</v>
      </c>
      <c r="GC31" s="3">
        <v>1.08</v>
      </c>
      <c r="GD31" s="3">
        <v>1.02</v>
      </c>
      <c r="GE31" s="3">
        <v>0.82</v>
      </c>
      <c r="GF31" s="3">
        <v>1</v>
      </c>
      <c r="GG31" s="3">
        <v>0.72</v>
      </c>
      <c r="GH31" s="3">
        <v>0.79</v>
      </c>
      <c r="GI31" s="3">
        <v>0.83</v>
      </c>
      <c r="GJ31" s="3">
        <v>0.67</v>
      </c>
      <c r="GK31" s="3">
        <v>0.73</v>
      </c>
      <c r="GL31" s="3">
        <v>0.69</v>
      </c>
      <c r="GM31" s="3">
        <v>0.68</v>
      </c>
      <c r="GN31" s="3">
        <v>0.83</v>
      </c>
      <c r="GO31" s="3">
        <v>1.79</v>
      </c>
      <c r="GP31" s="3">
        <v>2.5299999999999998</v>
      </c>
      <c r="GQ31" s="3">
        <v>3.22</v>
      </c>
      <c r="GR31" s="3">
        <v>3.21</v>
      </c>
      <c r="GS31" s="3">
        <v>2.12</v>
      </c>
      <c r="GT31" s="3">
        <v>0.91</v>
      </c>
      <c r="GU31" s="3">
        <v>1.1299999999999999</v>
      </c>
      <c r="GV31" s="3">
        <v>1.22</v>
      </c>
      <c r="GW31" s="3">
        <v>1.07</v>
      </c>
      <c r="GX31" s="3">
        <f t="shared" si="13"/>
        <v>30.1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190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 t="s">
        <v>366</v>
      </c>
      <c r="G32" s="6" t="s">
        <v>366</v>
      </c>
      <c r="H32" s="3">
        <v>0.98</v>
      </c>
      <c r="I32" s="3">
        <f>IF($E32="〇",H32*基本シート!$E$2,H32*VLOOKUP(LEFT(I$6,FIND("(",I$6)-1),基本シート!$B$6:$C$29,2,FALSE))</f>
        <v>29.262799999999999</v>
      </c>
      <c r="J32" s="3">
        <v>1.08</v>
      </c>
      <c r="K32" s="3">
        <f>IF($E32="〇",J32*基本シート!$E$2,J32*VLOOKUP(LEFT(K$6,FIND("(",K$6)-1),基本シート!$B$6:$C$29,2,FALSE))</f>
        <v>32.248800000000003</v>
      </c>
      <c r="L32" s="3">
        <v>1.02</v>
      </c>
      <c r="M32" s="3">
        <f>IF($E32="〇",L32*基本シート!$E$2,L32*VLOOKUP(LEFT(M$6,FIND("(",M$6)-1),基本シート!$B$6:$C$29,2,FALSE))</f>
        <v>30.4572</v>
      </c>
      <c r="N32" s="3">
        <v>0.97</v>
      </c>
      <c r="O32" s="3">
        <f>IF($E32="〇",N32*基本シート!$E$2,N32*VLOOKUP(LEFT(O$6,FIND("(",O$6)-1),基本シート!$B$6:$C$29,2,FALSE))</f>
        <v>28.964199999999998</v>
      </c>
      <c r="P32" s="3">
        <v>1.37</v>
      </c>
      <c r="Q32" s="3">
        <f>IF($E32="〇",P32*基本シート!$E$2,P32*VLOOKUP(LEFT(Q$6,FIND("(",Q$6)-1),基本シート!$B$6:$C$29,2,FALSE))</f>
        <v>40.908200000000001</v>
      </c>
      <c r="R32" s="3">
        <v>0.75</v>
      </c>
      <c r="S32" s="3">
        <f>IF($E32="〇",R32*基本シート!$E$2,R32*VLOOKUP(LEFT(S$6,FIND("(",S$6)-1),基本シート!$B$6:$C$29,2,FALSE))</f>
        <v>22.395</v>
      </c>
      <c r="T32" s="3">
        <v>1.25</v>
      </c>
      <c r="U32" s="3">
        <f>IF($E32="〇",T32*基本シート!$E$2,T32*VLOOKUP(LEFT(U$6,FIND("(",U$6)-1),基本シート!$B$6:$C$29,2,FALSE))</f>
        <v>37.325000000000003</v>
      </c>
      <c r="V32" s="3">
        <v>0.95</v>
      </c>
      <c r="W32" s="3">
        <f>IF($E32="〇",V32*基本シート!$E$2,V32*VLOOKUP(LEFT(W$6,FIND("(",W$6)-1),基本シート!$B$6:$C$29,2,FALSE))</f>
        <v>35.016999999999996</v>
      </c>
      <c r="X32" s="3">
        <v>0.34</v>
      </c>
      <c r="Y32" s="3">
        <f>IF($E32="〇",X32*基本シート!$E$2,X32*VLOOKUP(LEFT(Y$6,FIND("(",Y$6)-1),基本シート!$B$6:$C$29,2,FALSE))</f>
        <v>12.532400000000001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0.36859999999999998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2.04</v>
      </c>
      <c r="AQ32" s="3">
        <f>IF($E32="〇",AP32*基本シート!$E$2,AP32*VLOOKUP(LEFT(AQ$6,FIND("(",AQ$6)-1),基本シート!$B$6:$C$29,2,FALSE))</f>
        <v>75.194400000000002</v>
      </c>
      <c r="AR32" s="3">
        <v>3.21</v>
      </c>
      <c r="AS32" s="3">
        <f>IF($E32="〇",AR32*基本シート!$E$2,AR32*VLOOKUP(LEFT(AS$6,FIND("(",AS$6)-1),基本シート!$B$6:$C$29,2,FALSE))</f>
        <v>118.3206</v>
      </c>
      <c r="AT32" s="3">
        <v>2.1800000000000002</v>
      </c>
      <c r="AU32" s="3">
        <f>IF($E32="〇",AT32*基本シート!$E$2,AT32*VLOOKUP(LEFT(AU$6,FIND("(",AU$6)-1),基本シート!$B$6:$C$29,2,FALSE))</f>
        <v>80.354800000000012</v>
      </c>
      <c r="AV32" s="3">
        <v>1.07</v>
      </c>
      <c r="AW32" s="3">
        <f>IF($E32="〇",AV32*基本シート!$E$2,AV32*VLOOKUP(LEFT(AW$6,FIND("(",AW$6)-1),基本シート!$B$6:$C$29,2,FALSE))</f>
        <v>39.440200000000004</v>
      </c>
      <c r="AX32" s="3">
        <v>1.29</v>
      </c>
      <c r="AY32" s="3">
        <f>IF($E32="〇",AX32*基本シート!$E$2,AX32*VLOOKUP(LEFT(AY$6,FIND("(",AY$6)-1),基本シート!$B$6:$C$29,2,FALSE))</f>
        <v>38.519399999999997</v>
      </c>
      <c r="AZ32" s="3">
        <v>0.84</v>
      </c>
      <c r="BA32" s="3">
        <f>IF($E32="〇",AZ32*基本シート!$E$2,AZ32*VLOOKUP(LEFT(BA$6,FIND("(",BA$6)-1),基本シート!$B$6:$C$29,2,FALSE))</f>
        <v>25.0824</v>
      </c>
      <c r="BB32" s="3">
        <v>0.95</v>
      </c>
      <c r="BC32" s="3">
        <f>IF($E32="〇",BB32*基本シート!$E$2,BB32*VLOOKUP(LEFT(BC$6,FIND("(",BC$6)-1),基本シート!$B$6:$C$29,2,FALSE))</f>
        <v>28.366999999999997</v>
      </c>
      <c r="BD32" s="3">
        <f t="shared" si="7"/>
        <v>20.309999999999999</v>
      </c>
      <c r="BE32" s="3">
        <f t="shared" si="8"/>
        <v>675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0.05</v>
      </c>
      <c r="BN32" s="3">
        <v>0.59</v>
      </c>
      <c r="BO32" s="3">
        <v>1.18</v>
      </c>
      <c r="BP32" s="3">
        <v>3.55</v>
      </c>
      <c r="BQ32" s="3">
        <v>4.13</v>
      </c>
      <c r="BR32" s="3">
        <v>3.58</v>
      </c>
      <c r="BS32" s="3">
        <v>2.02</v>
      </c>
      <c r="BT32" s="3">
        <v>0.73</v>
      </c>
      <c r="BU32" s="3">
        <v>0.15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0.01</v>
      </c>
      <c r="CU32" s="3">
        <f>CT32*基本シート!$C$3</f>
        <v>0.16</v>
      </c>
      <c r="CV32" s="3">
        <v>0.01</v>
      </c>
      <c r="CW32" s="3">
        <f>CV32*基本シート!$C$3</f>
        <v>0.16</v>
      </c>
      <c r="CX32" s="3">
        <v>0.1</v>
      </c>
      <c r="CY32" s="3">
        <f>CX32*基本シート!$C$3</f>
        <v>1.6</v>
      </c>
      <c r="CZ32" s="3">
        <v>0.43</v>
      </c>
      <c r="DA32" s="3">
        <f>CZ32*基本シート!$C$3</f>
        <v>6.88</v>
      </c>
      <c r="DB32" s="3">
        <v>2.89</v>
      </c>
      <c r="DC32" s="3">
        <f>DB32*基本シート!$C$3</f>
        <v>46.24</v>
      </c>
      <c r="DD32" s="3">
        <v>1.31</v>
      </c>
      <c r="DE32" s="3">
        <f>DD32*基本シート!$C$3</f>
        <v>20.96</v>
      </c>
      <c r="DF32" s="3">
        <v>0.12</v>
      </c>
      <c r="DG32" s="3">
        <f>DF32*基本シート!$C$3</f>
        <v>1.92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4.8899999999999997</v>
      </c>
      <c r="EA32" s="3">
        <f>ROUND(DZ32*基本シート!$C$3,0)</f>
        <v>78</v>
      </c>
      <c r="EB32" s="3">
        <v>0.03</v>
      </c>
      <c r="EC32" s="3">
        <v>0.04</v>
      </c>
      <c r="ED32" s="3">
        <v>0.04</v>
      </c>
      <c r="EE32" s="3">
        <v>0.04</v>
      </c>
      <c r="EF32" s="3">
        <v>0.04</v>
      </c>
      <c r="EG32" s="3">
        <v>0.03</v>
      </c>
      <c r="EH32" s="3">
        <v>0.04</v>
      </c>
      <c r="EI32" s="3">
        <v>0.01</v>
      </c>
      <c r="EJ32" s="3">
        <v>0.14000000000000001</v>
      </c>
      <c r="EK32" s="3">
        <v>0.38</v>
      </c>
      <c r="EL32" s="3">
        <v>2.72</v>
      </c>
      <c r="EM32" s="3">
        <v>2.91</v>
      </c>
      <c r="EN32" s="3">
        <v>0.03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0.04</v>
      </c>
      <c r="EU32" s="3">
        <v>0.04</v>
      </c>
      <c r="EV32" s="3">
        <v>0.04</v>
      </c>
      <c r="EW32" s="3">
        <v>0.03</v>
      </c>
      <c r="EX32" s="3">
        <v>0.04</v>
      </c>
      <c r="EY32" s="3">
        <v>0.04</v>
      </c>
      <c r="EZ32" s="3">
        <f t="shared" si="11"/>
        <v>6.6800000000000006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0.15</v>
      </c>
      <c r="FP32" s="3">
        <v>1.54</v>
      </c>
      <c r="FQ32" s="3">
        <v>2.4900000000000002</v>
      </c>
      <c r="FR32" s="3">
        <v>0.91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5.09</v>
      </c>
      <c r="FZ32" s="3">
        <v>0.95</v>
      </c>
      <c r="GA32" s="3">
        <v>1.04</v>
      </c>
      <c r="GB32" s="3">
        <v>0.98</v>
      </c>
      <c r="GC32" s="3">
        <v>0.93</v>
      </c>
      <c r="GD32" s="3">
        <v>1.33</v>
      </c>
      <c r="GE32" s="3">
        <v>0.72</v>
      </c>
      <c r="GF32" s="3">
        <v>1.21</v>
      </c>
      <c r="GG32" s="3">
        <v>0.99</v>
      </c>
      <c r="GH32" s="3">
        <v>0.78</v>
      </c>
      <c r="GI32" s="3">
        <v>0.79</v>
      </c>
      <c r="GJ32" s="3">
        <v>0.73</v>
      </c>
      <c r="GK32" s="3">
        <v>0.79</v>
      </c>
      <c r="GL32" s="3">
        <v>0.66</v>
      </c>
      <c r="GM32" s="3">
        <v>0.71</v>
      </c>
      <c r="GN32" s="3">
        <v>0.76</v>
      </c>
      <c r="GO32" s="3">
        <v>1.69</v>
      </c>
      <c r="GP32" s="3">
        <v>2.4900000000000002</v>
      </c>
      <c r="GQ32" s="3">
        <v>2.95</v>
      </c>
      <c r="GR32" s="3">
        <v>3.17</v>
      </c>
      <c r="GS32" s="3">
        <v>2.14</v>
      </c>
      <c r="GT32" s="3">
        <v>1.03</v>
      </c>
      <c r="GU32" s="3">
        <v>1.26</v>
      </c>
      <c r="GV32" s="3">
        <v>0.8</v>
      </c>
      <c r="GW32" s="3">
        <v>0.91</v>
      </c>
      <c r="GX32" s="3">
        <f t="shared" si="13"/>
        <v>29.81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191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 t="s">
        <v>296</v>
      </c>
      <c r="G33" s="6" t="s">
        <v>298</v>
      </c>
      <c r="H33" s="3">
        <v>0.97</v>
      </c>
      <c r="I33" s="3">
        <f>IF($E33="〇",H33*基本シート!$E$2,H33*VLOOKUP(LEFT(I$6,FIND("(",I$6)-1),基本シート!$B$6:$C$29,2,FALSE))</f>
        <v>28.964199999999998</v>
      </c>
      <c r="J33" s="3">
        <v>0.83</v>
      </c>
      <c r="K33" s="3">
        <f>IF($E33="〇",J33*基本シート!$E$2,J33*VLOOKUP(LEFT(K$6,FIND("(",K$6)-1),基本シート!$B$6:$C$29,2,FALSE))</f>
        <v>24.783799999999999</v>
      </c>
      <c r="L33" s="3">
        <v>0.95</v>
      </c>
      <c r="M33" s="3">
        <f>IF($E33="〇",L33*基本シート!$E$2,L33*VLOOKUP(LEFT(M$6,FIND("(",M$6)-1),基本シート!$B$6:$C$29,2,FALSE))</f>
        <v>28.366999999999997</v>
      </c>
      <c r="N33" s="3">
        <v>1.1200000000000001</v>
      </c>
      <c r="O33" s="3">
        <f>IF($E33="〇",N33*基本シート!$E$2,N33*VLOOKUP(LEFT(O$6,FIND("(",O$6)-1),基本シート!$B$6:$C$29,2,FALSE))</f>
        <v>33.443200000000004</v>
      </c>
      <c r="P33" s="3">
        <v>1.2</v>
      </c>
      <c r="Q33" s="3">
        <f>IF($E33="〇",P33*基本シート!$E$2,P33*VLOOKUP(LEFT(Q$6,FIND("(",Q$6)-1),基本シート!$B$6:$C$29,2,FALSE))</f>
        <v>35.832000000000001</v>
      </c>
      <c r="R33" s="3">
        <v>1.08</v>
      </c>
      <c r="S33" s="3">
        <f>IF($E33="〇",R33*基本シート!$E$2,R33*VLOOKUP(LEFT(S$6,FIND("(",S$6)-1),基本シート!$B$6:$C$29,2,FALSE))</f>
        <v>32.248800000000003</v>
      </c>
      <c r="T33" s="3">
        <v>1.1000000000000001</v>
      </c>
      <c r="U33" s="3">
        <f>IF($E33="〇",T33*基本シート!$E$2,T33*VLOOKUP(LEFT(U$6,FIND("(",U$6)-1),基本シート!$B$6:$C$29,2,FALSE))</f>
        <v>32.846000000000004</v>
      </c>
      <c r="V33" s="3">
        <v>0.91</v>
      </c>
      <c r="W33" s="3">
        <f>IF($E33="〇",V33*基本シート!$E$2,V33*VLOOKUP(LEFT(W$6,FIND("(",W$6)-1),基本シート!$B$6:$C$29,2,FALSE))</f>
        <v>33.5426</v>
      </c>
      <c r="X33" s="3">
        <v>0.51</v>
      </c>
      <c r="Y33" s="3">
        <f>IF($E33="〇",X33*基本シート!$E$2,X33*VLOOKUP(LEFT(Y$6,FIND("(",Y$6)-1),基本シート!$B$6:$C$29,2,FALSE))</f>
        <v>18.7986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0.36859999999999998</v>
      </c>
      <c r="AN33" s="3">
        <v>0.02</v>
      </c>
      <c r="AO33" s="3">
        <f>IF($E33="〇",AN33*基本シート!$E$2,AN33*VLOOKUP(LEFT(AO$6,FIND("(",AO$6)-1),基本シート!$B$6:$C$29,2,FALSE))</f>
        <v>0.73719999999999997</v>
      </c>
      <c r="AP33" s="3">
        <v>1.64</v>
      </c>
      <c r="AQ33" s="3">
        <f>IF($E33="〇",AP33*基本シート!$E$2,AP33*VLOOKUP(LEFT(AQ$6,FIND("(",AQ$6)-1),基本シート!$B$6:$C$29,2,FALSE))</f>
        <v>60.450399999999995</v>
      </c>
      <c r="AR33" s="3">
        <v>1.27</v>
      </c>
      <c r="AS33" s="3">
        <f>IF($E33="〇",AR33*基本シート!$E$2,AR33*VLOOKUP(LEFT(AS$6,FIND("(",AS$6)-1),基本シート!$B$6:$C$29,2,FALSE))</f>
        <v>46.812199999999997</v>
      </c>
      <c r="AT33" s="3">
        <v>1.1200000000000001</v>
      </c>
      <c r="AU33" s="3">
        <f>IF($E33="〇",AT33*基本シート!$E$2,AT33*VLOOKUP(LEFT(AU$6,FIND("(",AU$6)-1),基本シート!$B$6:$C$29,2,FALSE))</f>
        <v>41.283200000000001</v>
      </c>
      <c r="AV33" s="3">
        <v>1.33</v>
      </c>
      <c r="AW33" s="3">
        <f>IF($E33="〇",AV33*基本シート!$E$2,AV33*VLOOKUP(LEFT(AW$6,FIND("(",AW$6)-1),基本シート!$B$6:$C$29,2,FALSE))</f>
        <v>49.023800000000001</v>
      </c>
      <c r="AX33" s="3">
        <v>1</v>
      </c>
      <c r="AY33" s="3">
        <f>IF($E33="〇",AX33*基本シート!$E$2,AX33*VLOOKUP(LEFT(AY$6,FIND("(",AY$6)-1),基本シート!$B$6:$C$29,2,FALSE))</f>
        <v>29.86</v>
      </c>
      <c r="AZ33" s="3">
        <v>1.03</v>
      </c>
      <c r="BA33" s="3">
        <f>IF($E33="〇",AZ33*基本シート!$E$2,AZ33*VLOOKUP(LEFT(BA$6,FIND("(",BA$6)-1),基本シート!$B$6:$C$29,2,FALSE))</f>
        <v>30.755800000000001</v>
      </c>
      <c r="BB33" s="3">
        <v>1.08</v>
      </c>
      <c r="BC33" s="3">
        <f>IF($E33="〇",BB33*基本シート!$E$2,BB33*VLOOKUP(LEFT(BC$6,FIND("(",BC$6)-1),基本シート!$B$6:$C$29,2,FALSE))</f>
        <v>32.248800000000003</v>
      </c>
      <c r="BD33" s="3">
        <f t="shared" si="7"/>
        <v>17.170000000000002</v>
      </c>
      <c r="BE33" s="3">
        <f t="shared" si="8"/>
        <v>560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0.82</v>
      </c>
      <c r="BO33" s="3">
        <v>3.95</v>
      </c>
      <c r="BP33" s="3">
        <v>3.62</v>
      </c>
      <c r="BQ33" s="3">
        <v>3.21</v>
      </c>
      <c r="BR33" s="3">
        <v>3.51</v>
      </c>
      <c r="BS33" s="3">
        <v>3.39</v>
      </c>
      <c r="BT33" s="3">
        <v>1.32</v>
      </c>
      <c r="BU33" s="3">
        <v>0.23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0.02</v>
      </c>
      <c r="CU33" s="3">
        <f>CT33*基本シート!$C$3</f>
        <v>0.32</v>
      </c>
      <c r="CV33" s="3">
        <v>0.94</v>
      </c>
      <c r="CW33" s="3">
        <f>CV33*基本シート!$C$3</f>
        <v>15.04</v>
      </c>
      <c r="CX33" s="3">
        <v>0.16</v>
      </c>
      <c r="CY33" s="3">
        <f>CX33*基本シート!$C$3</f>
        <v>2.56</v>
      </c>
      <c r="CZ33" s="3">
        <v>1.18</v>
      </c>
      <c r="DA33" s="3">
        <f>CZ33*基本シート!$C$3</f>
        <v>18.88</v>
      </c>
      <c r="DB33" s="3">
        <v>2.71</v>
      </c>
      <c r="DC33" s="3">
        <f>DB33*基本シート!$C$3</f>
        <v>43.36</v>
      </c>
      <c r="DD33" s="3">
        <v>2.61</v>
      </c>
      <c r="DE33" s="3">
        <f>DD33*基本シート!$C$3</f>
        <v>41.76</v>
      </c>
      <c r="DF33" s="3">
        <v>0.32</v>
      </c>
      <c r="DG33" s="3">
        <f>DF33*基本シート!$C$3</f>
        <v>5.12</v>
      </c>
      <c r="DH33" s="3">
        <v>0.02</v>
      </c>
      <c r="DI33" s="3">
        <f>DH33*基本シート!$C$3</f>
        <v>0.32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7.9599999999999991</v>
      </c>
      <c r="EA33" s="3">
        <f>ROUND(DZ33*基本シート!$C$3,0)</f>
        <v>127</v>
      </c>
      <c r="EB33" s="3">
        <v>0.04</v>
      </c>
      <c r="EC33" s="3">
        <v>0.04</v>
      </c>
      <c r="ED33" s="3">
        <v>0.04</v>
      </c>
      <c r="EE33" s="3">
        <v>0.03</v>
      </c>
      <c r="EF33" s="3">
        <v>0.04</v>
      </c>
      <c r="EG33" s="3">
        <v>0.04</v>
      </c>
      <c r="EH33" s="3">
        <v>0.03</v>
      </c>
      <c r="EI33" s="3">
        <v>0.01</v>
      </c>
      <c r="EJ33" s="3">
        <v>0.35</v>
      </c>
      <c r="EK33" s="3">
        <v>2.11</v>
      </c>
      <c r="EL33" s="3">
        <v>2.75</v>
      </c>
      <c r="EM33" s="3">
        <v>0.93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0.03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0.04</v>
      </c>
      <c r="EZ33" s="3">
        <f t="shared" si="11"/>
        <v>6.6700000000000008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0.02</v>
      </c>
      <c r="FO33" s="3">
        <v>0.1</v>
      </c>
      <c r="FP33" s="3">
        <v>2.59</v>
      </c>
      <c r="FQ33" s="3">
        <v>2.38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5.09</v>
      </c>
      <c r="FZ33" s="3">
        <v>0.93</v>
      </c>
      <c r="GA33" s="3">
        <v>0.79</v>
      </c>
      <c r="GB33" s="3">
        <v>0.91</v>
      </c>
      <c r="GC33" s="3">
        <v>1.0900000000000001</v>
      </c>
      <c r="GD33" s="3">
        <v>1.1599999999999999</v>
      </c>
      <c r="GE33" s="3">
        <v>1.04</v>
      </c>
      <c r="GF33" s="3">
        <v>1.07</v>
      </c>
      <c r="GG33" s="3">
        <v>0.99</v>
      </c>
      <c r="GH33" s="3">
        <v>0.96</v>
      </c>
      <c r="GI33" s="3">
        <v>0.9</v>
      </c>
      <c r="GJ33" s="3">
        <v>0.71</v>
      </c>
      <c r="GK33" s="3">
        <v>1.1000000000000001</v>
      </c>
      <c r="GL33" s="3">
        <v>0.8</v>
      </c>
      <c r="GM33" s="3">
        <v>0.8</v>
      </c>
      <c r="GN33" s="3">
        <v>1.1000000000000001</v>
      </c>
      <c r="GO33" s="3">
        <v>2.81</v>
      </c>
      <c r="GP33" s="3">
        <v>2.4</v>
      </c>
      <c r="GQ33" s="3">
        <v>1.61</v>
      </c>
      <c r="GR33" s="3">
        <v>1.23</v>
      </c>
      <c r="GS33" s="3">
        <v>1.08</v>
      </c>
      <c r="GT33" s="3">
        <v>1.29</v>
      </c>
      <c r="GU33" s="3">
        <v>0.96</v>
      </c>
      <c r="GV33" s="3">
        <v>1</v>
      </c>
      <c r="GW33" s="3">
        <v>1.04</v>
      </c>
      <c r="GX33" s="3">
        <f t="shared" si="13"/>
        <v>27.769999999999996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192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 t="s">
        <v>296</v>
      </c>
      <c r="G34" s="6" t="s">
        <v>298</v>
      </c>
      <c r="H34" s="3">
        <v>2.1</v>
      </c>
      <c r="I34" s="3">
        <f>IF($E34="〇",H34*基本シート!$E$2,H34*VLOOKUP(LEFT(I$6,FIND("(",I$6)-1),基本シート!$B$6:$C$29,2,FALSE))</f>
        <v>62.706000000000003</v>
      </c>
      <c r="J34" s="3">
        <v>1</v>
      </c>
      <c r="K34" s="3">
        <f>IF($E34="〇",J34*基本シート!$E$2,J34*VLOOKUP(LEFT(K$6,FIND("(",K$6)-1),基本シート!$B$6:$C$29,2,FALSE))</f>
        <v>29.86</v>
      </c>
      <c r="L34" s="3">
        <v>1</v>
      </c>
      <c r="M34" s="3">
        <f>IF($E34="〇",L34*基本シート!$E$2,L34*VLOOKUP(LEFT(M$6,FIND("(",M$6)-1),基本シート!$B$6:$C$29,2,FALSE))</f>
        <v>29.86</v>
      </c>
      <c r="N34" s="3">
        <v>1.1299999999999999</v>
      </c>
      <c r="O34" s="3">
        <f>IF($E34="〇",N34*基本シート!$E$2,N34*VLOOKUP(LEFT(O$6,FIND("(",O$6)-1),基本シート!$B$6:$C$29,2,FALSE))</f>
        <v>33.741799999999998</v>
      </c>
      <c r="P34" s="3">
        <v>0.99</v>
      </c>
      <c r="Q34" s="3">
        <f>IF($E34="〇",P34*基本シート!$E$2,P34*VLOOKUP(LEFT(Q$6,FIND("(",Q$6)-1),基本シート!$B$6:$C$29,2,FALSE))</f>
        <v>29.561399999999999</v>
      </c>
      <c r="R34" s="3">
        <v>1.08</v>
      </c>
      <c r="S34" s="3">
        <f>IF($E34="〇",R34*基本シート!$E$2,R34*VLOOKUP(LEFT(S$6,FIND("(",S$6)-1),基本シート!$B$6:$C$29,2,FALSE))</f>
        <v>32.248800000000003</v>
      </c>
      <c r="T34" s="3">
        <v>1.1599999999999999</v>
      </c>
      <c r="U34" s="3">
        <f>IF($E34="〇",T34*基本シート!$E$2,T34*VLOOKUP(LEFT(U$6,FIND("(",U$6)-1),基本シート!$B$6:$C$29,2,FALSE))</f>
        <v>34.637599999999999</v>
      </c>
      <c r="V34" s="3">
        <v>2.08</v>
      </c>
      <c r="W34" s="3">
        <f>IF($E34="〇",V34*基本シート!$E$2,V34*VLOOKUP(LEFT(W$6,FIND("(",W$6)-1),基本シート!$B$6:$C$29,2,FALSE))</f>
        <v>62.108800000000002</v>
      </c>
      <c r="X34" s="3">
        <v>0.96</v>
      </c>
      <c r="Y34" s="3">
        <f>IF($E34="〇",X34*基本シート!$E$2,X34*VLOOKUP(LEFT(Y$6,FIND("(",Y$6)-1),基本シート!$B$6:$C$29,2,FALSE))</f>
        <v>28.665599999999998</v>
      </c>
      <c r="Z34" s="3">
        <v>0.65</v>
      </c>
      <c r="AA34" s="3">
        <f>IF($E34="〇",Z34*基本シート!$E$2,Z34*VLOOKUP(LEFT(AA$6,FIND("(",AA$6)-1),基本シート!$B$6:$C$29,2,FALSE))</f>
        <v>19.408999999999999</v>
      </c>
      <c r="AB34" s="3">
        <v>0.11</v>
      </c>
      <c r="AC34" s="3">
        <f>IF($E34="〇",AB34*基本シート!$E$2,AB34*VLOOKUP(LEFT(AC$6,FIND("(",AC$6)-1),基本シート!$B$6:$C$29,2,FALSE))</f>
        <v>3.2845999999999997</v>
      </c>
      <c r="AD34" s="3">
        <v>0.5</v>
      </c>
      <c r="AE34" s="3">
        <f>IF($E34="〇",AD34*基本シート!$E$2,AD34*VLOOKUP(LEFT(AE$6,FIND("(",AE$6)-1),基本シート!$B$6:$C$29,2,FALSE))</f>
        <v>14.93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0.29859999999999998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1.9</v>
      </c>
      <c r="AM34" s="3">
        <f>IF($E34="〇",AL34*基本シート!$E$2,AL34*VLOOKUP(LEFT(AM$6,FIND("(",AM$6)-1),基本シート!$B$6:$C$29,2,FALSE))</f>
        <v>56.733999999999995</v>
      </c>
      <c r="AN34" s="3">
        <v>2.59</v>
      </c>
      <c r="AO34" s="3">
        <f>IF($E34="〇",AN34*基本シート!$E$2,AN34*VLOOKUP(LEFT(AO$6,FIND("(",AO$6)-1),基本シート!$B$6:$C$29,2,FALSE))</f>
        <v>77.337399999999988</v>
      </c>
      <c r="AP34" s="3">
        <v>2.68</v>
      </c>
      <c r="AQ34" s="3">
        <f>IF($E34="〇",AP34*基本シート!$E$2,AP34*VLOOKUP(LEFT(AQ$6,FIND("(",AQ$6)-1),基本シート!$B$6:$C$29,2,FALSE))</f>
        <v>80.024799999999999</v>
      </c>
      <c r="AR34" s="3">
        <v>3.25</v>
      </c>
      <c r="AS34" s="3">
        <f>IF($E34="〇",AR34*基本シート!$E$2,AR34*VLOOKUP(LEFT(AS$6,FIND("(",AS$6)-1),基本シート!$B$6:$C$29,2,FALSE))</f>
        <v>97.045000000000002</v>
      </c>
      <c r="AT34" s="3">
        <v>3.69</v>
      </c>
      <c r="AU34" s="3">
        <f>IF($E34="〇",AT34*基本シート!$E$2,AT34*VLOOKUP(LEFT(AU$6,FIND("(",AU$6)-1),基本シート!$B$6:$C$29,2,FALSE))</f>
        <v>110.18339999999999</v>
      </c>
      <c r="AV34" s="3">
        <v>1.41</v>
      </c>
      <c r="AW34" s="3">
        <f>IF($E34="〇",AV34*基本シート!$E$2,AV34*VLOOKUP(LEFT(AW$6,FIND("(",AW$6)-1),基本シート!$B$6:$C$29,2,FALSE))</f>
        <v>42.102599999999995</v>
      </c>
      <c r="AX34" s="3">
        <v>1.07</v>
      </c>
      <c r="AY34" s="3">
        <f>IF($E34="〇",AX34*基本シート!$E$2,AX34*VLOOKUP(LEFT(AY$6,FIND("(",AY$6)-1),基本シート!$B$6:$C$29,2,FALSE))</f>
        <v>31.950200000000002</v>
      </c>
      <c r="AZ34" s="3">
        <v>1.01</v>
      </c>
      <c r="BA34" s="3">
        <f>IF($E34="〇",AZ34*基本シート!$E$2,AZ34*VLOOKUP(LEFT(BA$6,FIND("(",BA$6)-1),基本シート!$B$6:$C$29,2,FALSE))</f>
        <v>30.1586</v>
      </c>
      <c r="BB34" s="3">
        <v>1.0900000000000001</v>
      </c>
      <c r="BC34" s="3">
        <f>IF($E34="〇",BB34*基本シート!$E$2,BB34*VLOOKUP(LEFT(BC$6,FIND("(",BC$6)-1),基本シート!$B$6:$C$29,2,FALSE))</f>
        <v>32.547400000000003</v>
      </c>
      <c r="BD34" s="3">
        <f t="shared" si="7"/>
        <v>31.46</v>
      </c>
      <c r="BE34" s="3">
        <f t="shared" si="8"/>
        <v>939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0.02</v>
      </c>
      <c r="BN34" s="3">
        <v>0.18</v>
      </c>
      <c r="BO34" s="3">
        <v>0.4</v>
      </c>
      <c r="BP34" s="3">
        <v>0.94</v>
      </c>
      <c r="BQ34" s="3">
        <v>1.18</v>
      </c>
      <c r="BR34" s="3">
        <v>1.76</v>
      </c>
      <c r="BS34" s="3">
        <v>2.94</v>
      </c>
      <c r="BT34" s="3">
        <v>0.82</v>
      </c>
      <c r="BU34" s="3">
        <v>0.2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</v>
      </c>
      <c r="CY34" s="3">
        <f>CX34*基本シート!$C$3</f>
        <v>0</v>
      </c>
      <c r="CZ34" s="3">
        <v>0.03</v>
      </c>
      <c r="DA34" s="3">
        <f>CZ34*基本シート!$C$3</f>
        <v>0.48</v>
      </c>
      <c r="DB34" s="3">
        <v>0.12</v>
      </c>
      <c r="DC34" s="3">
        <f>DB34*基本シート!$C$3</f>
        <v>1.92</v>
      </c>
      <c r="DD34" s="3">
        <v>0.88</v>
      </c>
      <c r="DE34" s="3">
        <f>DD34*基本シート!$C$3</f>
        <v>14.08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</v>
      </c>
      <c r="DK34" s="3">
        <f>DJ34*基本シート!$C$3</f>
        <v>0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1.04</v>
      </c>
      <c r="EA34" s="3">
        <f>ROUND(DZ34*基本シート!$C$3,0)</f>
        <v>17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0.04</v>
      </c>
      <c r="EI34" s="3">
        <v>0.02</v>
      </c>
      <c r="EJ34" s="3">
        <v>0.01</v>
      </c>
      <c r="EK34" s="3">
        <v>0</v>
      </c>
      <c r="EL34" s="3">
        <v>0.27</v>
      </c>
      <c r="EM34" s="3">
        <v>0</v>
      </c>
      <c r="EN34" s="3">
        <v>0.85</v>
      </c>
      <c r="EO34" s="3">
        <v>1.26</v>
      </c>
      <c r="EP34" s="3">
        <v>0</v>
      </c>
      <c r="EQ34" s="3">
        <v>0</v>
      </c>
      <c r="ER34" s="3">
        <v>0.03</v>
      </c>
      <c r="ES34" s="3">
        <v>0.03</v>
      </c>
      <c r="ET34" s="3">
        <v>0.03</v>
      </c>
      <c r="EU34" s="3">
        <v>0.04</v>
      </c>
      <c r="EV34" s="3">
        <v>0.04</v>
      </c>
      <c r="EW34" s="3">
        <v>0.04</v>
      </c>
      <c r="EX34" s="3">
        <v>0.03</v>
      </c>
      <c r="EY34" s="3">
        <v>0.03</v>
      </c>
      <c r="EZ34" s="3">
        <f t="shared" si="11"/>
        <v>2.9599999999999995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0.06</v>
      </c>
      <c r="FM34" s="3">
        <v>0</v>
      </c>
      <c r="FN34" s="3">
        <v>0</v>
      </c>
      <c r="FO34" s="3">
        <v>1.1100000000000001</v>
      </c>
      <c r="FP34" s="3">
        <v>0.71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1.8800000000000001</v>
      </c>
      <c r="FZ34" s="3">
        <v>2.06</v>
      </c>
      <c r="GA34" s="3">
        <v>0.96</v>
      </c>
      <c r="GB34" s="3">
        <v>0.96</v>
      </c>
      <c r="GC34" s="3">
        <v>1.0900000000000001</v>
      </c>
      <c r="GD34" s="3">
        <v>0.95</v>
      </c>
      <c r="GE34" s="3">
        <v>1.04</v>
      </c>
      <c r="GF34" s="3">
        <v>1.1200000000000001</v>
      </c>
      <c r="GG34" s="3">
        <v>2.08</v>
      </c>
      <c r="GH34" s="3">
        <v>1.1299999999999999</v>
      </c>
      <c r="GI34" s="3">
        <v>1.05</v>
      </c>
      <c r="GJ34" s="3">
        <v>0.78</v>
      </c>
      <c r="GK34" s="3">
        <v>1.71</v>
      </c>
      <c r="GL34" s="3">
        <v>0.79</v>
      </c>
      <c r="GM34" s="3">
        <v>0.81</v>
      </c>
      <c r="GN34" s="3">
        <v>1.92</v>
      </c>
      <c r="GO34" s="3">
        <v>2.81</v>
      </c>
      <c r="GP34" s="3">
        <v>2.57</v>
      </c>
      <c r="GQ34" s="3">
        <v>2.65</v>
      </c>
      <c r="GR34" s="3">
        <v>3.22</v>
      </c>
      <c r="GS34" s="3">
        <v>3.65</v>
      </c>
      <c r="GT34" s="3">
        <v>1.37</v>
      </c>
      <c r="GU34" s="3">
        <v>1.03</v>
      </c>
      <c r="GV34" s="3">
        <v>0.98</v>
      </c>
      <c r="GW34" s="3">
        <v>1.06</v>
      </c>
      <c r="GX34" s="3">
        <f t="shared" si="13"/>
        <v>37.789999999999992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193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 t="s">
        <v>366</v>
      </c>
      <c r="G35" s="6" t="s">
        <v>298</v>
      </c>
      <c r="H35" s="3">
        <v>1.06</v>
      </c>
      <c r="I35" s="3">
        <f>IF($E35="〇",H35*基本シート!$E$2,H35*VLOOKUP(LEFT(I$6,FIND("(",I$6)-1),基本シート!$B$6:$C$29,2,FALSE))</f>
        <v>31.651600000000002</v>
      </c>
      <c r="J35" s="3">
        <v>1.1399999999999999</v>
      </c>
      <c r="K35" s="3">
        <f>IF($E35="〇",J35*基本シート!$E$2,J35*VLOOKUP(LEFT(K$6,FIND("(",K$6)-1),基本シート!$B$6:$C$29,2,FALSE))</f>
        <v>34.040399999999998</v>
      </c>
      <c r="L35" s="3">
        <v>1.1399999999999999</v>
      </c>
      <c r="M35" s="3">
        <f>IF($E35="〇",L35*基本シート!$E$2,L35*VLOOKUP(LEFT(M$6,FIND("(",M$6)-1),基本シート!$B$6:$C$29,2,FALSE))</f>
        <v>34.040399999999998</v>
      </c>
      <c r="N35" s="3">
        <v>1.07</v>
      </c>
      <c r="O35" s="3">
        <f>IF($E35="〇",N35*基本シート!$E$2,N35*VLOOKUP(LEFT(O$6,FIND("(",O$6)-1),基本シート!$B$6:$C$29,2,FALSE))</f>
        <v>31.950200000000002</v>
      </c>
      <c r="P35" s="3">
        <v>1.04</v>
      </c>
      <c r="Q35" s="3">
        <f>IF($E35="〇",P35*基本シート!$E$2,P35*VLOOKUP(LEFT(Q$6,FIND("(",Q$6)-1),基本シート!$B$6:$C$29,2,FALSE))</f>
        <v>31.054400000000001</v>
      </c>
      <c r="R35" s="3">
        <v>1.19</v>
      </c>
      <c r="S35" s="3">
        <f>IF($E35="〇",R35*基本シート!$E$2,R35*VLOOKUP(LEFT(S$6,FIND("(",S$6)-1),基本シート!$B$6:$C$29,2,FALSE))</f>
        <v>35.5334</v>
      </c>
      <c r="T35" s="3">
        <v>1.06</v>
      </c>
      <c r="U35" s="3">
        <f>IF($E35="〇",T35*基本シート!$E$2,T35*VLOOKUP(LEFT(U$6,FIND("(",U$6)-1),基本シート!$B$6:$C$29,2,FALSE))</f>
        <v>31.651600000000002</v>
      </c>
      <c r="V35" s="3">
        <v>1.1000000000000001</v>
      </c>
      <c r="W35" s="3">
        <f>IF($E35="〇",V35*基本シート!$E$2,V35*VLOOKUP(LEFT(W$6,FIND("(",W$6)-1),基本シート!$B$6:$C$29,2,FALSE))</f>
        <v>32.846000000000004</v>
      </c>
      <c r="X35" s="3">
        <v>1.28</v>
      </c>
      <c r="Y35" s="3">
        <f>IF($E35="〇",X35*基本シート!$E$2,X35*VLOOKUP(LEFT(Y$6,FIND("(",Y$6)-1),基本シート!$B$6:$C$29,2,FALSE))</f>
        <v>38.220799999999997</v>
      </c>
      <c r="Z35" s="3">
        <v>1.6</v>
      </c>
      <c r="AA35" s="3">
        <f>IF($E35="〇",Z35*基本シート!$E$2,Z35*VLOOKUP(LEFT(AA$6,FIND("(",AA$6)-1),基本シート!$B$6:$C$29,2,FALSE))</f>
        <v>47.776000000000003</v>
      </c>
      <c r="AB35" s="3">
        <v>1.07</v>
      </c>
      <c r="AC35" s="3">
        <f>IF($E35="〇",AB35*基本シート!$E$2,AB35*VLOOKUP(LEFT(AC$6,FIND("(",AC$6)-1),基本シート!$B$6:$C$29,2,FALSE))</f>
        <v>31.950200000000002</v>
      </c>
      <c r="AD35" s="3">
        <v>1.33</v>
      </c>
      <c r="AE35" s="3">
        <f>IF($E35="〇",AD35*基本シート!$E$2,AD35*VLOOKUP(LEFT(AE$6,FIND("(",AE$6)-1),基本シート!$B$6:$C$29,2,FALSE))</f>
        <v>39.713799999999999</v>
      </c>
      <c r="AF35" s="3">
        <v>0.95</v>
      </c>
      <c r="AG35" s="3">
        <f>IF($E35="〇",AF35*基本シート!$E$2,AF35*VLOOKUP(LEFT(AG$6,FIND("(",AG$6)-1),基本シート!$B$6:$C$29,2,FALSE))</f>
        <v>28.366999999999997</v>
      </c>
      <c r="AH35" s="3">
        <v>1.03</v>
      </c>
      <c r="AI35" s="3">
        <f>IF($E35="〇",AH35*基本シート!$E$2,AH35*VLOOKUP(LEFT(AI$6,FIND("(",AI$6)-1),基本シート!$B$6:$C$29,2,FALSE))</f>
        <v>30.755800000000001</v>
      </c>
      <c r="AJ35" s="3">
        <v>1</v>
      </c>
      <c r="AK35" s="3">
        <f>IF($E35="〇",AJ35*基本シート!$E$2,AJ35*VLOOKUP(LEFT(AK$6,FIND("(",AK$6)-1),基本シート!$B$6:$C$29,2,FALSE))</f>
        <v>29.86</v>
      </c>
      <c r="AL35" s="3">
        <v>2.54</v>
      </c>
      <c r="AM35" s="3">
        <f>IF($E35="〇",AL35*基本シート!$E$2,AL35*VLOOKUP(LEFT(AM$6,FIND("(",AM$6)-1),基本シート!$B$6:$C$29,2,FALSE))</f>
        <v>75.844399999999993</v>
      </c>
      <c r="AN35" s="3">
        <v>3.17</v>
      </c>
      <c r="AO35" s="3">
        <f>IF($E35="〇",AN35*基本シート!$E$2,AN35*VLOOKUP(LEFT(AO$6,FIND("(",AO$6)-1),基本シート!$B$6:$C$29,2,FALSE))</f>
        <v>94.656199999999998</v>
      </c>
      <c r="AP35" s="3">
        <v>3.37</v>
      </c>
      <c r="AQ35" s="3">
        <f>IF($E35="〇",AP35*基本シート!$E$2,AP35*VLOOKUP(LEFT(AQ$6,FIND("(",AQ$6)-1),基本シート!$B$6:$C$29,2,FALSE))</f>
        <v>100.62820000000001</v>
      </c>
      <c r="AR35" s="3">
        <v>3.77</v>
      </c>
      <c r="AS35" s="3">
        <f>IF($E35="〇",AR35*基本シート!$E$2,AR35*VLOOKUP(LEFT(AS$6,FIND("(",AS$6)-1),基本シート!$B$6:$C$29,2,FALSE))</f>
        <v>112.5722</v>
      </c>
      <c r="AT35" s="3">
        <v>2.91</v>
      </c>
      <c r="AU35" s="3">
        <f>IF($E35="〇",AT35*基本シート!$E$2,AT35*VLOOKUP(LEFT(AU$6,FIND("(",AU$6)-1),基本シート!$B$6:$C$29,2,FALSE))</f>
        <v>86.892600000000002</v>
      </c>
      <c r="AV35" s="3">
        <v>1.41</v>
      </c>
      <c r="AW35" s="3">
        <f>IF($E35="〇",AV35*基本シート!$E$2,AV35*VLOOKUP(LEFT(AW$6,FIND("(",AW$6)-1),基本シート!$B$6:$C$29,2,FALSE))</f>
        <v>42.102599999999995</v>
      </c>
      <c r="AX35" s="3">
        <v>1.54</v>
      </c>
      <c r="AY35" s="3">
        <f>IF($E35="〇",AX35*基本シート!$E$2,AX35*VLOOKUP(LEFT(AY$6,FIND("(",AY$6)-1),基本シート!$B$6:$C$29,2,FALSE))</f>
        <v>45.984400000000001</v>
      </c>
      <c r="AZ35" s="3">
        <v>1.3</v>
      </c>
      <c r="BA35" s="3">
        <f>IF($E35="〇",AZ35*基本シート!$E$2,AZ35*VLOOKUP(LEFT(BA$6,FIND("(",BA$6)-1),基本シート!$B$6:$C$29,2,FALSE))</f>
        <v>38.817999999999998</v>
      </c>
      <c r="BB35" s="3">
        <v>1.34</v>
      </c>
      <c r="BC35" s="3">
        <f>IF($E35="〇",BB35*基本シート!$E$2,BB35*VLOOKUP(LEFT(BC$6,FIND("(",BC$6)-1),基本シート!$B$6:$C$29,2,FALSE))</f>
        <v>40.0124</v>
      </c>
      <c r="BD35" s="3">
        <f t="shared" si="7"/>
        <v>38.409999999999989</v>
      </c>
      <c r="BE35" s="3">
        <f t="shared" si="8"/>
        <v>1147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0.01</v>
      </c>
      <c r="BN35" s="3">
        <v>0.08</v>
      </c>
      <c r="BO35" s="3">
        <v>0.09</v>
      </c>
      <c r="BP35" s="3">
        <v>0.02</v>
      </c>
      <c r="BQ35" s="3">
        <v>0.01</v>
      </c>
      <c r="BR35" s="3">
        <v>0</v>
      </c>
      <c r="BS35" s="3">
        <v>0.02</v>
      </c>
      <c r="BT35" s="3">
        <v>0.01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0.04</v>
      </c>
      <c r="EI35" s="3">
        <v>0.01</v>
      </c>
      <c r="EJ35" s="3">
        <v>0.01</v>
      </c>
      <c r="EK35" s="3">
        <v>0.01</v>
      </c>
      <c r="EL35" s="3">
        <v>0.02</v>
      </c>
      <c r="EM35" s="3">
        <v>0.01</v>
      </c>
      <c r="EN35" s="3">
        <v>0.01</v>
      </c>
      <c r="EO35" s="3">
        <v>0.01</v>
      </c>
      <c r="EP35" s="3">
        <v>0.01</v>
      </c>
      <c r="EQ35" s="3">
        <v>0.03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11"/>
        <v>0.72000000000000031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0</v>
      </c>
      <c r="FZ35" s="3">
        <v>1.02</v>
      </c>
      <c r="GA35" s="3">
        <v>1.1000000000000001</v>
      </c>
      <c r="GB35" s="3">
        <v>1.1000000000000001</v>
      </c>
      <c r="GC35" s="3">
        <v>1.03</v>
      </c>
      <c r="GD35" s="3">
        <v>1</v>
      </c>
      <c r="GE35" s="3">
        <v>1.1499999999999999</v>
      </c>
      <c r="GF35" s="3">
        <v>1.02</v>
      </c>
      <c r="GG35" s="3">
        <v>1.1000000000000001</v>
      </c>
      <c r="GH35" s="3">
        <v>1.35</v>
      </c>
      <c r="GI35" s="3">
        <v>1.68</v>
      </c>
      <c r="GJ35" s="3">
        <v>1.07</v>
      </c>
      <c r="GK35" s="3">
        <v>1.33</v>
      </c>
      <c r="GL35" s="3">
        <v>0.94</v>
      </c>
      <c r="GM35" s="3">
        <v>1.04</v>
      </c>
      <c r="GN35" s="3">
        <v>1</v>
      </c>
      <c r="GO35" s="3">
        <v>2.5099999999999998</v>
      </c>
      <c r="GP35" s="3">
        <v>3.13</v>
      </c>
      <c r="GQ35" s="3">
        <v>3.33</v>
      </c>
      <c r="GR35" s="3">
        <v>3.73</v>
      </c>
      <c r="GS35" s="3">
        <v>2.87</v>
      </c>
      <c r="GT35" s="3">
        <v>1.37</v>
      </c>
      <c r="GU35" s="3">
        <v>1.5</v>
      </c>
      <c r="GV35" s="3">
        <v>1.26</v>
      </c>
      <c r="GW35" s="3">
        <v>1.3</v>
      </c>
      <c r="GX35" s="3">
        <f t="shared" si="13"/>
        <v>37.929999999999993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194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 t="s">
        <v>298</v>
      </c>
      <c r="G36" s="6" t="s">
        <v>366</v>
      </c>
      <c r="H36" s="3">
        <v>1.07</v>
      </c>
      <c r="I36" s="3">
        <f>IF($E36="〇",H36*基本シート!$E$2,H36*VLOOKUP(LEFT(I$6,FIND("(",I$6)-1),基本シート!$B$6:$C$29,2,FALSE))</f>
        <v>31.950200000000002</v>
      </c>
      <c r="J36" s="3">
        <v>1.1299999999999999</v>
      </c>
      <c r="K36" s="3">
        <f>IF($E36="〇",J36*基本シート!$E$2,J36*VLOOKUP(LEFT(K$6,FIND("(",K$6)-1),基本シート!$B$6:$C$29,2,FALSE))</f>
        <v>33.741799999999998</v>
      </c>
      <c r="L36" s="3">
        <v>0.9</v>
      </c>
      <c r="M36" s="3">
        <f>IF($E36="〇",L36*基本シート!$E$2,L36*VLOOKUP(LEFT(M$6,FIND("(",M$6)-1),基本シート!$B$6:$C$29,2,FALSE))</f>
        <v>26.873999999999999</v>
      </c>
      <c r="N36" s="3">
        <v>1.0900000000000001</v>
      </c>
      <c r="O36" s="3">
        <f>IF($E36="〇",N36*基本シート!$E$2,N36*VLOOKUP(LEFT(O$6,FIND("(",O$6)-1),基本シート!$B$6:$C$29,2,FALSE))</f>
        <v>32.547400000000003</v>
      </c>
      <c r="P36" s="3">
        <v>1.17</v>
      </c>
      <c r="Q36" s="3">
        <f>IF($E36="〇",P36*基本シート!$E$2,P36*VLOOKUP(LEFT(Q$6,FIND("(",Q$6)-1),基本シート!$B$6:$C$29,2,FALSE))</f>
        <v>34.936199999999999</v>
      </c>
      <c r="R36" s="3">
        <v>0.99</v>
      </c>
      <c r="S36" s="3">
        <f>IF($E36="〇",R36*基本シート!$E$2,R36*VLOOKUP(LEFT(S$6,FIND("(",S$6)-1),基本シート!$B$6:$C$29,2,FALSE))</f>
        <v>29.561399999999999</v>
      </c>
      <c r="T36" s="3">
        <v>0.81</v>
      </c>
      <c r="U36" s="3">
        <f>IF($E36="〇",T36*基本シート!$E$2,T36*VLOOKUP(LEFT(U$6,FIND("(",U$6)-1),基本シート!$B$6:$C$29,2,FALSE))</f>
        <v>24.186600000000002</v>
      </c>
      <c r="V36" s="3">
        <v>1.03</v>
      </c>
      <c r="W36" s="3">
        <f>IF($E36="〇",V36*基本シート!$E$2,V36*VLOOKUP(LEFT(W$6,FIND("(",W$6)-1),基本シート!$B$6:$C$29,2,FALSE))</f>
        <v>37.965800000000002</v>
      </c>
      <c r="X36" s="3">
        <v>0.93</v>
      </c>
      <c r="Y36" s="3">
        <f>IF($E36="〇",X36*基本シート!$E$2,X36*VLOOKUP(LEFT(Y$6,FIND("(",Y$6)-1),基本シート!$B$6:$C$29,2,FALSE))</f>
        <v>34.279800000000002</v>
      </c>
      <c r="Z36" s="3">
        <v>0.88</v>
      </c>
      <c r="AA36" s="3">
        <f>IF($E36="〇",Z36*基本シート!$E$2,Z36*VLOOKUP(LEFT(AA$6,FIND("(",AA$6)-1),基本シート!$B$6:$C$29,2,FALSE))</f>
        <v>32.436799999999998</v>
      </c>
      <c r="AB36" s="3">
        <v>0.68</v>
      </c>
      <c r="AC36" s="3">
        <f>IF($E36="〇",AB36*基本シート!$E$2,AB36*VLOOKUP(LEFT(AC$6,FIND("(",AC$6)-1),基本シート!$B$6:$C$29,2,FALSE))</f>
        <v>25.064800000000002</v>
      </c>
      <c r="AD36" s="3">
        <v>0.53</v>
      </c>
      <c r="AE36" s="3">
        <f>IF($E36="〇",AD36*基本シート!$E$2,AD36*VLOOKUP(LEFT(AE$6,FIND("(",AE$6)-1),基本シート!$B$6:$C$29,2,FALSE))</f>
        <v>19.535800000000002</v>
      </c>
      <c r="AF36" s="3">
        <v>0.02</v>
      </c>
      <c r="AG36" s="3">
        <f>IF($E36="〇",AF36*基本シート!$E$2,AF36*VLOOKUP(LEFT(AG$6,FIND("(",AG$6)-1),基本シート!$B$6:$C$29,2,FALSE))</f>
        <v>0.73719999999999997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2.2599999999999998</v>
      </c>
      <c r="AQ36" s="3">
        <f>IF($E36="〇",AP36*基本シート!$E$2,AP36*VLOOKUP(LEFT(AQ$6,FIND("(",AQ$6)-1),基本シート!$B$6:$C$29,2,FALSE))</f>
        <v>83.303599999999989</v>
      </c>
      <c r="AR36" s="3">
        <v>3</v>
      </c>
      <c r="AS36" s="3">
        <f>IF($E36="〇",AR36*基本シート!$E$2,AR36*VLOOKUP(LEFT(AS$6,FIND("(",AS$6)-1),基本シート!$B$6:$C$29,2,FALSE))</f>
        <v>110.58</v>
      </c>
      <c r="AT36" s="3">
        <v>2.5</v>
      </c>
      <c r="AU36" s="3">
        <f>IF($E36="〇",AT36*基本シート!$E$2,AT36*VLOOKUP(LEFT(AU$6,FIND("(",AU$6)-1),基本シート!$B$6:$C$29,2,FALSE))</f>
        <v>92.15</v>
      </c>
      <c r="AV36" s="3">
        <v>0.8</v>
      </c>
      <c r="AW36" s="3">
        <f>IF($E36="〇",AV36*基本シート!$E$2,AV36*VLOOKUP(LEFT(AW$6,FIND("(",AW$6)-1),基本シート!$B$6:$C$29,2,FALSE))</f>
        <v>29.488</v>
      </c>
      <c r="AX36" s="3">
        <v>0.86</v>
      </c>
      <c r="AY36" s="3">
        <f>IF($E36="〇",AX36*基本シート!$E$2,AX36*VLOOKUP(LEFT(AY$6,FIND("(",AY$6)-1),基本シート!$B$6:$C$29,2,FALSE))</f>
        <v>25.679600000000001</v>
      </c>
      <c r="AZ36" s="3">
        <v>0.87</v>
      </c>
      <c r="BA36" s="3">
        <f>IF($E36="〇",AZ36*基本シート!$E$2,AZ36*VLOOKUP(LEFT(BA$6,FIND("(",BA$6)-1),基本シート!$B$6:$C$29,2,FALSE))</f>
        <v>25.978200000000001</v>
      </c>
      <c r="BB36" s="3">
        <v>0.97</v>
      </c>
      <c r="BC36" s="3">
        <f>IF($E36="〇",BB36*基本シート!$E$2,BB36*VLOOKUP(LEFT(BC$6,FIND("(",BC$6)-1),基本シート!$B$6:$C$29,2,FALSE))</f>
        <v>28.964199999999998</v>
      </c>
      <c r="BD36" s="3">
        <f t="shared" si="7"/>
        <v>22.49</v>
      </c>
      <c r="BE36" s="3">
        <f t="shared" si="8"/>
        <v>760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0.04</v>
      </c>
      <c r="BO36" s="3">
        <v>0.15</v>
      </c>
      <c r="BP36" s="3">
        <v>0.26</v>
      </c>
      <c r="BQ36" s="3">
        <v>0.73</v>
      </c>
      <c r="BR36" s="3">
        <v>2.57</v>
      </c>
      <c r="BS36" s="3">
        <v>2.93</v>
      </c>
      <c r="BT36" s="3">
        <v>2.54</v>
      </c>
      <c r="BU36" s="3">
        <v>0.49</v>
      </c>
      <c r="BV36" s="3">
        <v>0.01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0.44</v>
      </c>
      <c r="DC36" s="3">
        <f>DB36*基本シート!$C$3</f>
        <v>7.04</v>
      </c>
      <c r="DD36" s="3">
        <v>0.49</v>
      </c>
      <c r="DE36" s="3">
        <f>DD36*基本シート!$C$3</f>
        <v>7.84</v>
      </c>
      <c r="DF36" s="3">
        <v>0.01</v>
      </c>
      <c r="DG36" s="3">
        <f>DF36*基本シート!$C$3</f>
        <v>0.16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0.94</v>
      </c>
      <c r="EA36" s="3">
        <f>ROUND(DZ36*基本シート!$C$3,0)</f>
        <v>15</v>
      </c>
      <c r="EB36" s="3">
        <v>0.04</v>
      </c>
      <c r="EC36" s="3">
        <v>0.03</v>
      </c>
      <c r="ED36" s="3">
        <v>0.04</v>
      </c>
      <c r="EE36" s="3">
        <v>0.04</v>
      </c>
      <c r="EF36" s="3">
        <v>0.04</v>
      </c>
      <c r="EG36" s="3">
        <v>0.04</v>
      </c>
      <c r="EH36" s="3">
        <v>0.04</v>
      </c>
      <c r="EI36" s="3">
        <v>0.03</v>
      </c>
      <c r="EJ36" s="3">
        <v>0.01</v>
      </c>
      <c r="EK36" s="3">
        <v>0.01</v>
      </c>
      <c r="EL36" s="3">
        <v>0.01</v>
      </c>
      <c r="EM36" s="3">
        <v>7.0000000000000007E-2</v>
      </c>
      <c r="EN36" s="3">
        <v>1.04</v>
      </c>
      <c r="EO36" s="3">
        <v>1.79</v>
      </c>
      <c r="EP36" s="3">
        <v>1.83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5.3000000000000007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1.1100000000000001</v>
      </c>
      <c r="FQ36" s="3">
        <v>2.54</v>
      </c>
      <c r="FR36" s="3">
        <v>0.28000000000000003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3.9300000000000006</v>
      </c>
      <c r="FZ36" s="3">
        <v>1.03</v>
      </c>
      <c r="GA36" s="3">
        <v>1.1000000000000001</v>
      </c>
      <c r="GB36" s="3">
        <v>0.86</v>
      </c>
      <c r="GC36" s="3">
        <v>1.05</v>
      </c>
      <c r="GD36" s="3">
        <v>1.1299999999999999</v>
      </c>
      <c r="GE36" s="3">
        <v>0.95</v>
      </c>
      <c r="GF36" s="3">
        <v>0.77</v>
      </c>
      <c r="GG36" s="3">
        <v>1</v>
      </c>
      <c r="GH36" s="3">
        <v>0.96</v>
      </c>
      <c r="GI36" s="3">
        <v>1.02</v>
      </c>
      <c r="GJ36" s="3">
        <v>0.93</v>
      </c>
      <c r="GK36" s="3">
        <v>1.19</v>
      </c>
      <c r="GL36" s="3">
        <v>1.1100000000000001</v>
      </c>
      <c r="GM36" s="3">
        <v>0.65</v>
      </c>
      <c r="GN36" s="3">
        <v>0.7</v>
      </c>
      <c r="GO36" s="3">
        <v>1.6</v>
      </c>
      <c r="GP36" s="3">
        <v>2.5499999999999998</v>
      </c>
      <c r="GQ36" s="3">
        <v>2.54</v>
      </c>
      <c r="GR36" s="3">
        <v>2.96</v>
      </c>
      <c r="GS36" s="3">
        <v>2.46</v>
      </c>
      <c r="GT36" s="3">
        <v>0.76</v>
      </c>
      <c r="GU36" s="3">
        <v>0.82</v>
      </c>
      <c r="GV36" s="3">
        <v>0.83</v>
      </c>
      <c r="GW36" s="3">
        <v>0.93</v>
      </c>
      <c r="GX36" s="3">
        <f t="shared" si="13"/>
        <v>29.900000000000002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348</v>
      </c>
      <c r="C37" s="6" t="str">
        <f>TEXT(VLOOKUP(LEFT(B37,FIND("月",B37)),基本シート!$E$6:$F$17,2,FALSE)&amp;B37,"aaaa")</f>
        <v>火曜日</v>
      </c>
      <c r="D37" s="6"/>
      <c r="E37" s="6"/>
      <c r="F37" s="6" t="s">
        <v>365</v>
      </c>
      <c r="G37" s="6" t="s">
        <v>365</v>
      </c>
      <c r="H37" s="3">
        <v>0.91</v>
      </c>
      <c r="I37" s="3">
        <f>IF($E37="〇",H37*基本シート!$E$2,H37*VLOOKUP(LEFT(I$6,FIND("(",I$6)-1),基本シート!$B$6:$C$29,2,FALSE))</f>
        <v>27.172599999999999</v>
      </c>
      <c r="J37" s="3">
        <v>0.93</v>
      </c>
      <c r="K37" s="3">
        <f>IF($E37="〇",J37*基本シート!$E$2,J37*VLOOKUP(LEFT(K$6,FIND("(",K$6)-1),基本シート!$B$6:$C$29,2,FALSE))</f>
        <v>27.7698</v>
      </c>
      <c r="L37" s="3">
        <v>0.79</v>
      </c>
      <c r="M37" s="3">
        <f>IF($E37="〇",L37*基本シート!$E$2,L37*VLOOKUP(LEFT(M$6,FIND("(",M$6)-1),基本シート!$B$6:$C$29,2,FALSE))</f>
        <v>23.589400000000001</v>
      </c>
      <c r="N37" s="3">
        <v>0.72</v>
      </c>
      <c r="O37" s="3">
        <f>IF($E37="〇",N37*基本シート!$E$2,N37*VLOOKUP(LEFT(O$6,FIND("(",O$6)-1),基本シート!$B$6:$C$29,2,FALSE))</f>
        <v>21.499199999999998</v>
      </c>
      <c r="P37" s="3">
        <v>1.01</v>
      </c>
      <c r="Q37" s="3">
        <f>IF($E37="〇",P37*基本シート!$E$2,P37*VLOOKUP(LEFT(Q$6,FIND("(",Q$6)-1),基本シート!$B$6:$C$29,2,FALSE))</f>
        <v>30.1586</v>
      </c>
      <c r="R37" s="3">
        <v>0.95</v>
      </c>
      <c r="S37" s="3">
        <f>IF($E37="〇",R37*基本シート!$E$2,R37*VLOOKUP(LEFT(S$6,FIND("(",S$6)-1),基本シート!$B$6:$C$29,2,FALSE))</f>
        <v>28.366999999999997</v>
      </c>
      <c r="T37" s="3">
        <v>0.95</v>
      </c>
      <c r="U37" s="3">
        <f>IF($E37="〇",T37*基本シート!$E$2,T37*VLOOKUP(LEFT(U$6,FIND("(",U$6)-1),基本シート!$B$6:$C$29,2,FALSE))</f>
        <v>28.366999999999997</v>
      </c>
      <c r="V37" s="3">
        <v>0.93</v>
      </c>
      <c r="W37" s="3">
        <f>IF($E37="〇",V37*基本シート!$E$2,V37*VLOOKUP(LEFT(W$6,FIND("(",W$6)-1),基本シート!$B$6:$C$29,2,FALSE))</f>
        <v>34.279800000000002</v>
      </c>
      <c r="X37" s="3">
        <v>0.89</v>
      </c>
      <c r="Y37" s="3">
        <f>IF($E37="〇",X37*基本シート!$E$2,X37*VLOOKUP(LEFT(Y$6,FIND("(",Y$6)-1),基本シート!$B$6:$C$29,2,FALSE))</f>
        <v>32.805399999999999</v>
      </c>
      <c r="Z37" s="3">
        <v>0.61</v>
      </c>
      <c r="AA37" s="3">
        <f>IF($E37="〇",Z37*基本シート!$E$2,Z37*VLOOKUP(LEFT(AA$6,FIND("(",AA$6)-1),基本シート!$B$6:$C$29,2,FALSE))</f>
        <v>22.4846</v>
      </c>
      <c r="AB37" s="3">
        <v>0.46</v>
      </c>
      <c r="AC37" s="3">
        <f>IF($E37="〇",AB37*基本シート!$E$2,AB37*VLOOKUP(LEFT(AC$6,FIND("(",AC$6)-1),基本シート!$B$6:$C$29,2,FALSE))</f>
        <v>16.9556</v>
      </c>
      <c r="AD37" s="3">
        <v>0.33</v>
      </c>
      <c r="AE37" s="3">
        <f>IF($E37="〇",AD37*基本シート!$E$2,AD37*VLOOKUP(LEFT(AE$6,FIND("(",AE$6)-1),基本シート!$B$6:$C$29,2,FALSE))</f>
        <v>12.1638</v>
      </c>
      <c r="AF37" s="3">
        <v>0.57999999999999996</v>
      </c>
      <c r="AG37" s="3">
        <f>IF($E37="〇",AF37*基本シート!$E$2,AF37*VLOOKUP(LEFT(AG$6,FIND("(",AG$6)-1),基本シート!$B$6:$C$29,2,FALSE))</f>
        <v>21.378799999999998</v>
      </c>
      <c r="AH37" s="3">
        <v>0.64</v>
      </c>
      <c r="AI37" s="3">
        <f>IF($E37="〇",AH37*基本シート!$E$2,AH37*VLOOKUP(LEFT(AI$6,FIND("(",AI$6)-1),基本シート!$B$6:$C$29,2,FALSE))</f>
        <v>23.590399999999999</v>
      </c>
      <c r="AJ37" s="3">
        <v>0.44</v>
      </c>
      <c r="AK37" s="3">
        <f>IF($E37="〇",AJ37*基本シート!$E$2,AJ37*VLOOKUP(LEFT(AK$6,FIND("(",AK$6)-1),基本シート!$B$6:$C$29,2,FALSE))</f>
        <v>16.218399999999999</v>
      </c>
      <c r="AL37" s="3">
        <v>2.2200000000000002</v>
      </c>
      <c r="AM37" s="3">
        <f>IF($E37="〇",AL37*基本シート!$E$2,AL37*VLOOKUP(LEFT(AM$6,FIND("(",AM$6)-1),基本シート!$B$6:$C$29,2,FALSE))</f>
        <v>81.8292</v>
      </c>
      <c r="AN37" s="3">
        <v>2.44</v>
      </c>
      <c r="AO37" s="3">
        <f>IF($E37="〇",AN37*基本シート!$E$2,AN37*VLOOKUP(LEFT(AO$6,FIND("(",AO$6)-1),基本シート!$B$6:$C$29,2,FALSE))</f>
        <v>89.938400000000001</v>
      </c>
      <c r="AP37" s="3">
        <v>2.74</v>
      </c>
      <c r="AQ37" s="3">
        <f>IF($E37="〇",AP37*基本シート!$E$2,AP37*VLOOKUP(LEFT(AQ$6,FIND("(",AQ$6)-1),基本シート!$B$6:$C$29,2,FALSE))</f>
        <v>100.99640000000001</v>
      </c>
      <c r="AR37" s="3">
        <v>3.38</v>
      </c>
      <c r="AS37" s="3">
        <f>IF($E37="〇",AR37*基本シート!$E$2,AR37*VLOOKUP(LEFT(AS$6,FIND("(",AS$6)-1),基本シート!$B$6:$C$29,2,FALSE))</f>
        <v>124.5868</v>
      </c>
      <c r="AT37" s="3">
        <v>2.35</v>
      </c>
      <c r="AU37" s="3">
        <f>IF($E37="〇",AT37*基本シート!$E$2,AT37*VLOOKUP(LEFT(AU$6,FIND("(",AU$6)-1),基本シート!$B$6:$C$29,2,FALSE))</f>
        <v>86.620999999999995</v>
      </c>
      <c r="AV37" s="3">
        <v>0.98</v>
      </c>
      <c r="AW37" s="3">
        <f>IF($E37="〇",AV37*基本シート!$E$2,AV37*VLOOKUP(LEFT(AW$6,FIND("(",AW$6)-1),基本シート!$B$6:$C$29,2,FALSE))</f>
        <v>36.122799999999998</v>
      </c>
      <c r="AX37" s="3">
        <v>1.1200000000000001</v>
      </c>
      <c r="AY37" s="3">
        <f>IF($E37="〇",AX37*基本シート!$E$2,AX37*VLOOKUP(LEFT(AY$6,FIND("(",AY$6)-1),基本シート!$B$6:$C$29,2,FALSE))</f>
        <v>33.443200000000004</v>
      </c>
      <c r="AZ37" s="3">
        <v>1.44</v>
      </c>
      <c r="BA37" s="3">
        <f>IF($E37="〇",AZ37*基本シート!$E$2,AZ37*VLOOKUP(LEFT(BA$6,FIND("(",BA$6)-1),基本シート!$B$6:$C$29,2,FALSE))</f>
        <v>42.998399999999997</v>
      </c>
      <c r="BB37" s="3">
        <v>0.91</v>
      </c>
      <c r="BC37" s="3">
        <f>IF($E37="〇",BB37*基本シート!$E$2,BB37*VLOOKUP(LEFT(BC$6,FIND("(",BC$6)-1),基本シート!$B$6:$C$29,2,FALSE))</f>
        <v>27.172599999999999</v>
      </c>
      <c r="BD37" s="3">
        <f t="shared" si="7"/>
        <v>28.720000000000002</v>
      </c>
      <c r="BE37" s="3">
        <f t="shared" si="8"/>
        <v>991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0.03</v>
      </c>
      <c r="BO37" s="3">
        <v>0.08</v>
      </c>
      <c r="BP37" s="3">
        <v>0.2</v>
      </c>
      <c r="BQ37" s="3">
        <v>0.38</v>
      </c>
      <c r="BR37" s="3">
        <v>0.57999999999999996</v>
      </c>
      <c r="BS37" s="3">
        <v>0.17</v>
      </c>
      <c r="BT37" s="3">
        <v>0.24</v>
      </c>
      <c r="BU37" s="3">
        <v>0.34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</v>
      </c>
      <c r="DA37" s="3">
        <f>CZ37*基本シート!$C$3</f>
        <v>0</v>
      </c>
      <c r="DB37" s="3">
        <v>0</v>
      </c>
      <c r="DC37" s="3">
        <f>DB37*基本シート!$C$3</f>
        <v>0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si="10"/>
        <v>0</v>
      </c>
      <c r="EA37" s="3">
        <f>ROUND(DZ37*基本シート!$C$3,0)</f>
        <v>0</v>
      </c>
      <c r="EB37" s="3">
        <v>0.04</v>
      </c>
      <c r="EC37" s="3">
        <v>0.04</v>
      </c>
      <c r="ED37" s="3">
        <v>0.04</v>
      </c>
      <c r="EE37" s="3">
        <v>0.03</v>
      </c>
      <c r="EF37" s="3">
        <v>0.04</v>
      </c>
      <c r="EG37" s="3">
        <v>0.04</v>
      </c>
      <c r="EH37" s="3">
        <v>0.04</v>
      </c>
      <c r="EI37" s="3">
        <v>0.03</v>
      </c>
      <c r="EJ37" s="3">
        <v>0</v>
      </c>
      <c r="EK37" s="3">
        <v>0.01</v>
      </c>
      <c r="EL37" s="3">
        <v>0.01</v>
      </c>
      <c r="EM37" s="3">
        <v>0.04</v>
      </c>
      <c r="EN37" s="3">
        <v>0.01</v>
      </c>
      <c r="EO37" s="3">
        <v>0</v>
      </c>
      <c r="EP37" s="3">
        <v>0</v>
      </c>
      <c r="EQ37" s="3">
        <v>0</v>
      </c>
      <c r="ER37" s="3">
        <v>0.01</v>
      </c>
      <c r="ES37" s="3">
        <v>0.03</v>
      </c>
      <c r="ET37" s="3">
        <v>0.04</v>
      </c>
      <c r="EU37" s="3">
        <v>0.04</v>
      </c>
      <c r="EV37" s="3">
        <v>0.04</v>
      </c>
      <c r="EW37" s="3">
        <v>0.04</v>
      </c>
      <c r="EX37" s="3">
        <v>0.04</v>
      </c>
      <c r="EY37" s="3">
        <v>0.04</v>
      </c>
      <c r="EZ37" s="3">
        <f t="shared" si="11"/>
        <v>0.65000000000000013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f t="shared" si="12"/>
        <v>0</v>
      </c>
      <c r="FZ37" s="3">
        <v>0.87</v>
      </c>
      <c r="GA37" s="3">
        <v>0.89</v>
      </c>
      <c r="GB37" s="3">
        <v>0.75</v>
      </c>
      <c r="GC37" s="3">
        <v>0.69</v>
      </c>
      <c r="GD37" s="3">
        <v>0.97</v>
      </c>
      <c r="GE37" s="3">
        <v>0.91</v>
      </c>
      <c r="GF37" s="3">
        <v>0.91</v>
      </c>
      <c r="GG37" s="3">
        <v>0.9</v>
      </c>
      <c r="GH37" s="3">
        <v>0.92</v>
      </c>
      <c r="GI37" s="3">
        <v>0.68</v>
      </c>
      <c r="GJ37" s="3">
        <v>0.65</v>
      </c>
      <c r="GK37" s="3">
        <v>0.67</v>
      </c>
      <c r="GL37" s="3">
        <v>1.1499999999999999</v>
      </c>
      <c r="GM37" s="3">
        <v>0.81</v>
      </c>
      <c r="GN37" s="3">
        <v>0.68</v>
      </c>
      <c r="GO37" s="3">
        <v>2.56</v>
      </c>
      <c r="GP37" s="3">
        <v>2.4300000000000002</v>
      </c>
      <c r="GQ37" s="3">
        <v>2.71</v>
      </c>
      <c r="GR37" s="3">
        <v>3.34</v>
      </c>
      <c r="GS37" s="3">
        <v>2.31</v>
      </c>
      <c r="GT37" s="3">
        <v>0.94</v>
      </c>
      <c r="GU37" s="3">
        <v>1.08</v>
      </c>
      <c r="GV37" s="3">
        <v>1.4</v>
      </c>
      <c r="GW37" s="3">
        <v>0.87</v>
      </c>
      <c r="GX37" s="3">
        <f t="shared" si="13"/>
        <v>30.09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/>
      <c r="D38" s="3"/>
      <c r="E38" s="6" t="str">
        <f t="shared" si="9"/>
        <v/>
      </c>
      <c r="F38" s="3"/>
      <c r="G38" s="3"/>
      <c r="H38" s="3">
        <f>SUM(H7:H36)</f>
        <v>27.330000000000002</v>
      </c>
      <c r="I38" s="3">
        <f t="shared" ref="I38:M38" si="14">SUM(I7:I36)</f>
        <v>816.07379999999989</v>
      </c>
      <c r="J38" s="3">
        <f t="shared" si="14"/>
        <v>27.48</v>
      </c>
      <c r="K38" s="3">
        <f t="shared" si="14"/>
        <v>820.55280000000005</v>
      </c>
      <c r="L38" s="3">
        <f t="shared" si="14"/>
        <v>27.250000000000007</v>
      </c>
      <c r="M38" s="3">
        <f t="shared" si="14"/>
        <v>813.68499999999995</v>
      </c>
      <c r="N38" s="3">
        <f>SUM(N7:N37)</f>
        <v>30.099999999999994</v>
      </c>
      <c r="O38" s="3">
        <f t="shared" ref="O38:BZ38" si="15">SUM(O7:O37)</f>
        <v>898.78600000000017</v>
      </c>
      <c r="P38" s="3">
        <f t="shared" si="15"/>
        <v>35.11</v>
      </c>
      <c r="Q38" s="3">
        <f t="shared" si="15"/>
        <v>1048.3845999999999</v>
      </c>
      <c r="R38" s="3">
        <f t="shared" si="15"/>
        <v>30.229999999999993</v>
      </c>
      <c r="S38" s="3">
        <f t="shared" si="15"/>
        <v>902.66779999999994</v>
      </c>
      <c r="T38" s="3">
        <f t="shared" si="15"/>
        <v>33.28</v>
      </c>
      <c r="U38" s="3">
        <f t="shared" si="15"/>
        <v>993.74080000000004</v>
      </c>
      <c r="V38" s="3">
        <f t="shared" si="15"/>
        <v>29.300000000000004</v>
      </c>
      <c r="W38" s="3">
        <f t="shared" si="15"/>
        <v>1008.528</v>
      </c>
      <c r="X38" s="3">
        <f t="shared" si="15"/>
        <v>14.799999999999999</v>
      </c>
      <c r="Y38" s="3">
        <f t="shared" si="15"/>
        <v>506.67800000000005</v>
      </c>
      <c r="Z38" s="3">
        <f t="shared" si="15"/>
        <v>11.42</v>
      </c>
      <c r="AA38" s="3">
        <f t="shared" si="15"/>
        <v>383.07119999999998</v>
      </c>
      <c r="AB38" s="3">
        <f t="shared" si="15"/>
        <v>8.19</v>
      </c>
      <c r="AC38" s="3">
        <f t="shared" si="15"/>
        <v>278.36339999999996</v>
      </c>
      <c r="AD38" s="3">
        <f t="shared" si="15"/>
        <v>6.98</v>
      </c>
      <c r="AE38" s="3">
        <f t="shared" si="15"/>
        <v>237.89279999999999</v>
      </c>
      <c r="AF38" s="3">
        <f t="shared" si="15"/>
        <v>4.7099999999999991</v>
      </c>
      <c r="AG38" s="3">
        <f t="shared" si="15"/>
        <v>163.04059999999998</v>
      </c>
      <c r="AH38" s="3">
        <f t="shared" si="15"/>
        <v>5.35</v>
      </c>
      <c r="AI38" s="3">
        <f t="shared" si="15"/>
        <v>183.62099999999998</v>
      </c>
      <c r="AJ38" s="3">
        <f t="shared" si="15"/>
        <v>4.95</v>
      </c>
      <c r="AK38" s="3">
        <f t="shared" si="15"/>
        <v>169.50699999999998</v>
      </c>
      <c r="AL38" s="3">
        <f t="shared" si="15"/>
        <v>17.52</v>
      </c>
      <c r="AM38" s="3">
        <f t="shared" si="15"/>
        <v>607.2872000000001</v>
      </c>
      <c r="AN38" s="3">
        <f t="shared" si="15"/>
        <v>34.04</v>
      </c>
      <c r="AO38" s="3">
        <f t="shared" si="15"/>
        <v>1173.0944000000002</v>
      </c>
      <c r="AP38" s="3">
        <f t="shared" si="15"/>
        <v>70.58</v>
      </c>
      <c r="AQ38" s="3">
        <f t="shared" si="15"/>
        <v>2442.8888000000002</v>
      </c>
      <c r="AR38" s="3">
        <f t="shared" si="15"/>
        <v>91.029999999999987</v>
      </c>
      <c r="AS38" s="3">
        <f t="shared" si="15"/>
        <v>3185.7558000000004</v>
      </c>
      <c r="AT38" s="3">
        <f t="shared" si="15"/>
        <v>67.689999999999984</v>
      </c>
      <c r="AU38" s="3">
        <f t="shared" si="15"/>
        <v>2356.3134000000005</v>
      </c>
      <c r="AV38" s="3">
        <f t="shared" si="15"/>
        <v>34.789999999999992</v>
      </c>
      <c r="AW38" s="3">
        <f t="shared" si="15"/>
        <v>1209.9094</v>
      </c>
      <c r="AX38" s="3">
        <f t="shared" si="15"/>
        <v>36.739999999999995</v>
      </c>
      <c r="AY38" s="3">
        <f t="shared" si="15"/>
        <v>1097.0563999999997</v>
      </c>
      <c r="AZ38" s="3">
        <f t="shared" si="15"/>
        <v>31.580000000000005</v>
      </c>
      <c r="BA38" s="3">
        <f t="shared" si="15"/>
        <v>942.97879999999986</v>
      </c>
      <c r="BB38" s="3">
        <f t="shared" si="15"/>
        <v>30.579999999999995</v>
      </c>
      <c r="BC38" s="3">
        <f t="shared" si="15"/>
        <v>913.11879999999985</v>
      </c>
      <c r="BD38" s="3">
        <f t="shared" si="15"/>
        <v>713.66</v>
      </c>
      <c r="BE38" s="3">
        <f t="shared" si="15"/>
        <v>23231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</v>
      </c>
      <c r="BL38" s="3">
        <f t="shared" si="15"/>
        <v>0.04</v>
      </c>
      <c r="BM38" s="3">
        <f t="shared" si="15"/>
        <v>4.8999999999999977</v>
      </c>
      <c r="BN38" s="3">
        <f t="shared" si="15"/>
        <v>22.650000000000002</v>
      </c>
      <c r="BO38" s="3">
        <f t="shared" si="15"/>
        <v>51.899999999999991</v>
      </c>
      <c r="BP38" s="3">
        <f t="shared" si="15"/>
        <v>73.75</v>
      </c>
      <c r="BQ38" s="3">
        <f t="shared" si="15"/>
        <v>82.759999999999977</v>
      </c>
      <c r="BR38" s="3">
        <f t="shared" si="15"/>
        <v>88.090000000000018</v>
      </c>
      <c r="BS38" s="3">
        <f t="shared" si="15"/>
        <v>67.980000000000018</v>
      </c>
      <c r="BT38" s="3">
        <f t="shared" si="15"/>
        <v>36.380000000000003</v>
      </c>
      <c r="BU38" s="3">
        <f t="shared" si="15"/>
        <v>6.7600000000000007</v>
      </c>
      <c r="BV38" s="3">
        <f t="shared" si="15"/>
        <v>0.08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ref="CA38:EL38" si="16">SUM(CA7:CA37)</f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si="16"/>
        <v>0</v>
      </c>
      <c r="CH38" s="3">
        <f t="shared" si="16"/>
        <v>0</v>
      </c>
      <c r="CI38" s="3">
        <f t="shared" si="16"/>
        <v>0</v>
      </c>
      <c r="CJ38" s="3">
        <f t="shared" si="16"/>
        <v>0</v>
      </c>
      <c r="CK38" s="3">
        <f t="shared" si="16"/>
        <v>0</v>
      </c>
      <c r="CL38" s="3">
        <f t="shared" si="16"/>
        <v>0</v>
      </c>
      <c r="CM38" s="3">
        <f t="shared" si="16"/>
        <v>0</v>
      </c>
      <c r="CN38" s="3">
        <f t="shared" si="16"/>
        <v>0</v>
      </c>
      <c r="CO38" s="3">
        <f t="shared" si="16"/>
        <v>0</v>
      </c>
      <c r="CP38" s="3">
        <f t="shared" si="16"/>
        <v>0</v>
      </c>
      <c r="CQ38" s="3">
        <f t="shared" si="16"/>
        <v>0</v>
      </c>
      <c r="CR38" s="3">
        <f t="shared" si="16"/>
        <v>0</v>
      </c>
      <c r="CS38" s="3">
        <f t="shared" si="16"/>
        <v>0</v>
      </c>
      <c r="CT38" s="3">
        <f t="shared" si="16"/>
        <v>0.67000000000000015</v>
      </c>
      <c r="CU38" s="3">
        <f t="shared" si="16"/>
        <v>10.720000000000002</v>
      </c>
      <c r="CV38" s="3">
        <f t="shared" si="16"/>
        <v>9.1499999999999986</v>
      </c>
      <c r="CW38" s="3">
        <f t="shared" si="16"/>
        <v>146.39999999999998</v>
      </c>
      <c r="CX38" s="3">
        <f t="shared" si="16"/>
        <v>18.530000000000005</v>
      </c>
      <c r="CY38" s="3">
        <f t="shared" si="16"/>
        <v>296.48000000000008</v>
      </c>
      <c r="CZ38" s="3">
        <f t="shared" si="16"/>
        <v>39.389999999999993</v>
      </c>
      <c r="DA38" s="3">
        <f t="shared" si="16"/>
        <v>630.2399999999999</v>
      </c>
      <c r="DB38" s="3">
        <f t="shared" si="16"/>
        <v>55.269999999999996</v>
      </c>
      <c r="DC38" s="3">
        <f t="shared" si="16"/>
        <v>884.31999999999994</v>
      </c>
      <c r="DD38" s="3">
        <f t="shared" si="16"/>
        <v>39.860000000000007</v>
      </c>
      <c r="DE38" s="3">
        <f t="shared" si="16"/>
        <v>637.7600000000001</v>
      </c>
      <c r="DF38" s="3">
        <f t="shared" si="16"/>
        <v>17.270000000000003</v>
      </c>
      <c r="DG38" s="3">
        <f t="shared" si="16"/>
        <v>276.32000000000005</v>
      </c>
      <c r="DH38" s="3">
        <f t="shared" si="16"/>
        <v>0.67000000000000015</v>
      </c>
      <c r="DI38" s="3">
        <f t="shared" si="16"/>
        <v>10.720000000000002</v>
      </c>
      <c r="DJ38" s="3">
        <f t="shared" si="16"/>
        <v>0.10999999999999999</v>
      </c>
      <c r="DK38" s="3">
        <f t="shared" si="16"/>
        <v>1.7599999999999998</v>
      </c>
      <c r="DL38" s="3">
        <f t="shared" si="16"/>
        <v>0.01</v>
      </c>
      <c r="DM38" s="3">
        <f t="shared" si="16"/>
        <v>0.16</v>
      </c>
      <c r="DN38" s="3">
        <f t="shared" si="16"/>
        <v>0</v>
      </c>
      <c r="DO38" s="3">
        <f t="shared" si="16"/>
        <v>0</v>
      </c>
      <c r="DP38" s="3">
        <f t="shared" si="16"/>
        <v>0</v>
      </c>
      <c r="DQ38" s="3">
        <f t="shared" si="16"/>
        <v>0</v>
      </c>
      <c r="DR38" s="3">
        <f t="shared" si="16"/>
        <v>0</v>
      </c>
      <c r="DS38" s="3">
        <f t="shared" si="16"/>
        <v>0</v>
      </c>
      <c r="DT38" s="3">
        <f t="shared" si="16"/>
        <v>0</v>
      </c>
      <c r="DU38" s="3">
        <f t="shared" si="16"/>
        <v>0</v>
      </c>
      <c r="DV38" s="3">
        <f t="shared" si="16"/>
        <v>0</v>
      </c>
      <c r="DW38" s="3">
        <f t="shared" si="16"/>
        <v>0</v>
      </c>
      <c r="DX38" s="3">
        <f t="shared" si="16"/>
        <v>0</v>
      </c>
      <c r="DY38" s="3">
        <f t="shared" si="16"/>
        <v>0</v>
      </c>
      <c r="DZ38" s="3">
        <f t="shared" si="16"/>
        <v>180.92999999999998</v>
      </c>
      <c r="EA38" s="3">
        <f t="shared" si="16"/>
        <v>2894</v>
      </c>
      <c r="EB38" s="3">
        <f t="shared" si="16"/>
        <v>1.1400000000000006</v>
      </c>
      <c r="EC38" s="3">
        <f t="shared" si="16"/>
        <v>1.1600000000000006</v>
      </c>
      <c r="ED38" s="3">
        <f t="shared" si="16"/>
        <v>1.1700000000000006</v>
      </c>
      <c r="EE38" s="3">
        <f t="shared" si="16"/>
        <v>1.1700000000000006</v>
      </c>
      <c r="EF38" s="3">
        <f t="shared" si="16"/>
        <v>1.1500000000000006</v>
      </c>
      <c r="EG38" s="3">
        <f t="shared" si="16"/>
        <v>1.1400000000000006</v>
      </c>
      <c r="EH38" s="3">
        <f t="shared" si="16"/>
        <v>1.0200000000000005</v>
      </c>
      <c r="EI38" s="3">
        <f t="shared" si="16"/>
        <v>0.97000000000000042</v>
      </c>
      <c r="EJ38" s="3">
        <f t="shared" si="16"/>
        <v>10.17</v>
      </c>
      <c r="EK38" s="3">
        <f t="shared" si="16"/>
        <v>27.190000000000008</v>
      </c>
      <c r="EL38" s="3">
        <f t="shared" si="16"/>
        <v>37.760000000000012</v>
      </c>
      <c r="EM38" s="3">
        <f t="shared" ref="EM38:GX38" si="17">SUM(EM7:EM37)</f>
        <v>24.35</v>
      </c>
      <c r="EN38" s="3">
        <f t="shared" si="17"/>
        <v>13.08</v>
      </c>
      <c r="EO38" s="3">
        <f t="shared" si="17"/>
        <v>11.18</v>
      </c>
      <c r="EP38" s="3">
        <f t="shared" si="17"/>
        <v>3.3000000000000003</v>
      </c>
      <c r="EQ38" s="3">
        <f t="shared" si="17"/>
        <v>0.15000000000000002</v>
      </c>
      <c r="ER38" s="3">
        <f t="shared" si="17"/>
        <v>0.27</v>
      </c>
      <c r="ES38" s="3">
        <f t="shared" si="17"/>
        <v>0.56000000000000005</v>
      </c>
      <c r="ET38" s="3">
        <f t="shared" si="17"/>
        <v>1.0800000000000003</v>
      </c>
      <c r="EU38" s="3">
        <f t="shared" si="17"/>
        <v>1.1000000000000005</v>
      </c>
      <c r="EV38" s="3">
        <f t="shared" si="17"/>
        <v>1.1700000000000006</v>
      </c>
      <c r="EW38" s="3">
        <f t="shared" si="17"/>
        <v>1.1300000000000006</v>
      </c>
      <c r="EX38" s="3">
        <f t="shared" si="17"/>
        <v>1.1200000000000006</v>
      </c>
      <c r="EY38" s="3">
        <f t="shared" si="17"/>
        <v>1.1500000000000006</v>
      </c>
      <c r="EZ38" s="3">
        <f t="shared" si="17"/>
        <v>143.68</v>
      </c>
      <c r="FA38" s="3">
        <f t="shared" si="17"/>
        <v>0</v>
      </c>
      <c r="FB38" s="3">
        <f t="shared" si="17"/>
        <v>0</v>
      </c>
      <c r="FC38" s="3">
        <f t="shared" si="17"/>
        <v>0</v>
      </c>
      <c r="FD38" s="3">
        <f t="shared" si="17"/>
        <v>0</v>
      </c>
      <c r="FE38" s="3">
        <f t="shared" si="17"/>
        <v>0</v>
      </c>
      <c r="FF38" s="3">
        <f t="shared" si="17"/>
        <v>0</v>
      </c>
      <c r="FG38" s="3">
        <f t="shared" si="17"/>
        <v>0</v>
      </c>
      <c r="FH38" s="3">
        <f t="shared" si="17"/>
        <v>0</v>
      </c>
      <c r="FI38" s="3">
        <f t="shared" si="17"/>
        <v>0.05</v>
      </c>
      <c r="FJ38" s="3">
        <f t="shared" si="17"/>
        <v>0.25</v>
      </c>
      <c r="FK38" s="3">
        <f t="shared" si="17"/>
        <v>0</v>
      </c>
      <c r="FL38" s="3">
        <f t="shared" si="17"/>
        <v>6.9999999999999993E-2</v>
      </c>
      <c r="FM38" s="3">
        <f t="shared" si="17"/>
        <v>0.6</v>
      </c>
      <c r="FN38" s="3">
        <f t="shared" si="17"/>
        <v>0.22000000000000003</v>
      </c>
      <c r="FO38" s="3">
        <f t="shared" si="17"/>
        <v>5.8900000000000006</v>
      </c>
      <c r="FP38" s="3">
        <f t="shared" si="17"/>
        <v>31.37</v>
      </c>
      <c r="FQ38" s="3">
        <f t="shared" si="17"/>
        <v>45.38</v>
      </c>
      <c r="FR38" s="3">
        <f t="shared" si="17"/>
        <v>19.560000000000002</v>
      </c>
      <c r="FS38" s="3">
        <f t="shared" si="17"/>
        <v>0.34</v>
      </c>
      <c r="FT38" s="3">
        <f t="shared" si="17"/>
        <v>0</v>
      </c>
      <c r="FU38" s="3">
        <f t="shared" si="17"/>
        <v>0</v>
      </c>
      <c r="FV38" s="3">
        <f t="shared" si="17"/>
        <v>0</v>
      </c>
      <c r="FW38" s="3">
        <f t="shared" si="17"/>
        <v>0</v>
      </c>
      <c r="FX38" s="3">
        <f t="shared" si="17"/>
        <v>0</v>
      </c>
      <c r="FY38" s="3">
        <f t="shared" si="17"/>
        <v>103.73</v>
      </c>
      <c r="FZ38" s="3">
        <f t="shared" si="17"/>
        <v>27.099999999999998</v>
      </c>
      <c r="GA38" s="3">
        <f t="shared" si="17"/>
        <v>27.25</v>
      </c>
      <c r="GB38" s="3">
        <f t="shared" si="17"/>
        <v>26.869999999999997</v>
      </c>
      <c r="GC38" s="3">
        <f t="shared" si="17"/>
        <v>28.93</v>
      </c>
      <c r="GD38" s="3">
        <f t="shared" si="17"/>
        <v>33.96</v>
      </c>
      <c r="GE38" s="3">
        <f t="shared" si="17"/>
        <v>29.089999999999996</v>
      </c>
      <c r="GF38" s="3">
        <f t="shared" si="17"/>
        <v>32.300000000000004</v>
      </c>
      <c r="GG38" s="3">
        <f t="shared" si="17"/>
        <v>33.229999999999997</v>
      </c>
      <c r="GH38" s="3">
        <f t="shared" si="17"/>
        <v>26.660000000000007</v>
      </c>
      <c r="GI38" s="3">
        <f t="shared" si="17"/>
        <v>27.229999999999997</v>
      </c>
      <c r="GJ38" s="3">
        <f t="shared" si="17"/>
        <v>25.650000000000006</v>
      </c>
      <c r="GK38" s="3">
        <f t="shared" si="17"/>
        <v>26.070000000000004</v>
      </c>
      <c r="GL38" s="3">
        <f t="shared" si="17"/>
        <v>25.05</v>
      </c>
      <c r="GM38" s="3">
        <f t="shared" si="17"/>
        <v>22.509999999999994</v>
      </c>
      <c r="GN38" s="3">
        <f t="shared" si="17"/>
        <v>26.650000000000002</v>
      </c>
      <c r="GO38" s="3">
        <f t="shared" si="17"/>
        <v>54.830000000000005</v>
      </c>
      <c r="GP38" s="3">
        <f t="shared" si="17"/>
        <v>79.12</v>
      </c>
      <c r="GQ38" s="3">
        <f t="shared" si="17"/>
        <v>89.570000000000007</v>
      </c>
      <c r="GR38" s="3">
        <f t="shared" si="17"/>
        <v>90.29</v>
      </c>
      <c r="GS38" s="3">
        <f t="shared" si="17"/>
        <v>66.589999999999989</v>
      </c>
      <c r="GT38" s="3">
        <f t="shared" si="17"/>
        <v>33.619999999999997</v>
      </c>
      <c r="GU38" s="3">
        <f t="shared" si="17"/>
        <v>35.61</v>
      </c>
      <c r="GV38" s="3">
        <f t="shared" si="17"/>
        <v>30.459999999999997</v>
      </c>
      <c r="GW38" s="3">
        <f t="shared" si="17"/>
        <v>29.43</v>
      </c>
      <c r="GX38" s="3">
        <f t="shared" si="17"/>
        <v>928.06999999999971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B39" s="17"/>
      <c r="C39" s="18"/>
      <c r="E39" s="18" t="str">
        <f t="shared" si="9"/>
        <v/>
      </c>
    </row>
  </sheetData>
  <phoneticPr fontId="1"/>
  <conditionalFormatting sqref="BC7 I7 K7 M7 O7 Q7 S7 U7 W7 Y7 AA7 AC7 BA7 AY7 AW7 AU7 AS7 AQ7 AO7 AM7 AK7 AI7 AG7 AE7">
    <cfRule type="top10" dxfId="459" priority="92" percent="1" rank="10"/>
  </conditionalFormatting>
  <conditionalFormatting sqref="AZ7 H7 J7 L7 N7 P7 R7 T7 V7 X7 Z7 AB7 AD7 AF7 AH7 AJ7 AL7 AN7 AP7 AR7 AT7 AV7 AX7">
    <cfRule type="top10" dxfId="458" priority="91" percent="1" rank="10"/>
  </conditionalFormatting>
  <conditionalFormatting sqref="FA7:FX7 FZ7:GW7">
    <cfRule type="top10" dxfId="457" priority="90" percent="1" rank="10"/>
  </conditionalFormatting>
  <conditionalFormatting sqref="H8 J8 L8 N8 P8 R8 T8 V8 X8 Z8 AB8 AD8 AF8 AH8 AJ8 AL8 AN8 AP8 AR8 AT8 AV8 AX8 AZ8 BB8">
    <cfRule type="top10" dxfId="456" priority="89" percent="1" rank="10"/>
  </conditionalFormatting>
  <conditionalFormatting sqref="H9 J9 L9 N9 P9 R9 T9 V9 X9 Z9 AB9 AD9 AF9 AH9 AJ9 AL9 AN9 AP9 AR9 AT9 AV9 AZ9 AX9 BB9">
    <cfRule type="top10" dxfId="455" priority="88" percent="1" rank="10"/>
  </conditionalFormatting>
  <conditionalFormatting sqref="J10 H10 L10 N10 P10 R10 T10 V10 X10 Z10 AB10 AD10 AF10 AH10 AJ10 AL10 AN10 AP10 AR10 AT10 AV10 AX10 AZ10 BB10">
    <cfRule type="top10" dxfId="454" priority="87" percent="1" rank="10"/>
  </conditionalFormatting>
  <conditionalFormatting sqref="BB11 AZ11 AX11 AV11 AT11 AR11 AP11 AN11 AL11 AJ11 AH11 AF11 AD11 AB11 Z11 X11 V11 T11 R11 P11 N11 L11 J11 H11">
    <cfRule type="top10" dxfId="453" priority="86" percent="1" rank="10"/>
  </conditionalFormatting>
  <conditionalFormatting sqref="BB12 AZ12 AX12 AV12 AT12 AR12 AP12 AN12 AL12 AJ12 AH12 AF12 AD12 AB12 Z12 X12 V12 T12 R12 P12 N12 L12 J12 H12">
    <cfRule type="top10" dxfId="452" priority="85" percent="1" rank="10"/>
  </conditionalFormatting>
  <conditionalFormatting sqref="H13 J13 L13 N13 P13 R13 T13 V13 X13 Z13 AB13 AD13 AF13 AH13 AJ13 AL13 AN13 AP13 AR13 AT13 AV13 AX13 AZ13 BB13">
    <cfRule type="top10" dxfId="451" priority="84" percent="1" rank="10"/>
  </conditionalFormatting>
  <conditionalFormatting sqref="BB14 AZ14 AX14 AV14 AT14 AR14 AP14 AL14 AN14 AJ14 AH14 AF14 AD14 AB14 Z14 X14 V14 T14 R14 P14 N14 L14 J14 H14">
    <cfRule type="top10" dxfId="450" priority="83" percent="1" rank="10"/>
  </conditionalFormatting>
  <conditionalFormatting sqref="H15 J15 L15 N15 P15 R15 T15 V15 X15 Z15 AB15 AD15 AF15 AH15 AJ15 AL15 AN15 AP15 AR15 AT15 AV15 AX15 AZ15 BB15">
    <cfRule type="top10" dxfId="449" priority="82" percent="1" rank="10"/>
  </conditionalFormatting>
  <conditionalFormatting sqref="BB16 AZ16 AX16 AV16 AT16 AR16 AP16 AN16 AL16 AJ16 AH16 AF16 AD16 AB16 Z16 X16 V16 T16 R16 P16 N16 L16 J16 H16">
    <cfRule type="top10" dxfId="448" priority="81" percent="1" rank="10"/>
  </conditionalFormatting>
  <conditionalFormatting sqref="H17 J17 L17 N17 P17 R17 T17 V17 X17 Z17 AB17 AD17 AF17 AH17 AJ17 AL17 AN17 AP17 AR17 AT17 AV17 AX17 AZ17 BB17">
    <cfRule type="top10" dxfId="447" priority="80" percent="1" rank="10"/>
  </conditionalFormatting>
  <conditionalFormatting sqref="H18 J18 L18 N18 P18 R18 T18 V18 X18 Z18 AB18 AD18 AF18 AH18 AJ18 AL18 AN18 AP18 AR18 AT18 AV18 AX18 AZ18 BB18">
    <cfRule type="top10" dxfId="446" priority="79" percent="1" rank="10"/>
  </conditionalFormatting>
  <conditionalFormatting sqref="BB19 AZ19 AX19 AV19 AT19 AR19 AP19 AN19 AL19 AJ19 AH19 AF19 AD19 AB19 Z19 X19 V19 T19 R19 P19 N19 L19 J19 H19">
    <cfRule type="top10" dxfId="445" priority="78" percent="1" rank="10"/>
  </conditionalFormatting>
  <conditionalFormatting sqref="H20 J20 N20 L20 P20 R20 T20 X20 V20 Z20 AB20 AD20 AF20 AH20 AJ20 AL20 AN20 AP20 AR20 AT20 AV20 AX20 AZ20 BB20">
    <cfRule type="top10" dxfId="444" priority="77" percent="1" rank="10"/>
  </conditionalFormatting>
  <conditionalFormatting sqref="BB21 AZ21 AX21 AV21 AT21 AR21 AP21 AN21 AL21 AJ21 AH21 AF21 AD21 AB21 Z21 X21 V21 T21 R21 P21 N21 L21 J21 H21">
    <cfRule type="top10" dxfId="443" priority="76" percent="1" rank="10"/>
  </conditionalFormatting>
  <conditionalFormatting sqref="H22 J22 L22 N22 P22 R22 T22 V22 X22 Z22 AB22 AD22 AF22 AH22 AJ22 AL22 AN22 AP22 AR22 AT22 AV22 AX22 AZ22 BB22">
    <cfRule type="top10" dxfId="442" priority="75" percent="1" rank="10"/>
  </conditionalFormatting>
  <conditionalFormatting sqref="BB23 AZ23 AX23 AV23 AT23 AR23 AP23 AN23 AL23 AJ23 AH23 AF23 AD23 AB23 Z23 X23 V23 T23 R23 P23 N23 L23 J23 H23">
    <cfRule type="top10" dxfId="441" priority="74" percent="1" rank="10"/>
  </conditionalFormatting>
  <conditionalFormatting sqref="H24 J24 L24 N24 P24 R24 T24 V24 X24 Z24 AB24 AD24 AF24 AH24 AJ24 AL24 AN24 AP24 AR24 AT24 AV24 AX24 AZ24 BB24">
    <cfRule type="top10" dxfId="440" priority="73" percent="1" rank="10"/>
  </conditionalFormatting>
  <conditionalFormatting sqref="BB25 AZ25 AX25 AV25 AT25 AR25 AP25 AN25 AL25 AJ25 AH25 AF25 AD25 AB25 Z25 X25 V25 T25 R25 P25 N25 L25 J25 H25">
    <cfRule type="top10" dxfId="439" priority="72" percent="1" rank="10"/>
  </conditionalFormatting>
  <conditionalFormatting sqref="BB26 AZ26 AX26 AV26 AT26 AR26 AP26 AN26 AL26 AJ26 AH26 AF26 AD26 AB26 Z26 X26 V26 T26 R26 P26 N26 L26 J26 H26">
    <cfRule type="top10" dxfId="438" priority="71" percent="1" rank="10"/>
  </conditionalFormatting>
  <conditionalFormatting sqref="H27 J27 L27 N27 P27 R27 T27 V27 X27 Z27 AB27 AD27 AF27 AH27 AJ27 AL27 AN27 AP27 AR27 AT27 AV27 AX27 AZ27 BB27">
    <cfRule type="top10" dxfId="437" priority="70" percent="1" rank="10"/>
  </conditionalFormatting>
  <conditionalFormatting sqref="BB28 AZ28 AX28 AV28 AT28 AR28 AP28 AN28 AL28 AJ28 AH28 AF28 AD28 AB28 Z28 X28 V28 T28 R28 P28 N28 L28 J28 H28">
    <cfRule type="top10" dxfId="436" priority="69" percent="1" rank="10"/>
  </conditionalFormatting>
  <conditionalFormatting sqref="BB29 AZ29 AX29 AV29 AT29 AR29 AP29 AN29 AL29 AJ29 AH29 AF29 AD29 AB29 Z29 X29 V29 T29 R29 P29 N29 L29 J29 H29">
    <cfRule type="top10" dxfId="435" priority="68" percent="1" rank="10"/>
  </conditionalFormatting>
  <conditionalFormatting sqref="H30 J30 L30 N30 P30 R30 T30 V30 X30 Z30 AB30 AD30 AF30 AH30 AJ30 AL30 AN30 AP30 AR30 AT30 AV30 AX30 AZ30 BB30">
    <cfRule type="top10" dxfId="434" priority="67" percent="1" rank="10"/>
  </conditionalFormatting>
  <conditionalFormatting sqref="BB31 AZ31 AX31 AV31 AT31 AR31 AP31 AN31 AL31 AJ31 AH31 AF31 AD31 AB31 Z31 X31 V31 T31 R31 P31 N31 L31 J31 H31">
    <cfRule type="top10" dxfId="433" priority="66" percent="1" rank="10"/>
  </conditionalFormatting>
  <conditionalFormatting sqref="H32 J32 L32 N32 P32 R32 T32 V32 X32 Z32 AB32 AD32 AF32 AH32 AJ32 AL32 AN32 AP32 AR32 AT32 AV32 AX32 AZ32 BB32">
    <cfRule type="top10" dxfId="432" priority="65" percent="1" rank="10"/>
  </conditionalFormatting>
  <conditionalFormatting sqref="BB33 AZ33 AX33 AV33 AT33 AR33 AP33 AN33 AL33 AJ33 AH33 AF33 AD33 AB33 Z33 X33 V33 T33 R33 P33 N33 L33 J33 H33">
    <cfRule type="top10" dxfId="431" priority="64" percent="1" rank="10"/>
  </conditionalFormatting>
  <conditionalFormatting sqref="H34 J34 L34 N34 P34 R34 T34 V34 X34 Z34 AB34 AD34 AF34 AH34 AJ34 AL34 AN34 AP34 AR34 AT34 AV34 AX34 AZ34 BB34">
    <cfRule type="top10" dxfId="430" priority="63" percent="1" rank="10"/>
  </conditionalFormatting>
  <conditionalFormatting sqref="BB35 AZ35 AV35 AX35 AT35 AR35 AP35 AN35 AL35 AJ35 AH35 AF35 AD35 AB35 Z35 X35 V35 T35 R35 P35 N35 L35 J35 H35">
    <cfRule type="top10" dxfId="429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28" priority="61" percent="1" rank="10"/>
  </conditionalFormatting>
  <conditionalFormatting sqref="BD7:BD37">
    <cfRule type="top10" dxfId="427" priority="60" percent="1" rank="10"/>
  </conditionalFormatting>
  <conditionalFormatting sqref="BC8 BA8 AY8 AW8 AU8 AS8 AQ8 AO8 AM8 AK8 AI8 AG8 AE8 AC8 AA8 Y8 W8 U8 S8 Q8 O8 M8 K8 I8">
    <cfRule type="top10" dxfId="426" priority="59" percent="1" rank="10"/>
  </conditionalFormatting>
  <conditionalFormatting sqref="I9 K9 M9 O9 Q9 S9 U9 W9 Y9 AA9 AC9 AE9 AG9 AI9 AK9 AM9 AO9 AQ9 AS9 AU9 AW9 AY9 BA9 BC9">
    <cfRule type="top10" dxfId="425" priority="58" percent="1" rank="10"/>
  </conditionalFormatting>
  <conditionalFormatting sqref="I10 K10 M10 Q10 O10 S10 W10 U10 Y10 AA10 AC10 AE10 AG10 AI10 AK10 AM10 AO10 AQ10 AS10 AU10 AW10 AY10 BA10 BC10">
    <cfRule type="top10" dxfId="424" priority="57" percent="1" rank="10"/>
  </conditionalFormatting>
  <conditionalFormatting sqref="BC11 BA11 AY11 AW11 AU11 AS11 AQ11 AO11 AM11 AK11 AI11 AG11 AE11 AC11 AA11 Y11 W11 U11 S11 Q11 O11 M11 K11 I11">
    <cfRule type="top10" dxfId="423" priority="56" percent="1" rank="10"/>
  </conditionalFormatting>
  <conditionalFormatting sqref="I12 K12 M12 O12 Q12 S12 U12 Y12 W12 AA12 AC12 AE12 AG12 AI12 AK12 AM12 AO12 AQ12 AS12 AU12 AW12 AY12 BA12 BC12">
    <cfRule type="top10" dxfId="422" priority="55" percent="1" rank="10"/>
  </conditionalFormatting>
  <conditionalFormatting sqref="BC13 BA13 AY13 AW13 AU13 AS13 AQ13 AO13 AM13 AK13 AI13 AG13 AE13 AC13 AA13 Y13 W13 U13 S13 Q13 O13 M13 K13 I13">
    <cfRule type="top10" dxfId="421" priority="54" percent="1" rank="10"/>
  </conditionalFormatting>
  <conditionalFormatting sqref="BC14 BA14 AY14 AW14 AU14 AS14 AQ14 AO14 AM14 AK14 AI14 AG14 AE14 AC14 AA14 Y14 W14 U14 S14 Q14 O14 M14 K14 I14">
    <cfRule type="top10" dxfId="420" priority="53" percent="1" rank="10"/>
  </conditionalFormatting>
  <conditionalFormatting sqref="I15 K15 M15 O15 Q15 S15 U15 W15 Y15 AA15 AC15 AE15 AG15 AI15 AK15 AM15 AO15 AQ15 AS15 AU15 AW15 AY15 BA15 BC15">
    <cfRule type="top10" dxfId="419" priority="52" percent="1" rank="10"/>
  </conditionalFormatting>
  <conditionalFormatting sqref="BC16 BA16 AY16 AW16 AU16 AS16 AQ16 AO16 AM16 AK16 AI16 AG16 AE16 AC16 AA16 Y16 W16 U16 S16 Q16 O16 M16 K16 I16">
    <cfRule type="top10" dxfId="418" priority="51" percent="1" rank="10"/>
  </conditionalFormatting>
  <conditionalFormatting sqref="I17 K17 M17 O17 Q17 U17 S17 W17 Y17 AA17 AC17 AE17 AG17 AI17 AK17 AM17 AO17 AQ17 AS17 AU17 AW17 AY17 BA17 BC17">
    <cfRule type="top10" dxfId="417" priority="50" percent="1" rank="10"/>
  </conditionalFormatting>
  <conditionalFormatting sqref="BC18 BA18 AY18 AW18 AU18 AS18 AQ18 AO18 AM18 AK18 AI18 AG18 AE18 AC18 AA18 Y18 W18 U18 S18 Q18 O18 M18 K18 I18">
    <cfRule type="top10" dxfId="416" priority="49" percent="1" rank="10"/>
  </conditionalFormatting>
  <conditionalFormatting sqref="I19 K19 M19 O19 Q19 S19 U19 W19 Y19 AA19 AC19 AE19 AG19 AI19 AK19 AM19 AO19 AQ19 AS19 AU19 AW19 AY19 BA19 BC19">
    <cfRule type="top10" dxfId="415" priority="48" percent="1" rank="10"/>
  </conditionalFormatting>
  <conditionalFormatting sqref="BC20 BA20 AY20 AW20 AU20 AS20 AQ20 AO20 AM20 AK20 AI20 AG20 AE20 AC20 AA20 W20 Y20 U20 S20 Q20 O20 M20 K20 I20">
    <cfRule type="top10" dxfId="414" priority="47" percent="1" rank="10"/>
  </conditionalFormatting>
  <conditionalFormatting sqref="I21 K21 M21 O21 Q21 S21 U21 W21 Y21 AA21 AC21 AE21 AG21 AI21 AK21 AM21 AO21 AQ21 AS21 AU21 AW21 AY21 BA21 BC21">
    <cfRule type="top10" dxfId="413" priority="46" percent="1" rank="10"/>
  </conditionalFormatting>
  <conditionalFormatting sqref="BC22 BA22 AY22 AW22 AU22 AS22 AQ22 AO22 AM22 AK22 AI22 AG22 AE22 AC22 AA22 Y22 W22 U22 S22 Q22 O22 M22 K22 I22">
    <cfRule type="top10" dxfId="412" priority="45" percent="1" rank="10"/>
  </conditionalFormatting>
  <conditionalFormatting sqref="I23 K23 O23 M23 Q23 S23 U23 W23 Y23 AA23 AC23 AE23 AG23 AI23 AK23 AM23 AO23 AQ23 AS23 AU23 AW23 AY23 BA23 BC23">
    <cfRule type="top10" dxfId="411" priority="44" percent="1" rank="10"/>
  </conditionalFormatting>
  <conditionalFormatting sqref="BC24 BA24 AY24 AW24 AU24 AS24 AQ24 AO24 AM24 AK24 AI24 AG24 AE24 AC24 AA24 Y24 W24 U24 S24 Q24 O24 M24 K24 I24">
    <cfRule type="top10" dxfId="410" priority="43" percent="1" rank="10"/>
  </conditionalFormatting>
  <conditionalFormatting sqref="I25 K25 M25 O25 Q25 S25 U25 W25 Y25 AA25 AC25 AE25 AG25 AI25 AK25 AM25 AO25 AQ25 AS25 AU25 AW25 AY25 BA25 BC25">
    <cfRule type="top10" dxfId="409" priority="42" percent="1" rank="10"/>
  </conditionalFormatting>
  <conditionalFormatting sqref="BC26 BA26 AY26 AW26 AU26 AS26 AQ26 AO26 AM26 AK26 AI26 AG26 AE26 AC26 AA26 Y26 W26 U26 S26 Q26 O26 M26 K26 I26">
    <cfRule type="top10" dxfId="408" priority="41" percent="1" rank="10"/>
  </conditionalFormatting>
  <conditionalFormatting sqref="I27 K27 M27 O27 Q27 S27 U27 W27 Y27 AA27 AC27 AE27 AG27 AI27 AK27 AM27 AO27 AQ27 AS27 AU27 AW27 AY27 BA27 BC27">
    <cfRule type="top10" dxfId="407" priority="40" percent="1" rank="10"/>
  </conditionalFormatting>
  <conditionalFormatting sqref="BC28 BA28 AY28 AW28 AU28 AS28 AQ28 AO28 AM28 AK28 AI28 AG28 AE28 AC28 AA28 Y28 W28 U28 S28 Q28 O28 M28 K28 I28">
    <cfRule type="top10" dxfId="406" priority="39" percent="1" rank="10"/>
  </conditionalFormatting>
  <conditionalFormatting sqref="I29 K29 M29 Q29 O29 S29 U29 Y29 W29 AA29 AC29 AE29 AG29 AI29 AK29 AM29 AO29 AQ29 AS29 AU29 AW29 AY29 BA29 BC29">
    <cfRule type="top10" dxfId="405" priority="38" percent="1" rank="10"/>
  </conditionalFormatting>
  <conditionalFormatting sqref="BC30 BA30 AY30 AW30 AU30 AS30 AQ30 AO30 AM30 AK30 AI30 AE30 AG30 AC30 AA30 Y30 W30 U30 S30 Q30 O30 M30 K30 I30">
    <cfRule type="top10" dxfId="404" priority="37" percent="1" rank="10"/>
  </conditionalFormatting>
  <conditionalFormatting sqref="I31 K31 M31 O31 Q31 S31 W31 U31 Y31 AC31 AA31 AE31 AG31 AI31 AK31 AM31 AO31 AQ31 AS31 AU31 AW31 AY31 BA31 BC31">
    <cfRule type="top10" dxfId="403" priority="36" percent="1" rank="10"/>
  </conditionalFormatting>
  <conditionalFormatting sqref="BC32 BA32 AY32 AW32 AU32 AS32 AQ32 AO32 AM32 AK32 AI32 AG32 AE32 AC32 AA32 Y32 W32 U32 S32 Q32 O32 M32 K32 I32">
    <cfRule type="top10" dxfId="402" priority="35" percent="1" rank="10"/>
  </conditionalFormatting>
  <conditionalFormatting sqref="I33 K33 M33 O33 Q33 S33 U33 W33 Y33 AA33 AC33 AE33 AG33 AI33 AK33 AM33 AQ33 AO33 AS33 AU33 AW33 AY33 BA33 BC33">
    <cfRule type="top10" dxfId="401" priority="34" percent="1" rank="10"/>
  </conditionalFormatting>
  <conditionalFormatting sqref="BC34 BA34 AY34 AW34 AU34 AS34 AQ34 AO34 AM34 AK34 AI34 AG34 AE34 AC34 AA34 Y34 W34 U34 S34 Q34 O34 M34 K34 I34">
    <cfRule type="top10" dxfId="400" priority="33" percent="1" rank="10"/>
  </conditionalFormatting>
  <conditionalFormatting sqref="I35 K35 M35 O35 Q35 S35 U35 W35 Y35 AA35 AC35 AE35 AG35 AI35 AK35 AM35 AO35 AQ35 AS35 AU35 AW35 AY35 BA35 BC35">
    <cfRule type="top10" dxfId="399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98" priority="31" percent="1" rank="10"/>
  </conditionalFormatting>
  <conditionalFormatting sqref="FZ8:GW8">
    <cfRule type="top10" dxfId="397" priority="30" percent="1" rank="10"/>
  </conditionalFormatting>
  <conditionalFormatting sqref="FZ9:GW9">
    <cfRule type="top10" dxfId="396" priority="29" percent="1" rank="10"/>
  </conditionalFormatting>
  <conditionalFormatting sqref="FZ10:GW10">
    <cfRule type="top10" dxfId="395" priority="28" percent="1" rank="10"/>
  </conditionalFormatting>
  <conditionalFormatting sqref="FZ11:GW11">
    <cfRule type="top10" dxfId="394" priority="27" percent="1" rank="10"/>
  </conditionalFormatting>
  <conditionalFormatting sqref="FZ12:GW12">
    <cfRule type="top10" dxfId="393" priority="26" percent="1" rank="10"/>
  </conditionalFormatting>
  <conditionalFormatting sqref="FZ13:GW13">
    <cfRule type="top10" dxfId="392" priority="25" percent="1" rank="10"/>
  </conditionalFormatting>
  <conditionalFormatting sqref="GX7:GX37">
    <cfRule type="top10" dxfId="391" priority="24" percent="1" rank="10"/>
  </conditionalFormatting>
  <conditionalFormatting sqref="FZ14:GW14">
    <cfRule type="top10" dxfId="390" priority="23" percent="1" rank="10"/>
  </conditionalFormatting>
  <conditionalFormatting sqref="FZ15:GW15">
    <cfRule type="top10" dxfId="389" priority="22" percent="1" rank="10"/>
  </conditionalFormatting>
  <conditionalFormatting sqref="FZ16:GW16">
    <cfRule type="top10" dxfId="388" priority="21" percent="1" rank="10"/>
  </conditionalFormatting>
  <conditionalFormatting sqref="FZ17:GW17">
    <cfRule type="top10" dxfId="387" priority="20" percent="1" rank="10"/>
  </conditionalFormatting>
  <conditionalFormatting sqref="FZ18:GW18">
    <cfRule type="top10" dxfId="386" priority="19" percent="1" rank="10"/>
  </conditionalFormatting>
  <conditionalFormatting sqref="FZ19:GW19">
    <cfRule type="top10" dxfId="385" priority="18" percent="1" rank="10"/>
  </conditionalFormatting>
  <conditionalFormatting sqref="FZ20:GW20">
    <cfRule type="top10" dxfId="384" priority="17" percent="1" rank="10"/>
  </conditionalFormatting>
  <conditionalFormatting sqref="FZ21:GW21">
    <cfRule type="top10" dxfId="383" priority="16" percent="1" rank="10"/>
  </conditionalFormatting>
  <conditionalFormatting sqref="FZ22:GW22">
    <cfRule type="top10" dxfId="382" priority="15" percent="1" rank="10"/>
  </conditionalFormatting>
  <conditionalFormatting sqref="FZ23:GW23">
    <cfRule type="top10" dxfId="381" priority="14" percent="1" rank="10"/>
  </conditionalFormatting>
  <conditionalFormatting sqref="FZ24:GW24">
    <cfRule type="top10" dxfId="380" priority="13" percent="1" rank="10"/>
  </conditionalFormatting>
  <conditionalFormatting sqref="FZ25:GW25">
    <cfRule type="top10" dxfId="379" priority="12" percent="1" rank="10"/>
  </conditionalFormatting>
  <conditionalFormatting sqref="FZ26:GW26">
    <cfRule type="top10" dxfId="378" priority="11" percent="1" rank="10"/>
  </conditionalFormatting>
  <conditionalFormatting sqref="FZ27:GW27">
    <cfRule type="top10" dxfId="377" priority="10" percent="1" rank="10"/>
  </conditionalFormatting>
  <conditionalFormatting sqref="FZ28:GW28">
    <cfRule type="top10" dxfId="376" priority="9" percent="1" rank="10"/>
  </conditionalFormatting>
  <conditionalFormatting sqref="FZ29:GW29">
    <cfRule type="top10" dxfId="375" priority="8" percent="1" rank="10"/>
  </conditionalFormatting>
  <conditionalFormatting sqref="FZ30:GW30">
    <cfRule type="top10" dxfId="374" priority="7" percent="1" rank="10"/>
  </conditionalFormatting>
  <conditionalFormatting sqref="FZ31:GW31">
    <cfRule type="top10" dxfId="373" priority="6" percent="1" rank="10"/>
  </conditionalFormatting>
  <conditionalFormatting sqref="FZ32:GW32">
    <cfRule type="top10" dxfId="372" priority="5" percent="1" rank="10"/>
  </conditionalFormatting>
  <conditionalFormatting sqref="FZ33:GW33">
    <cfRule type="top10" dxfId="371" priority="4" percent="1" rank="10"/>
  </conditionalFormatting>
  <conditionalFormatting sqref="FZ34:GW34">
    <cfRule type="top10" dxfId="370" priority="3" percent="1" rank="10"/>
  </conditionalFormatting>
  <conditionalFormatting sqref="FZ35:GW35">
    <cfRule type="top10" dxfId="369" priority="2" percent="1" rank="10"/>
  </conditionalFormatting>
  <conditionalFormatting sqref="FZ36:GW37">
    <cfRule type="top10" dxfId="368" priority="1" percent="1" rank="10"/>
  </conditionalFormatting>
  <dataValidations count="1">
    <dataValidation type="list" allowBlank="1" showInputMessage="1" showErrorMessage="1" sqref="A1" xr:uid="{47060AAD-4D9A-466A-82DE-C39C71F3CC0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DD66-CCE1-4E64-BE2F-CABD98AF4892}">
  <sheetPr codeName="Sheet12"/>
  <dimension ref="A1:HV38"/>
  <sheetViews>
    <sheetView topLeftCell="A4" workbookViewId="0">
      <selection activeCell="A7" sqref="A7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247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318</v>
      </c>
      <c r="C7" s="6" t="str">
        <f>TEXT(VLOOKUP(LEFT(B7,FIND("月",B7)),基本シート!$E$6:$F$17,2,FALSE)&amp;B7,"aaaa")</f>
        <v>水曜日</v>
      </c>
      <c r="D7" s="6"/>
      <c r="E7" s="6" t="str">
        <f>IF(OR(C7="土曜日",C7="日曜日",D7="〇"),"〇","")</f>
        <v/>
      </c>
      <c r="F7" s="6" t="s">
        <v>296</v>
      </c>
      <c r="G7" s="6" t="s">
        <v>298</v>
      </c>
      <c r="H7" s="3">
        <v>1.02</v>
      </c>
      <c r="I7" s="3">
        <f>IF($E7="〇",H7*基本シート!$E$2,H7*VLOOKUP(LEFT(I$6,FIND("(",I$6)-1),基本シート!$B$6:$C$29,2,FALSE))</f>
        <v>30.4572</v>
      </c>
      <c r="J7" s="3">
        <v>0.98</v>
      </c>
      <c r="K7" s="3">
        <f>IF($E7="〇",J7*基本シート!$E$2,J7*VLOOKUP(LEFT(K$6,FIND("(",K$6)-1),基本シート!$B$6:$C$29,2,FALSE))</f>
        <v>29.262799999999999</v>
      </c>
      <c r="L7" s="3">
        <v>0.98</v>
      </c>
      <c r="M7" s="3">
        <f>IF($E7="〇",L7*基本シート!$E$2,L7*VLOOKUP(LEFT(M$6,FIND("(",M$6)-1),基本シート!$B$6:$C$29,2,FALSE))</f>
        <v>29.262799999999999</v>
      </c>
      <c r="N7" s="3">
        <v>1.03</v>
      </c>
      <c r="O7" s="3">
        <f>IF($E7="〇",N7*基本シート!$E$2,N7*VLOOKUP(LEFT(O$6,FIND("(",O$6)-1),基本シート!$B$6:$C$29,2,FALSE))</f>
        <v>30.755800000000001</v>
      </c>
      <c r="P7" s="3">
        <v>0.73</v>
      </c>
      <c r="Q7" s="3">
        <f>IF($E7="〇",P7*基本シート!$E$2,P7*VLOOKUP(LEFT(Q$6,FIND("(",Q$6)-1),基本シート!$B$6:$C$29,2,FALSE))</f>
        <v>21.797799999999999</v>
      </c>
      <c r="R7" s="3">
        <v>1.08</v>
      </c>
      <c r="S7" s="3">
        <f>IF($E7="〇",R7*基本シート!$E$2,R7*VLOOKUP(LEFT(S$6,FIND("(",S$6)-1),基本シート!$B$6:$C$29,2,FALSE))</f>
        <v>32.248800000000003</v>
      </c>
      <c r="T7" s="3">
        <v>0.96</v>
      </c>
      <c r="U7" s="3">
        <f>IF($E7="〇",T7*基本シート!$E$2,T7*VLOOKUP(LEFT(U$6,FIND("(",U$6)-1),基本シート!$B$6:$C$29,2,FALSE))</f>
        <v>28.665599999999998</v>
      </c>
      <c r="V7" s="3">
        <v>0.97</v>
      </c>
      <c r="W7" s="3">
        <f>IF($E7="〇",V7*基本シート!$E$2,V7*VLOOKUP(LEFT(W$6,FIND("(",W$6)-1),基本シート!$B$6:$C$29,2,FALSE))</f>
        <v>35.754199999999997</v>
      </c>
      <c r="X7" s="3">
        <v>0.56000000000000005</v>
      </c>
      <c r="Y7" s="3">
        <f>IF($E7="〇",X7*基本シート!$E$2,X7*VLOOKUP(LEFT(Y$6,FIND("(",Y$6)-1),基本シート!$B$6:$C$29,2,FALSE))</f>
        <v>20.6416</v>
      </c>
      <c r="Z7" s="3">
        <v>0.12</v>
      </c>
      <c r="AA7" s="3">
        <f>IF($E7="〇",Z7*基本シート!$E$2,Z7*VLOOKUP(LEFT(AA$6,FIND("(",AA$6)-1),基本シート!$B$6:$C$29,2,FALSE))</f>
        <v>4.4231999999999996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2.56</v>
      </c>
      <c r="AQ7" s="3">
        <f>IF($E7="〇",AP7*基本シート!$E$2,AP7*VLOOKUP(LEFT(AQ$6,FIND("(",AQ$6)-1),基本シート!$B$6:$C$29,2,FALSE))</f>
        <v>94.361599999999996</v>
      </c>
      <c r="AR7" s="3">
        <v>3.2</v>
      </c>
      <c r="AS7" s="3">
        <f>IF($E7="〇",AR7*基本シート!$E$2,AR7*VLOOKUP(LEFT(AS$6,FIND("(",AS$6)-1),基本シート!$B$6:$C$29,2,FALSE))</f>
        <v>117.952</v>
      </c>
      <c r="AT7" s="3">
        <v>2.75</v>
      </c>
      <c r="AU7" s="3">
        <f>IF($E7="〇",AT7*基本シート!$E$2,AT7*VLOOKUP(LEFT(AU$6,FIND("(",AU$6)-1),基本シート!$B$6:$C$29,2,FALSE))</f>
        <v>101.36499999999999</v>
      </c>
      <c r="AV7" s="3">
        <v>1.56</v>
      </c>
      <c r="AW7" s="3">
        <f>IF($E7="〇",AV7*基本シート!$E$2,AV7*VLOOKUP(LEFT(AW$6,FIND("(",AW$6)-1),基本シート!$B$6:$C$29,2,FALSE))</f>
        <v>57.501600000000003</v>
      </c>
      <c r="AX7" s="3">
        <v>1.05</v>
      </c>
      <c r="AY7" s="3">
        <f>IF($E7="〇",AX7*基本シート!$E$2,AX7*VLOOKUP(LEFT(AY$6,FIND("(",AY$6)-1),基本シート!$B$6:$C$29,2,FALSE))</f>
        <v>31.353000000000002</v>
      </c>
      <c r="AZ7" s="3">
        <v>0.94</v>
      </c>
      <c r="BA7" s="3">
        <f>IF($E7="〇",AZ7*基本シート!$E$2,AZ7*VLOOKUP(LEFT(BA$6,FIND("(",BA$6)-1),基本シート!$B$6:$C$29,2,FALSE))</f>
        <v>28.068399999999997</v>
      </c>
      <c r="BB7" s="3">
        <v>1.05</v>
      </c>
      <c r="BC7" s="3">
        <f>IF($E7="〇",BB7*基本シート!$E$2,BB7*VLOOKUP(LEFT(BC$6,FIND("(",BC$6)-1),基本シート!$B$6:$C$29,2,FALSE))</f>
        <v>31.353000000000002</v>
      </c>
      <c r="BD7" s="3">
        <f t="shared" ref="BD7:BD37" si="7">SUM(H7,J7,L7,N7,P7,R7,T7,V7,X7,Z7,AB7,AD7,AF7,AH7,AJ7,AL7,AN7,AP7,AR7,AT7,AV7,AX7,AZ7,BB7)</f>
        <v>21.55</v>
      </c>
      <c r="BE7" s="3">
        <f t="shared" ref="BE7:BE37" si="8">ROUND(SUM(I7,K7,M7,O7,Q7,S7,U7,W7,Y7,AA7,AC7,AE7,AG7,AI7,AK7,AM7,AO7,AQ7,AS7,AU7,AW7,AY7,BA7,BC7),0)</f>
        <v>726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0.08</v>
      </c>
      <c r="BN7" s="3">
        <v>0.43</v>
      </c>
      <c r="BO7" s="3">
        <v>1.3</v>
      </c>
      <c r="BP7" s="3">
        <v>3.77</v>
      </c>
      <c r="BQ7" s="3">
        <v>5.89</v>
      </c>
      <c r="BR7" s="3">
        <v>5.04</v>
      </c>
      <c r="BS7" s="3">
        <v>2.85</v>
      </c>
      <c r="BT7" s="3">
        <v>2.4300000000000002</v>
      </c>
      <c r="BU7" s="3">
        <v>0.62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0.01</v>
      </c>
      <c r="CW7" s="3">
        <f>CV7*基本シート!$C$3</f>
        <v>0.16</v>
      </c>
      <c r="CX7" s="3">
        <v>0.55000000000000004</v>
      </c>
      <c r="CY7" s="3">
        <f>CX7*基本シート!$C$3</f>
        <v>8.8000000000000007</v>
      </c>
      <c r="CZ7" s="3">
        <v>1.95</v>
      </c>
      <c r="DA7" s="3">
        <f>CZ7*基本シート!$C$3</f>
        <v>31.2</v>
      </c>
      <c r="DB7" s="3">
        <v>4.16</v>
      </c>
      <c r="DC7" s="3">
        <f>DB7*基本シート!$C$3</f>
        <v>66.56</v>
      </c>
      <c r="DD7" s="3">
        <v>2.04</v>
      </c>
      <c r="DE7" s="3">
        <f>DD7*基本シート!$C$3</f>
        <v>32.64</v>
      </c>
      <c r="DF7" s="3">
        <v>1.37</v>
      </c>
      <c r="DG7" s="3">
        <f>DF7*基本シート!$C$3</f>
        <v>21.92</v>
      </c>
      <c r="DH7" s="3">
        <v>0.01</v>
      </c>
      <c r="DI7" s="3">
        <f>DH7*基本シート!$C$3</f>
        <v>0.16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10.100000000000001</v>
      </c>
      <c r="EA7" s="3">
        <f>ROUND(DZ7*基本シート!$C$3,0)</f>
        <v>162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0.01</v>
      </c>
      <c r="EJ7" s="3">
        <v>0.04</v>
      </c>
      <c r="EK7" s="3">
        <v>0.64</v>
      </c>
      <c r="EL7" s="3">
        <v>2.25</v>
      </c>
      <c r="EM7" s="3">
        <v>3.26</v>
      </c>
      <c r="EN7" s="3">
        <v>7.0000000000000007E-2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6.7700000000000005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0.28000000000000003</v>
      </c>
      <c r="FP7" s="3">
        <v>2.14</v>
      </c>
      <c r="FQ7" s="3">
        <v>2.34</v>
      </c>
      <c r="FR7" s="3">
        <v>0.4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5.16</v>
      </c>
      <c r="FZ7" s="3">
        <v>0.98</v>
      </c>
      <c r="GA7" s="3">
        <v>0.94</v>
      </c>
      <c r="GB7" s="3">
        <v>0.94</v>
      </c>
      <c r="GC7" s="3">
        <v>0.99</v>
      </c>
      <c r="GD7" s="3">
        <v>0.69</v>
      </c>
      <c r="GE7" s="3">
        <v>1.05</v>
      </c>
      <c r="GF7" s="3">
        <v>0.92</v>
      </c>
      <c r="GG7" s="3">
        <v>1.04</v>
      </c>
      <c r="GH7" s="3">
        <v>0.95</v>
      </c>
      <c r="GI7" s="3">
        <v>0.77</v>
      </c>
      <c r="GJ7" s="3">
        <v>0.97</v>
      </c>
      <c r="GK7" s="3">
        <v>0.68</v>
      </c>
      <c r="GL7" s="3">
        <v>0.81</v>
      </c>
      <c r="GM7" s="3">
        <v>0.81</v>
      </c>
      <c r="GN7" s="3">
        <v>1.34</v>
      </c>
      <c r="GO7" s="3">
        <v>2.75</v>
      </c>
      <c r="GP7" s="3">
        <v>2.36</v>
      </c>
      <c r="GQ7" s="3">
        <v>2.96</v>
      </c>
      <c r="GR7" s="3">
        <v>3.16</v>
      </c>
      <c r="GS7" s="3">
        <v>2.71</v>
      </c>
      <c r="GT7" s="3">
        <v>1.52</v>
      </c>
      <c r="GU7" s="3">
        <v>1.01</v>
      </c>
      <c r="GV7" s="3">
        <v>0.9</v>
      </c>
      <c r="GW7" s="3">
        <v>1.02</v>
      </c>
      <c r="GX7" s="3">
        <f>SUM(FZ7:GW7)</f>
        <v>32.270000000000003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319</v>
      </c>
      <c r="C8" s="6" t="str">
        <f>TEXT(VLOOKUP(LEFT(B8,FIND("月",B8)),基本シート!$E$6:$F$17,2,FALSE)&amp;B8,"aaaa")</f>
        <v>木曜日</v>
      </c>
      <c r="D8" s="6"/>
      <c r="E8" s="6" t="str">
        <f t="shared" ref="E8:E38" si="9">IF(OR(C8="土曜日",C8="日曜日",D8="〇"),"〇","")</f>
        <v/>
      </c>
      <c r="F8" s="6" t="s">
        <v>298</v>
      </c>
      <c r="G8" s="6" t="s">
        <v>296</v>
      </c>
      <c r="H8" s="3">
        <v>1.04</v>
      </c>
      <c r="I8" s="3">
        <f>IF($E8="〇",H8*基本シート!$E$2,H8*VLOOKUP(LEFT(I$6,FIND("(",I$6)-1),基本シート!$B$6:$C$29,2,FALSE))</f>
        <v>31.054400000000001</v>
      </c>
      <c r="J8" s="3">
        <v>0.94</v>
      </c>
      <c r="K8" s="3">
        <f>IF($E8="〇",J8*基本シート!$E$2,J8*VLOOKUP(LEFT(K$6,FIND("(",K$6)-1),基本シート!$B$6:$C$29,2,FALSE))</f>
        <v>28.068399999999997</v>
      </c>
      <c r="L8" s="3">
        <v>1.06</v>
      </c>
      <c r="M8" s="3">
        <f>IF($E8="〇",L8*基本シート!$E$2,L8*VLOOKUP(LEFT(M$6,FIND("(",M$6)-1),基本シート!$B$6:$C$29,2,FALSE))</f>
        <v>31.651600000000002</v>
      </c>
      <c r="N8" s="3">
        <v>0.96</v>
      </c>
      <c r="O8" s="3">
        <f>IF($E8="〇",N8*基本シート!$E$2,N8*VLOOKUP(LEFT(O$6,FIND("(",O$6)-1),基本シート!$B$6:$C$29,2,FALSE))</f>
        <v>28.665599999999998</v>
      </c>
      <c r="P8" s="3">
        <v>1.01</v>
      </c>
      <c r="Q8" s="3">
        <f>IF($E8="〇",P8*基本シート!$E$2,P8*VLOOKUP(LEFT(Q$6,FIND("(",Q$6)-1),基本シート!$B$6:$C$29,2,FALSE))</f>
        <v>30.1586</v>
      </c>
      <c r="R8" s="3">
        <v>1.0900000000000001</v>
      </c>
      <c r="S8" s="3">
        <f>IF($E8="〇",R8*基本シート!$E$2,R8*VLOOKUP(LEFT(S$6,FIND("(",S$6)-1),基本シート!$B$6:$C$29,2,FALSE))</f>
        <v>32.547400000000003</v>
      </c>
      <c r="T8" s="3">
        <v>1.1100000000000001</v>
      </c>
      <c r="U8" s="3">
        <f>IF($E8="〇",T8*基本シート!$E$2,T8*VLOOKUP(LEFT(U$6,FIND("(",U$6)-1),基本シート!$B$6:$C$29,2,FALSE))</f>
        <v>33.144600000000004</v>
      </c>
      <c r="V8" s="3">
        <v>0.86</v>
      </c>
      <c r="W8" s="3">
        <f>IF($E8="〇",V8*基本シート!$E$2,V8*VLOOKUP(LEFT(W$6,FIND("(",W$6)-1),基本シート!$B$6:$C$29,2,FALSE))</f>
        <v>31.6996</v>
      </c>
      <c r="X8" s="3">
        <v>0.01</v>
      </c>
      <c r="Y8" s="3">
        <f>IF($E8="〇",X8*基本シート!$E$2,X8*VLOOKUP(LEFT(Y$6,FIND("(",Y$6)-1),基本シート!$B$6:$C$29,2,FALSE))</f>
        <v>0.36859999999999998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1.24</v>
      </c>
      <c r="AQ8" s="3">
        <f>IF($E8="〇",AP8*基本シート!$E$2,AP8*VLOOKUP(LEFT(AQ$6,FIND("(",AQ$6)-1),基本シート!$B$6:$C$29,2,FALSE))</f>
        <v>45.706400000000002</v>
      </c>
      <c r="AR8" s="3">
        <v>3.51</v>
      </c>
      <c r="AS8" s="3">
        <f>IF($E8="〇",AR8*基本シート!$E$2,AR8*VLOOKUP(LEFT(AS$6,FIND("(",AS$6)-1),基本シート!$B$6:$C$29,2,FALSE))</f>
        <v>129.37859999999998</v>
      </c>
      <c r="AT8" s="3">
        <v>2.66</v>
      </c>
      <c r="AU8" s="3">
        <f>IF($E8="〇",AT8*基本シート!$E$2,AT8*VLOOKUP(LEFT(AU$6,FIND("(",AU$6)-1),基本シート!$B$6:$C$29,2,FALSE))</f>
        <v>98.047600000000003</v>
      </c>
      <c r="AV8" s="3">
        <v>0.94</v>
      </c>
      <c r="AW8" s="3">
        <f>IF($E8="〇",AV8*基本シート!$E$2,AV8*VLOOKUP(LEFT(AW$6,FIND("(",AW$6)-1),基本シート!$B$6:$C$29,2,FALSE))</f>
        <v>34.648399999999995</v>
      </c>
      <c r="AX8" s="3">
        <v>0.95</v>
      </c>
      <c r="AY8" s="3">
        <f>IF($E8="〇",AX8*基本シート!$E$2,AX8*VLOOKUP(LEFT(AY$6,FIND("(",AY$6)-1),基本シート!$B$6:$C$29,2,FALSE))</f>
        <v>28.366999999999997</v>
      </c>
      <c r="AZ8" s="3">
        <v>0.97</v>
      </c>
      <c r="BA8" s="3">
        <f>IF($E8="〇",AZ8*基本シート!$E$2,AZ8*VLOOKUP(LEFT(BA$6,FIND("(",BA$6)-1),基本シート!$B$6:$C$29,2,FALSE))</f>
        <v>28.964199999999998</v>
      </c>
      <c r="BB8" s="3">
        <v>0.97</v>
      </c>
      <c r="BC8" s="3">
        <f>IF($E8="〇",BB8*基本シート!$E$2,BB8*VLOOKUP(LEFT(BC$6,FIND("(",BC$6)-1),基本シート!$B$6:$C$29,2,FALSE))</f>
        <v>28.964199999999998</v>
      </c>
      <c r="BD8" s="3">
        <f t="shared" si="7"/>
        <v>19.319999999999997</v>
      </c>
      <c r="BE8" s="3">
        <f>ROUND(SUM(I8,K8,M8,O8,Q8,S8,U8,W8,Y8,AA8,AC8,AE8,AG8,AI8,AK8,AM8,AO8,AQ8,AS8,AU8,AW8,AY8,BA8,BC8),0)</f>
        <v>641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0.39</v>
      </c>
      <c r="BN8" s="3">
        <v>2.1</v>
      </c>
      <c r="BO8" s="3">
        <v>4.2699999999999996</v>
      </c>
      <c r="BP8" s="3">
        <v>5.54</v>
      </c>
      <c r="BQ8" s="3">
        <v>5.88</v>
      </c>
      <c r="BR8" s="3">
        <v>4.95</v>
      </c>
      <c r="BS8" s="3">
        <v>3.09</v>
      </c>
      <c r="BT8" s="3">
        <v>1.69</v>
      </c>
      <c r="BU8" s="3">
        <v>0.37</v>
      </c>
      <c r="BV8" s="3">
        <v>0.02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0.05</v>
      </c>
      <c r="CU8" s="3">
        <f>CT8*基本シート!$C$3</f>
        <v>0.8</v>
      </c>
      <c r="CV8" s="3">
        <v>1.1599999999999999</v>
      </c>
      <c r="CW8" s="3">
        <f>CV8*基本シート!$C$3</f>
        <v>18.559999999999999</v>
      </c>
      <c r="CX8" s="3">
        <v>1.53</v>
      </c>
      <c r="CY8" s="3">
        <f>CX8*基本シート!$C$3</f>
        <v>24.48</v>
      </c>
      <c r="CZ8" s="3">
        <v>5.07</v>
      </c>
      <c r="DA8" s="3">
        <f>CZ8*基本シート!$C$3</f>
        <v>81.12</v>
      </c>
      <c r="DB8" s="3">
        <v>4.17</v>
      </c>
      <c r="DC8" s="3">
        <f>DB8*基本シート!$C$3</f>
        <v>66.72</v>
      </c>
      <c r="DD8" s="3">
        <v>2.46</v>
      </c>
      <c r="DE8" s="3">
        <f>DD8*基本シート!$C$3</f>
        <v>39.36</v>
      </c>
      <c r="DF8" s="3">
        <v>0.88</v>
      </c>
      <c r="DG8" s="3">
        <f>DF8*基本シート!$C$3</f>
        <v>14.08</v>
      </c>
      <c r="DH8" s="3">
        <v>0.05</v>
      </c>
      <c r="DI8" s="3">
        <f>DH8*基本シート!$C$3</f>
        <v>0.8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15.370000000000003</v>
      </c>
      <c r="EA8" s="3">
        <f>ROUND(DZ8*基本シート!$C$3,0)</f>
        <v>246</v>
      </c>
      <c r="EB8" s="3">
        <v>0.04</v>
      </c>
      <c r="EC8" s="3">
        <v>0.03</v>
      </c>
      <c r="ED8" s="3">
        <v>0.03</v>
      </c>
      <c r="EE8" s="3">
        <v>0.04</v>
      </c>
      <c r="EF8" s="3">
        <v>0.04</v>
      </c>
      <c r="EG8" s="3">
        <v>0.04</v>
      </c>
      <c r="EH8" s="3">
        <v>0.03</v>
      </c>
      <c r="EI8" s="3">
        <v>0.01</v>
      </c>
      <c r="EJ8" s="3">
        <v>0.87</v>
      </c>
      <c r="EK8" s="3">
        <v>2.21</v>
      </c>
      <c r="EL8" s="3">
        <v>3.16</v>
      </c>
      <c r="EM8" s="3">
        <v>0.03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0.03</v>
      </c>
      <c r="EZ8" s="3">
        <f t="shared" ref="EZ8:EZ37" si="11">SUM(EB8:EY8)</f>
        <v>6.7200000000000015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0.05</v>
      </c>
      <c r="FP8" s="3">
        <v>1</v>
      </c>
      <c r="FQ8" s="3">
        <v>2.7</v>
      </c>
      <c r="FR8" s="3">
        <v>1.32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7" si="12">SUM(FA8:FX8)</f>
        <v>5.07</v>
      </c>
      <c r="FZ8" s="3">
        <v>1</v>
      </c>
      <c r="GA8" s="3">
        <v>0.91</v>
      </c>
      <c r="GB8" s="3">
        <v>1.03</v>
      </c>
      <c r="GC8" s="3">
        <v>0.92</v>
      </c>
      <c r="GD8" s="3">
        <v>0.97</v>
      </c>
      <c r="GE8" s="3">
        <v>1.05</v>
      </c>
      <c r="GF8" s="3">
        <v>1.08</v>
      </c>
      <c r="GG8" s="3">
        <v>1.24</v>
      </c>
      <c r="GH8" s="3">
        <v>1.19</v>
      </c>
      <c r="GI8" s="3">
        <v>0.9</v>
      </c>
      <c r="GJ8" s="3">
        <v>0.85</v>
      </c>
      <c r="GK8" s="3">
        <v>0.78</v>
      </c>
      <c r="GL8" s="3">
        <v>0.78</v>
      </c>
      <c r="GM8" s="3">
        <v>0.62</v>
      </c>
      <c r="GN8" s="3">
        <v>0.86</v>
      </c>
      <c r="GO8" s="3">
        <v>1.32</v>
      </c>
      <c r="GP8" s="3">
        <v>2.72</v>
      </c>
      <c r="GQ8" s="3">
        <v>2.56</v>
      </c>
      <c r="GR8" s="3">
        <v>3.48</v>
      </c>
      <c r="GS8" s="3">
        <v>2.63</v>
      </c>
      <c r="GT8" s="3">
        <v>0.91</v>
      </c>
      <c r="GU8" s="3">
        <v>0.92</v>
      </c>
      <c r="GV8" s="3">
        <v>0.94</v>
      </c>
      <c r="GW8" s="3">
        <v>0.94</v>
      </c>
      <c r="GX8" s="3">
        <f t="shared" ref="GX8:GX37" si="13">SUM(FZ8:GW8)</f>
        <v>30.599999999999998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320</v>
      </c>
      <c r="C9" s="6" t="str">
        <f>TEXT(VLOOKUP(LEFT(B9,FIND("月",B9)),基本シート!$E$6:$F$17,2,FALSE)&amp;B9,"aaaa")</f>
        <v>金曜日</v>
      </c>
      <c r="D9" s="6"/>
      <c r="E9" s="6" t="str">
        <f t="shared" si="9"/>
        <v/>
      </c>
      <c r="F9" s="6" t="s">
        <v>298</v>
      </c>
      <c r="G9" s="6" t="s">
        <v>298</v>
      </c>
      <c r="H9" s="3">
        <v>1.02</v>
      </c>
      <c r="I9" s="3">
        <f>IF($E9="〇",H9*基本シート!$E$2,H9*VLOOKUP(LEFT(I$6,FIND("(",I$6)-1),基本シート!$B$6:$C$29,2,FALSE))</f>
        <v>30.4572</v>
      </c>
      <c r="J9" s="3">
        <v>1.0900000000000001</v>
      </c>
      <c r="K9" s="3">
        <f>IF($E9="〇",J9*基本シート!$E$2,J9*VLOOKUP(LEFT(K$6,FIND("(",K$6)-1),基本シート!$B$6:$C$29,2,FALSE))</f>
        <v>32.547400000000003</v>
      </c>
      <c r="L9" s="3">
        <v>0.99</v>
      </c>
      <c r="M9" s="3">
        <f>IF($E9="〇",L9*基本シート!$E$2,L9*VLOOKUP(LEFT(M$6,FIND("(",M$6)-1),基本シート!$B$6:$C$29,2,FALSE))</f>
        <v>29.561399999999999</v>
      </c>
      <c r="N9" s="3">
        <v>1.1299999999999999</v>
      </c>
      <c r="O9" s="3">
        <f>IF($E9="〇",N9*基本シート!$E$2,N9*VLOOKUP(LEFT(O$6,FIND("(",O$6)-1),基本シート!$B$6:$C$29,2,FALSE))</f>
        <v>33.741799999999998</v>
      </c>
      <c r="P9" s="3">
        <v>1.02</v>
      </c>
      <c r="Q9" s="3">
        <f>IF($E9="〇",P9*基本シート!$E$2,P9*VLOOKUP(LEFT(Q$6,FIND("(",Q$6)-1),基本シート!$B$6:$C$29,2,FALSE))</f>
        <v>30.4572</v>
      </c>
      <c r="R9" s="3">
        <v>1.1100000000000001</v>
      </c>
      <c r="S9" s="3">
        <f>IF($E9="〇",R9*基本シート!$E$2,R9*VLOOKUP(LEFT(S$6,FIND("(",S$6)-1),基本シート!$B$6:$C$29,2,FALSE))</f>
        <v>33.144600000000004</v>
      </c>
      <c r="T9" s="3">
        <v>0.98</v>
      </c>
      <c r="U9" s="3">
        <f>IF($E9="〇",T9*基本シート!$E$2,T9*VLOOKUP(LEFT(U$6,FIND("(",U$6)-1),基本シート!$B$6:$C$29,2,FALSE))</f>
        <v>29.262799999999999</v>
      </c>
      <c r="V9" s="3">
        <v>1.02</v>
      </c>
      <c r="W9" s="3">
        <f>IF($E9="〇",V9*基本シート!$E$2,V9*VLOOKUP(LEFT(W$6,FIND("(",W$6)-1),基本シート!$B$6:$C$29,2,FALSE))</f>
        <v>37.597200000000001</v>
      </c>
      <c r="X9" s="3">
        <v>0.96</v>
      </c>
      <c r="Y9" s="3">
        <f>IF($E9="〇",X9*基本シート!$E$2,X9*VLOOKUP(LEFT(Y$6,FIND("(",Y$6)-1),基本シート!$B$6:$C$29,2,FALSE))</f>
        <v>35.385599999999997</v>
      </c>
      <c r="Z9" s="3">
        <v>0.14000000000000001</v>
      </c>
      <c r="AA9" s="3">
        <f>IF($E9="〇",Z9*基本シート!$E$2,Z9*VLOOKUP(LEFT(AA$6,FIND("(",AA$6)-1),基本シート!$B$6:$C$29,2,FALSE))</f>
        <v>5.1604000000000001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1.79</v>
      </c>
      <c r="AQ9" s="3">
        <f>IF($E9="〇",AP9*基本シート!$E$2,AP9*VLOOKUP(LEFT(AQ$6,FIND("(",AQ$6)-1),基本シート!$B$6:$C$29,2,FALSE))</f>
        <v>65.979399999999998</v>
      </c>
      <c r="AR9" s="3">
        <v>3.47</v>
      </c>
      <c r="AS9" s="3">
        <f>IF($E9="〇",AR9*基本シート!$E$2,AR9*VLOOKUP(LEFT(AS$6,FIND("(",AS$6)-1),基本シート!$B$6:$C$29,2,FALSE))</f>
        <v>127.9042</v>
      </c>
      <c r="AT9" s="3">
        <v>2.5499999999999998</v>
      </c>
      <c r="AU9" s="3">
        <f>IF($E9="〇",AT9*基本シート!$E$2,AT9*VLOOKUP(LEFT(AU$6,FIND("(",AU$6)-1),基本シート!$B$6:$C$29,2,FALSE))</f>
        <v>93.992999999999995</v>
      </c>
      <c r="AV9" s="3">
        <v>1.08</v>
      </c>
      <c r="AW9" s="3">
        <f>IF($E9="〇",AV9*基本シート!$E$2,AV9*VLOOKUP(LEFT(AW$6,FIND("(",AW$6)-1),基本シート!$B$6:$C$29,2,FALSE))</f>
        <v>39.808800000000005</v>
      </c>
      <c r="AX9" s="3">
        <v>1.21</v>
      </c>
      <c r="AY9" s="3">
        <f>IF($E9="〇",AX9*基本シート!$E$2,AX9*VLOOKUP(LEFT(AY$6,FIND("(",AY$6)-1),基本シート!$B$6:$C$29,2,FALSE))</f>
        <v>36.130600000000001</v>
      </c>
      <c r="AZ9" s="3">
        <v>1.06</v>
      </c>
      <c r="BA9" s="3">
        <f>IF($E9="〇",AZ9*基本シート!$E$2,AZ9*VLOOKUP(LEFT(BA$6,FIND("(",BA$6)-1),基本シート!$B$6:$C$29,2,FALSE))</f>
        <v>31.651600000000002</v>
      </c>
      <c r="BB9" s="3">
        <v>1.1200000000000001</v>
      </c>
      <c r="BC9" s="3">
        <f>IF($E9="〇",BB9*基本シート!$E$2,BB9*VLOOKUP(LEFT(BC$6,FIND("(",BC$6)-1),基本シート!$B$6:$C$29,2,FALSE))</f>
        <v>33.443200000000004</v>
      </c>
      <c r="BD9" s="3">
        <f>SUM(H9,J9,L9,N9,P9,R9,T9,V9,X9,Z9,AB9,AD9,AF9,AH9,AJ9,AL9,AN9,AP9,AR9,AT9,AV9,AX9,AZ9,BB9)</f>
        <v>21.75</v>
      </c>
      <c r="BE9" s="3">
        <f t="shared" si="8"/>
        <v>727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0.19</v>
      </c>
      <c r="BN9" s="3">
        <v>0.55000000000000004</v>
      </c>
      <c r="BO9" s="3">
        <v>3.13</v>
      </c>
      <c r="BP9" s="3">
        <v>4.97</v>
      </c>
      <c r="BQ9" s="3">
        <v>5.32</v>
      </c>
      <c r="BR9" s="3">
        <v>3.37</v>
      </c>
      <c r="BS9" s="3">
        <v>3.43</v>
      </c>
      <c r="BT9" s="3">
        <v>2.02</v>
      </c>
      <c r="BU9" s="3">
        <v>0.62</v>
      </c>
      <c r="BV9" s="3">
        <v>0.03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0.64</v>
      </c>
      <c r="CW9" s="3">
        <f>CV9*基本シート!$C$3</f>
        <v>10.24</v>
      </c>
      <c r="CX9" s="3">
        <v>1.47</v>
      </c>
      <c r="CY9" s="3">
        <f>CX9*基本シート!$C$3</f>
        <v>23.52</v>
      </c>
      <c r="CZ9" s="3">
        <v>1.95</v>
      </c>
      <c r="DA9" s="3">
        <f>CZ9*基本シート!$C$3</f>
        <v>31.2</v>
      </c>
      <c r="DB9" s="3">
        <v>2.46</v>
      </c>
      <c r="DC9" s="3">
        <f>DB9*基本シート!$C$3</f>
        <v>39.36</v>
      </c>
      <c r="DD9" s="3">
        <v>2.74</v>
      </c>
      <c r="DE9" s="3">
        <f>DD9*基本シート!$C$3</f>
        <v>43.84</v>
      </c>
      <c r="DF9" s="3">
        <v>1.25</v>
      </c>
      <c r="DG9" s="3">
        <f>DF9*基本シート!$C$3</f>
        <v>20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10.75</v>
      </c>
      <c r="EA9" s="3">
        <f>ROUND(DZ9*基本シート!$C$3,0)</f>
        <v>172</v>
      </c>
      <c r="EB9" s="3">
        <v>0.04</v>
      </c>
      <c r="EC9" s="3">
        <v>0.04</v>
      </c>
      <c r="ED9" s="3">
        <v>0.04</v>
      </c>
      <c r="EE9" s="3">
        <v>0.03</v>
      </c>
      <c r="EF9" s="3">
        <v>0.03</v>
      </c>
      <c r="EG9" s="3">
        <v>0.04</v>
      </c>
      <c r="EH9" s="3">
        <v>0.03</v>
      </c>
      <c r="EI9" s="3">
        <v>0.01</v>
      </c>
      <c r="EJ9" s="3">
        <v>0.01</v>
      </c>
      <c r="EK9" s="3">
        <v>1.17</v>
      </c>
      <c r="EL9" s="3">
        <v>2.4300000000000002</v>
      </c>
      <c r="EM9" s="3">
        <v>2.61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6.6600000000000019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7.0000000000000007E-2</v>
      </c>
      <c r="FP9" s="3">
        <v>0.9</v>
      </c>
      <c r="FQ9" s="3">
        <v>2.95</v>
      </c>
      <c r="FR9" s="3">
        <v>1.17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5.09</v>
      </c>
      <c r="FZ9" s="3">
        <v>0.98</v>
      </c>
      <c r="GA9" s="3">
        <v>1.05</v>
      </c>
      <c r="GB9" s="3">
        <v>0.95</v>
      </c>
      <c r="GC9" s="3">
        <v>1.1000000000000001</v>
      </c>
      <c r="GD9" s="3">
        <v>0.99</v>
      </c>
      <c r="GE9" s="3">
        <v>1.07</v>
      </c>
      <c r="GF9" s="3">
        <v>0.95</v>
      </c>
      <c r="GG9" s="3">
        <v>1.2</v>
      </c>
      <c r="GH9" s="3">
        <v>1.5</v>
      </c>
      <c r="GI9" s="3">
        <v>1.46</v>
      </c>
      <c r="GJ9" s="3">
        <v>1.07</v>
      </c>
      <c r="GK9" s="3">
        <v>0.76</v>
      </c>
      <c r="GL9" s="3">
        <v>0.91</v>
      </c>
      <c r="GM9" s="3">
        <v>0.69</v>
      </c>
      <c r="GN9" s="3">
        <v>0.84</v>
      </c>
      <c r="GO9" s="3">
        <v>1.29</v>
      </c>
      <c r="GP9" s="3">
        <v>2.98</v>
      </c>
      <c r="GQ9" s="3">
        <v>2.96</v>
      </c>
      <c r="GR9" s="3">
        <v>3.44</v>
      </c>
      <c r="GS9" s="3">
        <v>2.52</v>
      </c>
      <c r="GT9" s="3">
        <v>1.05</v>
      </c>
      <c r="GU9" s="3">
        <v>1.18</v>
      </c>
      <c r="GV9" s="3">
        <v>1.03</v>
      </c>
      <c r="GW9" s="3">
        <v>1.0900000000000001</v>
      </c>
      <c r="GX9" s="3">
        <f t="shared" si="13"/>
        <v>33.06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321</v>
      </c>
      <c r="C10" s="6" t="str">
        <f>TEXT(VLOOKUP(LEFT(B10,FIND("月",B10)),基本シート!$E$6:$F$17,2,FALSE)&amp;B10,"aaaa")</f>
        <v>土曜日</v>
      </c>
      <c r="D10" s="6"/>
      <c r="E10" s="6" t="str">
        <f t="shared" si="9"/>
        <v>〇</v>
      </c>
      <c r="F10" s="6" t="s">
        <v>298</v>
      </c>
      <c r="G10" s="6" t="s">
        <v>298</v>
      </c>
      <c r="H10" s="3">
        <v>0.97</v>
      </c>
      <c r="I10" s="3">
        <f>IF($E10="〇",H10*基本シート!$E$2,H10*VLOOKUP(LEFT(I$6,FIND("(",I$6)-1),基本シート!$B$6:$C$29,2,FALSE))</f>
        <v>28.964199999999998</v>
      </c>
      <c r="J10" s="3">
        <v>0.95</v>
      </c>
      <c r="K10" s="3">
        <f>IF($E10="〇",J10*基本シート!$E$2,J10*VLOOKUP(LEFT(K$6,FIND("(",K$6)-1),基本シート!$B$6:$C$29,2,FALSE))</f>
        <v>28.366999999999997</v>
      </c>
      <c r="L10" s="3">
        <v>1.1399999999999999</v>
      </c>
      <c r="M10" s="3">
        <f>IF($E10="〇",L10*基本シート!$E$2,L10*VLOOKUP(LEFT(M$6,FIND("(",M$6)-1),基本シート!$B$6:$C$29,2,FALSE))</f>
        <v>34.040399999999998</v>
      </c>
      <c r="N10" s="3">
        <v>1.08</v>
      </c>
      <c r="O10" s="3">
        <f>IF($E10="〇",N10*基本シート!$E$2,N10*VLOOKUP(LEFT(O$6,FIND("(",O$6)-1),基本シート!$B$6:$C$29,2,FALSE))</f>
        <v>32.248800000000003</v>
      </c>
      <c r="P10" s="3">
        <v>1.1599999999999999</v>
      </c>
      <c r="Q10" s="3">
        <f>IF($E10="〇",P10*基本シート!$E$2,P10*VLOOKUP(LEFT(Q$6,FIND("(",Q$6)-1),基本シート!$B$6:$C$29,2,FALSE))</f>
        <v>34.637599999999999</v>
      </c>
      <c r="R10" s="3">
        <v>1.23</v>
      </c>
      <c r="S10" s="3">
        <f>IF($E10="〇",R10*基本シート!$E$2,R10*VLOOKUP(LEFT(S$6,FIND("(",S$6)-1),基本シート!$B$6:$C$29,2,FALSE))</f>
        <v>36.727800000000002</v>
      </c>
      <c r="T10" s="3">
        <v>1.1599999999999999</v>
      </c>
      <c r="U10" s="3">
        <f>IF($E10="〇",T10*基本シート!$E$2,T10*VLOOKUP(LEFT(U$6,FIND("(",U$6)-1),基本シート!$B$6:$C$29,2,FALSE))</f>
        <v>34.637599999999999</v>
      </c>
      <c r="V10" s="3">
        <v>1.1100000000000001</v>
      </c>
      <c r="W10" s="3">
        <f>IF($E10="〇",V10*基本シート!$E$2,V10*VLOOKUP(LEFT(W$6,FIND("(",W$6)-1),基本シート!$B$6:$C$29,2,FALSE))</f>
        <v>33.144600000000004</v>
      </c>
      <c r="X10" s="3">
        <v>0.5</v>
      </c>
      <c r="Y10" s="3">
        <f>IF($E10="〇",X10*基本シート!$E$2,X10*VLOOKUP(LEFT(Y$6,FIND("(",Y$6)-1),基本シート!$B$6:$C$29,2,FALSE))</f>
        <v>14.93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0.01</v>
      </c>
      <c r="AG10" s="3">
        <f>IF($E10="〇",AF10*基本シート!$E$2,AF10*VLOOKUP(LEFT(AG$6,FIND("(",AG$6)-1),基本シート!$B$6:$C$29,2,FALSE))</f>
        <v>0.29859999999999998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0.29859999999999998</v>
      </c>
      <c r="AP10" s="3">
        <v>1.91</v>
      </c>
      <c r="AQ10" s="3">
        <f>IF($E10="〇",AP10*基本シート!$E$2,AP10*VLOOKUP(LEFT(AQ$6,FIND("(",AQ$6)-1),基本シート!$B$6:$C$29,2,FALSE))</f>
        <v>57.032599999999995</v>
      </c>
      <c r="AR10" s="3">
        <v>3.5</v>
      </c>
      <c r="AS10" s="3">
        <f>IF($E10="〇",AR10*基本シート!$E$2,AR10*VLOOKUP(LEFT(AS$6,FIND("(",AS$6)-1),基本シート!$B$6:$C$29,2,FALSE))</f>
        <v>104.50999999999999</v>
      </c>
      <c r="AT10" s="3">
        <v>3.44</v>
      </c>
      <c r="AU10" s="3">
        <f>IF($E10="〇",AT10*基本シート!$E$2,AT10*VLOOKUP(LEFT(AU$6,FIND("(",AU$6)-1),基本シート!$B$6:$C$29,2,FALSE))</f>
        <v>102.7184</v>
      </c>
      <c r="AV10" s="3">
        <v>1.3</v>
      </c>
      <c r="AW10" s="3">
        <f>IF($E10="〇",AV10*基本シート!$E$2,AV10*VLOOKUP(LEFT(AW$6,FIND("(",AW$6)-1),基本シート!$B$6:$C$29,2,FALSE))</f>
        <v>38.817999999999998</v>
      </c>
      <c r="AX10" s="3">
        <v>1.1100000000000001</v>
      </c>
      <c r="AY10" s="3">
        <f>IF($E10="〇",AX10*基本シート!$E$2,AX10*VLOOKUP(LEFT(AY$6,FIND("(",AY$6)-1),基本シート!$B$6:$C$29,2,FALSE))</f>
        <v>33.144600000000004</v>
      </c>
      <c r="AZ10" s="3">
        <v>1.19</v>
      </c>
      <c r="BA10" s="3">
        <f>IF($E10="〇",AZ10*基本シート!$E$2,AZ10*VLOOKUP(LEFT(BA$6,FIND("(",BA$6)-1),基本シート!$B$6:$C$29,2,FALSE))</f>
        <v>35.5334</v>
      </c>
      <c r="BB10" s="3">
        <v>1.06</v>
      </c>
      <c r="BC10" s="3">
        <f>IF($E10="〇",BB10*基本シート!$E$2,BB10*VLOOKUP(LEFT(BC$6,FIND("(",BC$6)-1),基本シート!$B$6:$C$29,2,FALSE))</f>
        <v>31.651600000000002</v>
      </c>
      <c r="BD10" s="3">
        <f t="shared" si="7"/>
        <v>22.83</v>
      </c>
      <c r="BE10" s="3">
        <f t="shared" si="8"/>
        <v>682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0.13</v>
      </c>
      <c r="BN10" s="3">
        <v>1.1299999999999999</v>
      </c>
      <c r="BO10" s="3">
        <v>1.08</v>
      </c>
      <c r="BP10" s="3">
        <v>3.04</v>
      </c>
      <c r="BQ10" s="3">
        <v>4.38</v>
      </c>
      <c r="BR10" s="3">
        <v>3.46</v>
      </c>
      <c r="BS10" s="3">
        <v>2.48</v>
      </c>
      <c r="BT10" s="3">
        <v>3.17</v>
      </c>
      <c r="BU10" s="3">
        <v>0.67</v>
      </c>
      <c r="BV10" s="3">
        <v>0.04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7.0000000000000007E-2</v>
      </c>
      <c r="CU10" s="3">
        <f>CT10*基本シート!$C$3</f>
        <v>1.1200000000000001</v>
      </c>
      <c r="CV10" s="3">
        <v>0.03</v>
      </c>
      <c r="CW10" s="3">
        <f>CV10*基本シート!$C$3</f>
        <v>0.48</v>
      </c>
      <c r="CX10" s="3">
        <v>0.83</v>
      </c>
      <c r="CY10" s="3">
        <f>CX10*基本シート!$C$3</f>
        <v>13.28</v>
      </c>
      <c r="CZ10" s="3">
        <v>1.54</v>
      </c>
      <c r="DA10" s="3">
        <f>CZ10*基本シート!$C$3</f>
        <v>24.64</v>
      </c>
      <c r="DB10" s="3">
        <v>0.42</v>
      </c>
      <c r="DC10" s="3">
        <f>DB10*基本シート!$C$3</f>
        <v>6.72</v>
      </c>
      <c r="DD10" s="3">
        <v>0.61</v>
      </c>
      <c r="DE10" s="3">
        <f>DD10*基本シート!$C$3</f>
        <v>9.76</v>
      </c>
      <c r="DF10" s="3">
        <v>2.2799999999999998</v>
      </c>
      <c r="DG10" s="3">
        <f>DF10*基本シート!$C$3</f>
        <v>36.479999999999997</v>
      </c>
      <c r="DH10" s="3">
        <v>0.17</v>
      </c>
      <c r="DI10" s="3">
        <f>DH10*基本シート!$C$3</f>
        <v>2.72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5.9599999999999991</v>
      </c>
      <c r="EA10" s="3">
        <f>ROUND(DZ10*基本シート!$C$3,0)</f>
        <v>95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0.02</v>
      </c>
      <c r="EH10" s="3">
        <v>0.03</v>
      </c>
      <c r="EI10" s="3">
        <v>0</v>
      </c>
      <c r="EJ10" s="3">
        <v>0.2</v>
      </c>
      <c r="EK10" s="3">
        <v>0</v>
      </c>
      <c r="EL10" s="3">
        <v>1.05</v>
      </c>
      <c r="EM10" s="3">
        <v>1.87</v>
      </c>
      <c r="EN10" s="3">
        <v>2.29</v>
      </c>
      <c r="EO10" s="3">
        <v>0.94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0.04</v>
      </c>
      <c r="EV10" s="3">
        <v>0.04</v>
      </c>
      <c r="EW10" s="3">
        <v>0.04</v>
      </c>
      <c r="EX10" s="3">
        <v>0.03</v>
      </c>
      <c r="EY10" s="3">
        <v>0.04</v>
      </c>
      <c r="EZ10" s="3">
        <f t="shared" si="11"/>
        <v>6.7700000000000014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0.06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1.38</v>
      </c>
      <c r="FQ10" s="3">
        <v>2.73</v>
      </c>
      <c r="FR10" s="3">
        <v>0.94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5.1099999999999994</v>
      </c>
      <c r="FZ10" s="3">
        <v>0.94</v>
      </c>
      <c r="GA10" s="3">
        <v>0.92</v>
      </c>
      <c r="GB10" s="3">
        <v>1.1100000000000001</v>
      </c>
      <c r="GC10" s="3">
        <v>1.05</v>
      </c>
      <c r="GD10" s="3">
        <v>1.1299999999999999</v>
      </c>
      <c r="GE10" s="3">
        <v>1.21</v>
      </c>
      <c r="GF10" s="3">
        <v>1.1299999999999999</v>
      </c>
      <c r="GG10" s="3">
        <v>1.24</v>
      </c>
      <c r="GH10" s="3">
        <v>1.36</v>
      </c>
      <c r="GI10" s="3">
        <v>1.1100000000000001</v>
      </c>
      <c r="GJ10" s="3">
        <v>1.1599999999999999</v>
      </c>
      <c r="GK10" s="3">
        <v>0.97</v>
      </c>
      <c r="GL10" s="3">
        <v>0.76</v>
      </c>
      <c r="GM10" s="3">
        <v>0.93</v>
      </c>
      <c r="GN10" s="3">
        <v>0.89</v>
      </c>
      <c r="GO10" s="3">
        <v>1.88</v>
      </c>
      <c r="GP10" s="3">
        <v>2.77</v>
      </c>
      <c r="GQ10" s="3">
        <v>2.85</v>
      </c>
      <c r="GR10" s="3">
        <v>3.47</v>
      </c>
      <c r="GS10" s="3">
        <v>3.4</v>
      </c>
      <c r="GT10" s="3">
        <v>1.26</v>
      </c>
      <c r="GU10" s="3">
        <v>1.07</v>
      </c>
      <c r="GV10" s="3">
        <v>1.1599999999999999</v>
      </c>
      <c r="GW10" s="3">
        <v>1.02</v>
      </c>
      <c r="GX10" s="3">
        <f t="shared" si="13"/>
        <v>34.79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322</v>
      </c>
      <c r="C11" s="6" t="str">
        <f>TEXT(VLOOKUP(LEFT(B11,FIND("月",B11)),基本シート!$E$6:$F$17,2,FALSE)&amp;B11,"aaaa")</f>
        <v>日曜日</v>
      </c>
      <c r="D11" s="6"/>
      <c r="E11" s="6" t="str">
        <f t="shared" si="9"/>
        <v>〇</v>
      </c>
      <c r="F11" s="6" t="s">
        <v>296</v>
      </c>
      <c r="G11" s="6" t="s">
        <v>366</v>
      </c>
      <c r="H11" s="3">
        <v>1.07</v>
      </c>
      <c r="I11" s="3">
        <f>IF($E11="〇",H11*基本シート!$E$2,H11*VLOOKUP(LEFT(I$6,FIND("(",I$6)-1),基本シート!$B$6:$C$29,2,FALSE))</f>
        <v>31.950200000000002</v>
      </c>
      <c r="J11" s="3">
        <v>1.02</v>
      </c>
      <c r="K11" s="3">
        <f>IF($E11="〇",J11*基本シート!$E$2,J11*VLOOKUP(LEFT(K$6,FIND("(",K$6)-1),基本シート!$B$6:$C$29,2,FALSE))</f>
        <v>30.4572</v>
      </c>
      <c r="L11" s="3">
        <v>1.23</v>
      </c>
      <c r="M11" s="3">
        <f>IF($E11="〇",L11*基本シート!$E$2,L11*VLOOKUP(LEFT(M$6,FIND("(",M$6)-1),基本シート!$B$6:$C$29,2,FALSE))</f>
        <v>36.727800000000002</v>
      </c>
      <c r="N11" s="3">
        <v>1.06</v>
      </c>
      <c r="O11" s="3">
        <f>IF($E11="〇",N11*基本シート!$E$2,N11*VLOOKUP(LEFT(O$6,FIND("(",O$6)-1),基本シート!$B$6:$C$29,2,FALSE))</f>
        <v>31.651600000000002</v>
      </c>
      <c r="P11" s="3">
        <v>1.1000000000000001</v>
      </c>
      <c r="Q11" s="3">
        <f>IF($E11="〇",P11*基本シート!$E$2,P11*VLOOKUP(LEFT(Q$6,FIND("(",Q$6)-1),基本シート!$B$6:$C$29,2,FALSE))</f>
        <v>32.846000000000004</v>
      </c>
      <c r="R11" s="3">
        <v>1.05</v>
      </c>
      <c r="S11" s="3">
        <f>IF($E11="〇",R11*基本シート!$E$2,R11*VLOOKUP(LEFT(S$6,FIND("(",S$6)-1),基本シート!$B$6:$C$29,2,FALSE))</f>
        <v>31.353000000000002</v>
      </c>
      <c r="T11" s="3">
        <v>1.1000000000000001</v>
      </c>
      <c r="U11" s="3">
        <f>IF($E11="〇",T11*基本シート!$E$2,T11*VLOOKUP(LEFT(U$6,FIND("(",U$6)-1),基本シート!$B$6:$C$29,2,FALSE))</f>
        <v>32.846000000000004</v>
      </c>
      <c r="V11" s="3">
        <v>1.21</v>
      </c>
      <c r="W11" s="3">
        <f>IF($E11="〇",V11*基本シート!$E$2,V11*VLOOKUP(LEFT(W$6,FIND("(",W$6)-1),基本シート!$B$6:$C$29,2,FALSE))</f>
        <v>36.130600000000001</v>
      </c>
      <c r="X11" s="3">
        <v>0.28999999999999998</v>
      </c>
      <c r="Y11" s="3">
        <f>IF($E11="〇",X11*基本シート!$E$2,X11*VLOOKUP(LEFT(Y$6,FIND("(",Y$6)-1),基本シート!$B$6:$C$29,2,FALSE))</f>
        <v>8.6593999999999998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0.01</v>
      </c>
      <c r="AC11" s="3">
        <f>IF($E11="〇",AB11*基本シート!$E$2,AB11*VLOOKUP(LEFT(AC$6,FIND("(",AC$6)-1),基本シート!$B$6:$C$29,2,FALSE))</f>
        <v>0.29859999999999998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1.84</v>
      </c>
      <c r="AQ11" s="3">
        <f>IF($E11="〇",AP11*基本シート!$E$2,AP11*VLOOKUP(LEFT(AQ$6,FIND("(",AQ$6)-1),基本シート!$B$6:$C$29,2,FALSE))</f>
        <v>54.942399999999999</v>
      </c>
      <c r="AR11" s="3">
        <v>3.56</v>
      </c>
      <c r="AS11" s="3">
        <f>IF($E11="〇",AR11*基本シート!$E$2,AR11*VLOOKUP(LEFT(AS$6,FIND("(",AS$6)-1),基本シート!$B$6:$C$29,2,FALSE))</f>
        <v>106.30159999999999</v>
      </c>
      <c r="AT11" s="3">
        <v>2.59</v>
      </c>
      <c r="AU11" s="3">
        <f>IF($E11="〇",AT11*基本シート!$E$2,AT11*VLOOKUP(LEFT(AU$6,FIND("(",AU$6)-1),基本シート!$B$6:$C$29,2,FALSE))</f>
        <v>77.337399999999988</v>
      </c>
      <c r="AV11" s="3">
        <v>0.72</v>
      </c>
      <c r="AW11" s="3">
        <f>IF($E11="〇",AV11*基本シート!$E$2,AV11*VLOOKUP(LEFT(AW$6,FIND("(",AW$6)-1),基本シート!$B$6:$C$29,2,FALSE))</f>
        <v>21.499199999999998</v>
      </c>
      <c r="AX11" s="3">
        <v>0.93</v>
      </c>
      <c r="AY11" s="3">
        <f>IF($E11="〇",AX11*基本シート!$E$2,AX11*VLOOKUP(LEFT(AY$6,FIND("(",AY$6)-1),基本シート!$B$6:$C$29,2,FALSE))</f>
        <v>27.7698</v>
      </c>
      <c r="AZ11" s="3">
        <v>1.04</v>
      </c>
      <c r="BA11" s="3">
        <f>IF($E11="〇",AZ11*基本シート!$E$2,AZ11*VLOOKUP(LEFT(BA$6,FIND("(",BA$6)-1),基本シート!$B$6:$C$29,2,FALSE))</f>
        <v>31.054400000000001</v>
      </c>
      <c r="BB11" s="3">
        <v>0.79</v>
      </c>
      <c r="BC11" s="3">
        <f>IF($E11="〇",BB11*基本シート!$E$2,BB11*VLOOKUP(LEFT(BC$6,FIND("(",BC$6)-1),基本シート!$B$6:$C$29,2,FALSE))</f>
        <v>23.589400000000001</v>
      </c>
      <c r="BD11" s="3">
        <f t="shared" si="7"/>
        <v>20.619999999999997</v>
      </c>
      <c r="BE11" s="3">
        <f t="shared" si="8"/>
        <v>616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0.15</v>
      </c>
      <c r="BN11" s="3">
        <v>2.36</v>
      </c>
      <c r="BO11" s="3">
        <v>3.48</v>
      </c>
      <c r="BP11" s="3">
        <v>3.93</v>
      </c>
      <c r="BQ11" s="3">
        <v>4.71</v>
      </c>
      <c r="BR11" s="3">
        <v>2.39</v>
      </c>
      <c r="BS11" s="3">
        <v>2.81</v>
      </c>
      <c r="BT11" s="3">
        <v>1.56</v>
      </c>
      <c r="BU11" s="3">
        <v>0.45</v>
      </c>
      <c r="BV11" s="3">
        <v>0.02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0.18</v>
      </c>
      <c r="CU11" s="3">
        <f>CT11*基本シート!$C$3</f>
        <v>2.88</v>
      </c>
      <c r="CV11" s="3">
        <v>0.47</v>
      </c>
      <c r="CW11" s="3">
        <f>CV11*基本シート!$C$3</f>
        <v>7.52</v>
      </c>
      <c r="CX11" s="3">
        <v>0.21</v>
      </c>
      <c r="CY11" s="3">
        <f>CX11*基本シート!$C$3</f>
        <v>3.36</v>
      </c>
      <c r="CZ11" s="3">
        <v>2.61</v>
      </c>
      <c r="DA11" s="3">
        <f>CZ11*基本シート!$C$3</f>
        <v>41.76</v>
      </c>
      <c r="DB11" s="3">
        <v>1.54</v>
      </c>
      <c r="DC11" s="3">
        <f>DB11*基本シート!$C$3</f>
        <v>24.64</v>
      </c>
      <c r="DD11" s="3">
        <v>1.92</v>
      </c>
      <c r="DE11" s="3">
        <f>DD11*基本シート!$C$3</f>
        <v>30.72</v>
      </c>
      <c r="DF11" s="3">
        <v>0.8</v>
      </c>
      <c r="DG11" s="3">
        <f>DF11*基本シート!$C$3</f>
        <v>12.8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7.76</v>
      </c>
      <c r="EA11" s="3">
        <f>ROUND(DZ11*基本シート!$C$3,0)</f>
        <v>124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</v>
      </c>
      <c r="EJ11" s="3">
        <v>0.86</v>
      </c>
      <c r="EK11" s="3">
        <v>1.36</v>
      </c>
      <c r="EL11" s="3">
        <v>2.59</v>
      </c>
      <c r="EM11" s="3">
        <v>1.36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0.04</v>
      </c>
      <c r="EW11" s="3">
        <v>0.04</v>
      </c>
      <c r="EX11" s="3">
        <v>0.04</v>
      </c>
      <c r="EY11" s="3">
        <v>0.04</v>
      </c>
      <c r="EZ11" s="3">
        <f t="shared" si="11"/>
        <v>6.69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1.26</v>
      </c>
      <c r="FQ11" s="3">
        <v>2.62</v>
      </c>
      <c r="FR11" s="3">
        <v>1.1200000000000001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</v>
      </c>
      <c r="FZ11" s="3">
        <v>1.03</v>
      </c>
      <c r="GA11" s="3">
        <v>0.98</v>
      </c>
      <c r="GB11" s="3">
        <v>1.19</v>
      </c>
      <c r="GC11" s="3">
        <v>1.02</v>
      </c>
      <c r="GD11" s="3">
        <v>1.06</v>
      </c>
      <c r="GE11" s="3">
        <v>1.01</v>
      </c>
      <c r="GF11" s="3">
        <v>1.06</v>
      </c>
      <c r="GG11" s="3">
        <v>1.36</v>
      </c>
      <c r="GH11" s="3">
        <v>1.61</v>
      </c>
      <c r="GI11" s="3">
        <v>1.66</v>
      </c>
      <c r="GJ11" s="3">
        <v>1.1399999999999999</v>
      </c>
      <c r="GK11" s="3">
        <v>0.74</v>
      </c>
      <c r="GL11" s="3">
        <v>0.84</v>
      </c>
      <c r="GM11" s="3">
        <v>0.89</v>
      </c>
      <c r="GN11" s="3">
        <v>0.76</v>
      </c>
      <c r="GO11" s="3">
        <v>1.68</v>
      </c>
      <c r="GP11" s="3">
        <v>2.64</v>
      </c>
      <c r="GQ11" s="3">
        <v>2.96</v>
      </c>
      <c r="GR11" s="3">
        <v>3.52</v>
      </c>
      <c r="GS11" s="3">
        <v>2.56</v>
      </c>
      <c r="GT11" s="3">
        <v>0.68</v>
      </c>
      <c r="GU11" s="3">
        <v>0.89</v>
      </c>
      <c r="GV11" s="3">
        <v>1</v>
      </c>
      <c r="GW11" s="3">
        <v>0.75</v>
      </c>
      <c r="GX11" s="3">
        <f t="shared" si="13"/>
        <v>33.03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323</v>
      </c>
      <c r="C12" s="6" t="str">
        <f>TEXT(VLOOKUP(LEFT(B12,FIND("月",B12)),基本シート!$E$6:$F$17,2,FALSE)&amp;B12,"aaaa")</f>
        <v>月曜日</v>
      </c>
      <c r="D12" s="6"/>
      <c r="E12" s="6" t="str">
        <f t="shared" si="9"/>
        <v/>
      </c>
      <c r="F12" s="6" t="s">
        <v>395</v>
      </c>
      <c r="G12" s="6" t="s">
        <v>297</v>
      </c>
      <c r="H12" s="3">
        <v>1.04</v>
      </c>
      <c r="I12" s="3">
        <f>IF($E12="〇",H12*基本シート!$E$2,H12*VLOOKUP(LEFT(I$6,FIND("(",I$6)-1),基本シート!$B$6:$C$29,2,FALSE))</f>
        <v>31.054400000000001</v>
      </c>
      <c r="J12" s="3">
        <v>1.06</v>
      </c>
      <c r="K12" s="3">
        <f>IF($E12="〇",J12*基本シート!$E$2,J12*VLOOKUP(LEFT(K$6,FIND("(",K$6)-1),基本シート!$B$6:$C$29,2,FALSE))</f>
        <v>31.651600000000002</v>
      </c>
      <c r="L12" s="3">
        <v>1.03</v>
      </c>
      <c r="M12" s="3">
        <f>IF($E12="〇",L12*基本シート!$E$2,L12*VLOOKUP(LEFT(M$6,FIND("(",M$6)-1),基本シート!$B$6:$C$29,2,FALSE))</f>
        <v>30.755800000000001</v>
      </c>
      <c r="N12" s="3">
        <v>1.06</v>
      </c>
      <c r="O12" s="3">
        <f>IF($E12="〇",N12*基本シート!$E$2,N12*VLOOKUP(LEFT(O$6,FIND("(",O$6)-1),基本シート!$B$6:$C$29,2,FALSE))</f>
        <v>31.651600000000002</v>
      </c>
      <c r="P12" s="3">
        <v>1.2</v>
      </c>
      <c r="Q12" s="3">
        <f>IF($E12="〇",P12*基本シート!$E$2,P12*VLOOKUP(LEFT(Q$6,FIND("(",Q$6)-1),基本シート!$B$6:$C$29,2,FALSE))</f>
        <v>35.832000000000001</v>
      </c>
      <c r="R12" s="3">
        <v>1.17</v>
      </c>
      <c r="S12" s="3">
        <f>IF($E12="〇",R12*基本シート!$E$2,R12*VLOOKUP(LEFT(S$6,FIND("(",S$6)-1),基本シート!$B$6:$C$29,2,FALSE))</f>
        <v>34.936199999999999</v>
      </c>
      <c r="T12" s="3">
        <v>1.81</v>
      </c>
      <c r="U12" s="3">
        <f>IF($E12="〇",T12*基本シート!$E$2,T12*VLOOKUP(LEFT(U$6,FIND("(",U$6)-1),基本シート!$B$6:$C$29,2,FALSE))</f>
        <v>54.046599999999998</v>
      </c>
      <c r="V12" s="3">
        <v>1.23</v>
      </c>
      <c r="W12" s="3">
        <f>IF($E12="〇",V12*基本シート!$E$2,V12*VLOOKUP(LEFT(W$6,FIND("(",W$6)-1),基本シート!$B$6:$C$29,2,FALSE))</f>
        <v>45.337800000000001</v>
      </c>
      <c r="X12" s="3">
        <v>0.87</v>
      </c>
      <c r="Y12" s="3">
        <f>IF($E12="〇",X12*基本シート!$E$2,X12*VLOOKUP(LEFT(Y$6,FIND("(",Y$6)-1),基本シート!$B$6:$C$29,2,FALSE))</f>
        <v>32.068199999999997</v>
      </c>
      <c r="Z12" s="3">
        <v>0.42</v>
      </c>
      <c r="AA12" s="3">
        <f>IF($E12="〇",Z12*基本シート!$E$2,Z12*VLOOKUP(LEFT(AA$6,FIND("(",AA$6)-1),基本シート!$B$6:$C$29,2,FALSE))</f>
        <v>15.481199999999999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0.82</v>
      </c>
      <c r="AQ12" s="3">
        <f>IF($E12="〇",AP12*基本シート!$E$2,AP12*VLOOKUP(LEFT(AQ$6,FIND("(",AQ$6)-1),基本シート!$B$6:$C$29,2,FALSE))</f>
        <v>30.225199999999997</v>
      </c>
      <c r="AR12" s="3">
        <v>1.24</v>
      </c>
      <c r="AS12" s="3">
        <f>IF($E12="〇",AR12*基本シート!$E$2,AR12*VLOOKUP(LEFT(AS$6,FIND("(",AS$6)-1),基本シート!$B$6:$C$29,2,FALSE))</f>
        <v>45.706400000000002</v>
      </c>
      <c r="AT12" s="3">
        <v>1.25</v>
      </c>
      <c r="AU12" s="3">
        <f>IF($E12="〇",AT12*基本シート!$E$2,AT12*VLOOKUP(LEFT(AU$6,FIND("(",AU$6)-1),基本シート!$B$6:$C$29,2,FALSE))</f>
        <v>46.075000000000003</v>
      </c>
      <c r="AV12" s="3">
        <v>1.07</v>
      </c>
      <c r="AW12" s="3">
        <f>IF($E12="〇",AV12*基本シート!$E$2,AV12*VLOOKUP(LEFT(AW$6,FIND("(",AW$6)-1),基本シート!$B$6:$C$29,2,FALSE))</f>
        <v>39.440200000000004</v>
      </c>
      <c r="AX12" s="3">
        <v>1.06</v>
      </c>
      <c r="AY12" s="3">
        <f>IF($E12="〇",AX12*基本シート!$E$2,AX12*VLOOKUP(LEFT(AY$6,FIND("(",AY$6)-1),基本シート!$B$6:$C$29,2,FALSE))</f>
        <v>31.651600000000002</v>
      </c>
      <c r="AZ12" s="3">
        <v>0.82</v>
      </c>
      <c r="BA12" s="3">
        <f>IF($E12="〇",AZ12*基本シート!$E$2,AZ12*VLOOKUP(LEFT(BA$6,FIND("(",BA$6)-1),基本シート!$B$6:$C$29,2,FALSE))</f>
        <v>24.485199999999999</v>
      </c>
      <c r="BB12" s="3">
        <v>1.63</v>
      </c>
      <c r="BC12" s="3">
        <f>IF($E12="〇",BB12*基本シート!$E$2,BB12*VLOOKUP(LEFT(BC$6,FIND("(",BC$6)-1),基本シート!$B$6:$C$29,2,FALSE))</f>
        <v>48.671799999999998</v>
      </c>
      <c r="BD12" s="3">
        <f t="shared" si="7"/>
        <v>18.79</v>
      </c>
      <c r="BE12" s="3">
        <f t="shared" si="8"/>
        <v>609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0.04</v>
      </c>
      <c r="BN12" s="3">
        <v>0.18</v>
      </c>
      <c r="BO12" s="3">
        <v>1.05</v>
      </c>
      <c r="BP12" s="3">
        <v>4.09</v>
      </c>
      <c r="BQ12" s="3">
        <v>4.9000000000000004</v>
      </c>
      <c r="BR12" s="3">
        <v>2.31</v>
      </c>
      <c r="BS12" s="3">
        <v>1.23</v>
      </c>
      <c r="BT12" s="3">
        <v>0.59</v>
      </c>
      <c r="BU12" s="3">
        <v>0.19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0.01</v>
      </c>
      <c r="CW12" s="3">
        <f>CV12*基本シート!$C$3</f>
        <v>0.16</v>
      </c>
      <c r="CX12" s="3">
        <v>1.3</v>
      </c>
      <c r="CY12" s="3">
        <f>CX12*基本シート!$C$3</f>
        <v>20.8</v>
      </c>
      <c r="CZ12" s="3">
        <v>0.8</v>
      </c>
      <c r="DA12" s="3">
        <f>CZ12*基本シート!$C$3</f>
        <v>12.8</v>
      </c>
      <c r="DB12" s="3">
        <v>0.73</v>
      </c>
      <c r="DC12" s="3">
        <f>DB12*基本シート!$C$3</f>
        <v>11.68</v>
      </c>
      <c r="DD12" s="3">
        <v>0.43</v>
      </c>
      <c r="DE12" s="3">
        <f>DD12*基本シート!$C$3</f>
        <v>6.88</v>
      </c>
      <c r="DF12" s="3">
        <v>0.03</v>
      </c>
      <c r="DG12" s="3">
        <f>DF12*基本シート!$C$3</f>
        <v>0.48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3.32</v>
      </c>
      <c r="EA12" s="3">
        <f>ROUND(DZ12*基本シート!$C$3,0)</f>
        <v>53</v>
      </c>
      <c r="EB12" s="3">
        <v>0.04</v>
      </c>
      <c r="EC12" s="3">
        <v>0.04</v>
      </c>
      <c r="ED12" s="3">
        <v>0.04</v>
      </c>
      <c r="EE12" s="3">
        <v>0.03</v>
      </c>
      <c r="EF12" s="3">
        <v>0.04</v>
      </c>
      <c r="EG12" s="3">
        <v>0.04</v>
      </c>
      <c r="EH12" s="3">
        <v>0.04</v>
      </c>
      <c r="EI12" s="3">
        <v>0.02</v>
      </c>
      <c r="EJ12" s="3">
        <v>0.01</v>
      </c>
      <c r="EK12" s="3">
        <v>0.41</v>
      </c>
      <c r="EL12" s="3">
        <v>1.74</v>
      </c>
      <c r="EM12" s="3">
        <v>3.09</v>
      </c>
      <c r="EN12" s="3">
        <v>0.85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0.04</v>
      </c>
      <c r="EV12" s="3">
        <v>0.04</v>
      </c>
      <c r="EW12" s="3">
        <v>0.03</v>
      </c>
      <c r="EX12" s="3">
        <v>0.04</v>
      </c>
      <c r="EY12" s="3">
        <v>0.04</v>
      </c>
      <c r="EZ12" s="3">
        <f t="shared" si="11"/>
        <v>6.61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0.02</v>
      </c>
      <c r="FO12" s="3">
        <v>0.06</v>
      </c>
      <c r="FP12" s="3">
        <v>1.82</v>
      </c>
      <c r="FQ12" s="3">
        <v>2.37</v>
      </c>
      <c r="FR12" s="3">
        <v>0.89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5.16</v>
      </c>
      <c r="FZ12" s="3">
        <v>1</v>
      </c>
      <c r="GA12" s="3">
        <v>1.02</v>
      </c>
      <c r="GB12" s="3">
        <v>0.99</v>
      </c>
      <c r="GC12" s="3">
        <v>1.03</v>
      </c>
      <c r="GD12" s="3">
        <v>1.1599999999999999</v>
      </c>
      <c r="GE12" s="3">
        <v>1.1299999999999999</v>
      </c>
      <c r="GF12" s="3">
        <v>1.77</v>
      </c>
      <c r="GG12" s="3">
        <v>1.25</v>
      </c>
      <c r="GH12" s="3">
        <v>1.04</v>
      </c>
      <c r="GI12" s="3">
        <v>1.05</v>
      </c>
      <c r="GJ12" s="3">
        <v>1.05</v>
      </c>
      <c r="GK12" s="3">
        <v>1.01</v>
      </c>
      <c r="GL12" s="3">
        <v>0.73</v>
      </c>
      <c r="GM12" s="3">
        <v>0.82</v>
      </c>
      <c r="GN12" s="3">
        <v>0.62</v>
      </c>
      <c r="GO12" s="3">
        <v>2</v>
      </c>
      <c r="GP12" s="3">
        <v>2.37</v>
      </c>
      <c r="GQ12" s="3">
        <v>1.71</v>
      </c>
      <c r="GR12" s="3">
        <v>1.21</v>
      </c>
      <c r="GS12" s="3">
        <v>1.21</v>
      </c>
      <c r="GT12" s="3">
        <v>1.03</v>
      </c>
      <c r="GU12" s="3">
        <v>1.03</v>
      </c>
      <c r="GV12" s="3">
        <v>0.78</v>
      </c>
      <c r="GW12" s="3">
        <v>1.59</v>
      </c>
      <c r="GX12" s="3">
        <f t="shared" si="13"/>
        <v>28.600000000000009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324</v>
      </c>
      <c r="C13" s="6" t="str">
        <f>TEXT(VLOOKUP(LEFT(B13,FIND("月",B13)),基本シート!$E$6:$F$17,2,FALSE)&amp;B13,"aaaa")</f>
        <v>火曜日</v>
      </c>
      <c r="D13" s="6"/>
      <c r="E13" s="6" t="str">
        <f t="shared" si="9"/>
        <v/>
      </c>
      <c r="F13" s="6" t="s">
        <v>297</v>
      </c>
      <c r="G13" s="6" t="s">
        <v>296</v>
      </c>
      <c r="H13" s="3">
        <v>0.71</v>
      </c>
      <c r="I13" s="3">
        <f>IF($E13="〇",H13*基本シート!$E$2,H13*VLOOKUP(LEFT(I$6,FIND("(",I$6)-1),基本シート!$B$6:$C$29,2,FALSE))</f>
        <v>21.200599999999998</v>
      </c>
      <c r="J13" s="3">
        <v>0.68</v>
      </c>
      <c r="K13" s="3">
        <f>IF($E13="〇",J13*基本シート!$E$2,J13*VLOOKUP(LEFT(K$6,FIND("(",K$6)-1),基本シート!$B$6:$C$29,2,FALSE))</f>
        <v>20.3048</v>
      </c>
      <c r="L13" s="3">
        <v>0.79</v>
      </c>
      <c r="M13" s="3">
        <f>IF($E13="〇",L13*基本シート!$E$2,L13*VLOOKUP(LEFT(M$6,FIND("(",M$6)-1),基本シート!$B$6:$C$29,2,FALSE))</f>
        <v>23.589400000000001</v>
      </c>
      <c r="N13" s="3">
        <v>1.57</v>
      </c>
      <c r="O13" s="3">
        <f>IF($E13="〇",N13*基本シート!$E$2,N13*VLOOKUP(LEFT(O$6,FIND("(",O$6)-1),基本シート!$B$6:$C$29,2,FALSE))</f>
        <v>46.880200000000002</v>
      </c>
      <c r="P13" s="3">
        <v>0.97</v>
      </c>
      <c r="Q13" s="3">
        <f>IF($E13="〇",P13*基本シート!$E$2,P13*VLOOKUP(LEFT(Q$6,FIND("(",Q$6)-1),基本シート!$B$6:$C$29,2,FALSE))</f>
        <v>28.964199999999998</v>
      </c>
      <c r="R13" s="3">
        <v>0.89</v>
      </c>
      <c r="S13" s="3">
        <f>IF($E13="〇",R13*基本シート!$E$2,R13*VLOOKUP(LEFT(S$6,FIND("(",S$6)-1),基本シート!$B$6:$C$29,2,FALSE))</f>
        <v>26.575399999999998</v>
      </c>
      <c r="T13" s="3">
        <v>0.88</v>
      </c>
      <c r="U13" s="3">
        <f>IF($E13="〇",T13*基本シート!$E$2,T13*VLOOKUP(LEFT(U$6,FIND("(",U$6)-1),基本シート!$B$6:$C$29,2,FALSE))</f>
        <v>26.276799999999998</v>
      </c>
      <c r="V13" s="3">
        <v>0.69</v>
      </c>
      <c r="W13" s="3">
        <f>IF($E13="〇",V13*基本シート!$E$2,V13*VLOOKUP(LEFT(W$6,FIND("(",W$6)-1),基本シート!$B$6:$C$29,2,FALSE))</f>
        <v>25.433399999999999</v>
      </c>
      <c r="X13" s="3">
        <v>0.31</v>
      </c>
      <c r="Y13" s="3">
        <f>IF($E13="〇",X13*基本シート!$E$2,X13*VLOOKUP(LEFT(Y$6,FIND("(",Y$6)-1),基本シート!$B$6:$C$29,2,FALSE))</f>
        <v>11.426600000000001</v>
      </c>
      <c r="Z13" s="3">
        <v>0.01</v>
      </c>
      <c r="AA13" s="3">
        <f>IF($E13="〇",Z13*基本シート!$E$2,Z13*VLOOKUP(LEFT(AA$6,FIND("(",AA$6)-1),基本シート!$B$6:$C$29,2,FALSE))</f>
        <v>0.36859999999999998</v>
      </c>
      <c r="AB13" s="3">
        <v>0.01</v>
      </c>
      <c r="AC13" s="3">
        <f>IF($E13="〇",AB13*基本シート!$E$2,AB13*VLOOKUP(LEFT(AC$6,FIND("(",AC$6)-1),基本シート!$B$6:$C$29,2,FALSE))</f>
        <v>0.36859999999999998</v>
      </c>
      <c r="AD13" s="3">
        <v>0.01</v>
      </c>
      <c r="AE13" s="3">
        <f>IF($E13="〇",AD13*基本シート!$E$2,AD13*VLOOKUP(LEFT(AE$6,FIND("(",AE$6)-1),基本シート!$B$6:$C$29,2,FALSE))</f>
        <v>0.36859999999999998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0.67</v>
      </c>
      <c r="AQ13" s="3">
        <f>IF($E13="〇",AP13*基本シート!$E$2,AP13*VLOOKUP(LEFT(AQ$6,FIND("(",AQ$6)-1),基本シート!$B$6:$C$29,2,FALSE))</f>
        <v>24.696200000000001</v>
      </c>
      <c r="AR13" s="3">
        <v>2.7</v>
      </c>
      <c r="AS13" s="3">
        <f>IF($E13="〇",AR13*基本シート!$E$2,AR13*VLOOKUP(LEFT(AS$6,FIND("(",AS$6)-1),基本シート!$B$6:$C$29,2,FALSE))</f>
        <v>99.522000000000006</v>
      </c>
      <c r="AT13" s="3">
        <v>2.66</v>
      </c>
      <c r="AU13" s="3">
        <f>IF($E13="〇",AT13*基本シート!$E$2,AT13*VLOOKUP(LEFT(AU$6,FIND("(",AU$6)-1),基本シート!$B$6:$C$29,2,FALSE))</f>
        <v>98.047600000000003</v>
      </c>
      <c r="AV13" s="3">
        <v>1.1000000000000001</v>
      </c>
      <c r="AW13" s="3">
        <f>IF($E13="〇",AV13*基本シート!$E$2,AV13*VLOOKUP(LEFT(AW$6,FIND("(",AW$6)-1),基本シート!$B$6:$C$29,2,FALSE))</f>
        <v>40.545999999999999</v>
      </c>
      <c r="AX13" s="3">
        <v>1.1399999999999999</v>
      </c>
      <c r="AY13" s="3">
        <f>IF($E13="〇",AX13*基本シート!$E$2,AX13*VLOOKUP(LEFT(AY$6,FIND("(",AY$6)-1),基本シート!$B$6:$C$29,2,FALSE))</f>
        <v>34.040399999999998</v>
      </c>
      <c r="AZ13" s="3">
        <v>0.74</v>
      </c>
      <c r="BA13" s="3">
        <f>IF($E13="〇",AZ13*基本シート!$E$2,AZ13*VLOOKUP(LEFT(BA$6,FIND("(",BA$6)-1),基本シート!$B$6:$C$29,2,FALSE))</f>
        <v>22.096399999999999</v>
      </c>
      <c r="BB13" s="3">
        <v>0.83</v>
      </c>
      <c r="BC13" s="3">
        <f>IF($E13="〇",BB13*基本シート!$E$2,BB13*VLOOKUP(LEFT(BC$6,FIND("(",BC$6)-1),基本シート!$B$6:$C$29,2,FALSE))</f>
        <v>24.783799999999999</v>
      </c>
      <c r="BD13" s="3">
        <f t="shared" si="7"/>
        <v>17.36</v>
      </c>
      <c r="BE13" s="3">
        <f t="shared" si="8"/>
        <v>575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0.46</v>
      </c>
      <c r="BO13" s="3">
        <v>3.24</v>
      </c>
      <c r="BP13" s="3">
        <v>3.41</v>
      </c>
      <c r="BQ13" s="3">
        <v>4.8099999999999996</v>
      </c>
      <c r="BR13" s="3">
        <v>3.85</v>
      </c>
      <c r="BS13" s="3">
        <v>2.98</v>
      </c>
      <c r="BT13" s="3">
        <v>1.68</v>
      </c>
      <c r="BU13" s="3">
        <v>0.51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0.1</v>
      </c>
      <c r="CW13" s="3">
        <f>CV13*基本シート!$C$3</f>
        <v>1.6</v>
      </c>
      <c r="CX13" s="3">
        <v>0.44</v>
      </c>
      <c r="CY13" s="3">
        <f>CX13*基本シート!$C$3</f>
        <v>7.04</v>
      </c>
      <c r="CZ13" s="3">
        <v>1.87</v>
      </c>
      <c r="DA13" s="3">
        <f>CZ13*基本シート!$C$3</f>
        <v>29.92</v>
      </c>
      <c r="DB13" s="3">
        <v>3.21</v>
      </c>
      <c r="DC13" s="3">
        <f>DB13*基本シート!$C$3</f>
        <v>51.36</v>
      </c>
      <c r="DD13" s="3">
        <v>2.36</v>
      </c>
      <c r="DE13" s="3">
        <f>DD13*基本シート!$C$3</f>
        <v>37.76</v>
      </c>
      <c r="DF13" s="3">
        <v>1.06</v>
      </c>
      <c r="DG13" s="3">
        <f>DF13*基本シート!$C$3</f>
        <v>16.96</v>
      </c>
      <c r="DH13" s="3">
        <v>0.13</v>
      </c>
      <c r="DI13" s="3">
        <f>DH13*基本シート!$C$3</f>
        <v>2.08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9.1700000000000017</v>
      </c>
      <c r="EA13" s="3">
        <f>ROUND(DZ13*基本シート!$C$3,0)</f>
        <v>147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0.17</v>
      </c>
      <c r="EK13" s="3">
        <v>1.57</v>
      </c>
      <c r="EL13" s="3">
        <v>2.29</v>
      </c>
      <c r="EM13" s="3">
        <v>2.2599999999999998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6.8000000000000007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1.04</v>
      </c>
      <c r="FQ13" s="3">
        <v>2.39</v>
      </c>
      <c r="FR13" s="3">
        <v>1.79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5.2200000000000006</v>
      </c>
      <c r="FZ13" s="3">
        <v>0.67</v>
      </c>
      <c r="GA13" s="3">
        <v>0.65</v>
      </c>
      <c r="GB13" s="3">
        <v>0.75</v>
      </c>
      <c r="GC13" s="3">
        <v>1.53</v>
      </c>
      <c r="GD13" s="3">
        <v>0.93</v>
      </c>
      <c r="GE13" s="3">
        <v>0.85</v>
      </c>
      <c r="GF13" s="3">
        <v>0.85</v>
      </c>
      <c r="GG13" s="3">
        <v>0.74</v>
      </c>
      <c r="GH13" s="3">
        <v>0.6</v>
      </c>
      <c r="GI13" s="3">
        <v>1.58</v>
      </c>
      <c r="GJ13" s="3">
        <v>0.69</v>
      </c>
      <c r="GK13" s="3">
        <v>0.69</v>
      </c>
      <c r="GL13" s="3">
        <v>0.63</v>
      </c>
      <c r="GM13" s="3">
        <v>0.62</v>
      </c>
      <c r="GN13" s="3">
        <v>0.62</v>
      </c>
      <c r="GO13" s="3">
        <v>1.42</v>
      </c>
      <c r="GP13" s="3">
        <v>2.42</v>
      </c>
      <c r="GQ13" s="3">
        <v>2.46</v>
      </c>
      <c r="GR13" s="3">
        <v>2.67</v>
      </c>
      <c r="GS13" s="3">
        <v>2.62</v>
      </c>
      <c r="GT13" s="3">
        <v>1.06</v>
      </c>
      <c r="GU13" s="3">
        <v>1.1000000000000001</v>
      </c>
      <c r="GV13" s="3">
        <v>0.7</v>
      </c>
      <c r="GW13" s="3">
        <v>0.79</v>
      </c>
      <c r="GX13" s="3">
        <f t="shared" si="13"/>
        <v>27.639999999999997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325</v>
      </c>
      <c r="C14" s="6" t="str">
        <f>TEXT(VLOOKUP(LEFT(B14,FIND("月",B14)),基本シート!$E$6:$F$17,2,FALSE)&amp;B14,"aaaa")</f>
        <v>水曜日</v>
      </c>
      <c r="D14" s="6"/>
      <c r="E14" s="6" t="str">
        <f t="shared" si="9"/>
        <v/>
      </c>
      <c r="F14" s="6" t="s">
        <v>296</v>
      </c>
      <c r="G14" s="6" t="s">
        <v>298</v>
      </c>
      <c r="H14" s="3">
        <v>0.78</v>
      </c>
      <c r="I14" s="3">
        <f>IF($E14="〇",H14*基本シート!$E$2,H14*VLOOKUP(LEFT(I$6,FIND("(",I$6)-1),基本シート!$B$6:$C$29,2,FALSE))</f>
        <v>23.290800000000001</v>
      </c>
      <c r="J14" s="3">
        <v>0.93</v>
      </c>
      <c r="K14" s="3">
        <f>IF($E14="〇",J14*基本シート!$E$2,J14*VLOOKUP(LEFT(K$6,FIND("(",K$6)-1),基本シート!$B$6:$C$29,2,FALSE))</f>
        <v>27.7698</v>
      </c>
      <c r="L14" s="3">
        <v>1.1000000000000001</v>
      </c>
      <c r="M14" s="3">
        <f>IF($E14="〇",L14*基本シート!$E$2,L14*VLOOKUP(LEFT(M$6,FIND("(",M$6)-1),基本シート!$B$6:$C$29,2,FALSE))</f>
        <v>32.846000000000004</v>
      </c>
      <c r="N14" s="3">
        <v>0.93</v>
      </c>
      <c r="O14" s="3">
        <f>IF($E14="〇",N14*基本シート!$E$2,N14*VLOOKUP(LEFT(O$6,FIND("(",O$6)-1),基本シート!$B$6:$C$29,2,FALSE))</f>
        <v>27.7698</v>
      </c>
      <c r="P14" s="3">
        <v>1.08</v>
      </c>
      <c r="Q14" s="3">
        <f>IF($E14="〇",P14*基本シート!$E$2,P14*VLOOKUP(LEFT(Q$6,FIND("(",Q$6)-1),基本シート!$B$6:$C$29,2,FALSE))</f>
        <v>32.248800000000003</v>
      </c>
      <c r="R14" s="3">
        <v>1.29</v>
      </c>
      <c r="S14" s="3">
        <f>IF($E14="〇",R14*基本シート!$E$2,R14*VLOOKUP(LEFT(S$6,FIND("(",S$6)-1),基本シート!$B$6:$C$29,2,FALSE))</f>
        <v>38.519399999999997</v>
      </c>
      <c r="T14" s="3">
        <v>0.87</v>
      </c>
      <c r="U14" s="3">
        <f>IF($E14="〇",T14*基本シート!$E$2,T14*VLOOKUP(LEFT(U$6,FIND("(",U$6)-1),基本シート!$B$6:$C$29,2,FALSE))</f>
        <v>25.978200000000001</v>
      </c>
      <c r="V14" s="3">
        <v>0.8</v>
      </c>
      <c r="W14" s="3">
        <f>IF($E14="〇",V14*基本シート!$E$2,V14*VLOOKUP(LEFT(W$6,FIND("(",W$6)-1),基本シート!$B$6:$C$29,2,FALSE))</f>
        <v>29.488</v>
      </c>
      <c r="X14" s="3">
        <v>0.03</v>
      </c>
      <c r="Y14" s="3">
        <f>IF($E14="〇",X14*基本シート!$E$2,X14*VLOOKUP(LEFT(Y$6,FIND("(",Y$6)-1),基本シート!$B$6:$C$29,2,FALSE))</f>
        <v>1.1057999999999999</v>
      </c>
      <c r="Z14" s="3">
        <v>0.01</v>
      </c>
      <c r="AA14" s="3">
        <f>IF($E14="〇",Z14*基本シート!$E$2,Z14*VLOOKUP(LEFT(AA$6,FIND("(",AA$6)-1),基本シート!$B$6:$C$29,2,FALSE))</f>
        <v>0.36859999999999998</v>
      </c>
      <c r="AB14" s="3">
        <v>0.01</v>
      </c>
      <c r="AC14" s="3">
        <f>IF($E14="〇",AB14*基本シート!$E$2,AB14*VLOOKUP(LEFT(AC$6,FIND("(",AC$6)-1),基本シート!$B$6:$C$29,2,FALSE))</f>
        <v>0.36859999999999998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0.36859999999999998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1.52</v>
      </c>
      <c r="AQ14" s="3">
        <f>IF($E14="〇",AP14*基本シート!$E$2,AP14*VLOOKUP(LEFT(AQ$6,FIND("(",AQ$6)-1),基本シート!$B$6:$C$29,2,FALSE))</f>
        <v>56.027200000000001</v>
      </c>
      <c r="AR14" s="3">
        <v>1.83</v>
      </c>
      <c r="AS14" s="3">
        <f>IF($E14="〇",AR14*基本シート!$E$2,AR14*VLOOKUP(LEFT(AS$6,FIND("(",AS$6)-1),基本シート!$B$6:$C$29,2,FALSE))</f>
        <v>67.453800000000001</v>
      </c>
      <c r="AT14" s="3">
        <v>1.68</v>
      </c>
      <c r="AU14" s="3">
        <f>IF($E14="〇",AT14*基本シート!$E$2,AT14*VLOOKUP(LEFT(AU$6,FIND("(",AU$6)-1),基本シート!$B$6:$C$29,2,FALSE))</f>
        <v>61.924799999999998</v>
      </c>
      <c r="AV14" s="3">
        <v>1.27</v>
      </c>
      <c r="AW14" s="3">
        <f>IF($E14="〇",AV14*基本シート!$E$2,AV14*VLOOKUP(LEFT(AW$6,FIND("(",AW$6)-1),基本シート!$B$6:$C$29,2,FALSE))</f>
        <v>46.812199999999997</v>
      </c>
      <c r="AX14" s="3">
        <v>1.38</v>
      </c>
      <c r="AY14" s="3">
        <f>IF($E14="〇",AX14*基本シート!$E$2,AX14*VLOOKUP(LEFT(AY$6,FIND("(",AY$6)-1),基本シート!$B$6:$C$29,2,FALSE))</f>
        <v>41.206799999999994</v>
      </c>
      <c r="AZ14" s="3">
        <v>2.23</v>
      </c>
      <c r="BA14" s="3">
        <f>IF($E14="〇",AZ14*基本シート!$E$2,AZ14*VLOOKUP(LEFT(BA$6,FIND("(",BA$6)-1),基本シート!$B$6:$C$29,2,FALSE))</f>
        <v>66.587800000000001</v>
      </c>
      <c r="BB14" s="3">
        <v>0.94</v>
      </c>
      <c r="BC14" s="3">
        <f>IF($E14="〇",BB14*基本シート!$E$2,BB14*VLOOKUP(LEFT(BC$6,FIND("(",BC$6)-1),基本シート!$B$6:$C$29,2,FALSE))</f>
        <v>28.068399999999997</v>
      </c>
      <c r="BD14" s="3">
        <f t="shared" si="7"/>
        <v>18.690000000000001</v>
      </c>
      <c r="BE14" s="3">
        <f t="shared" si="8"/>
        <v>608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0.13</v>
      </c>
      <c r="BN14" s="3">
        <v>2.02</v>
      </c>
      <c r="BO14" s="3">
        <v>4.55</v>
      </c>
      <c r="BP14" s="3">
        <v>3.89</v>
      </c>
      <c r="BQ14" s="3">
        <v>4.29</v>
      </c>
      <c r="BR14" s="3">
        <v>5.51</v>
      </c>
      <c r="BS14" s="3">
        <v>4.63</v>
      </c>
      <c r="BT14" s="3">
        <v>1.47</v>
      </c>
      <c r="BU14" s="3">
        <v>0.42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0.23</v>
      </c>
      <c r="CU14" s="3">
        <f>CT14*基本シート!$C$3</f>
        <v>3.68</v>
      </c>
      <c r="CV14" s="3">
        <v>0.21</v>
      </c>
      <c r="CW14" s="3">
        <f>CV14*基本シート!$C$3</f>
        <v>3.36</v>
      </c>
      <c r="CX14" s="3">
        <v>1.68</v>
      </c>
      <c r="CY14" s="3">
        <f>CX14*基本シート!$C$3</f>
        <v>26.88</v>
      </c>
      <c r="CZ14" s="3">
        <v>3.55</v>
      </c>
      <c r="DA14" s="3">
        <f>CZ14*基本シート!$C$3</f>
        <v>56.8</v>
      </c>
      <c r="DB14" s="3">
        <v>4.72</v>
      </c>
      <c r="DC14" s="3">
        <f>DB14*基本シート!$C$3</f>
        <v>75.52</v>
      </c>
      <c r="DD14" s="3">
        <v>3.93</v>
      </c>
      <c r="DE14" s="3">
        <f>DD14*基本シート!$C$3</f>
        <v>62.88</v>
      </c>
      <c r="DF14" s="3">
        <v>0.79</v>
      </c>
      <c r="DG14" s="3">
        <f>DF14*基本シート!$C$3</f>
        <v>12.64</v>
      </c>
      <c r="DH14" s="3">
        <v>0.02</v>
      </c>
      <c r="DI14" s="3">
        <f>DH14*基本シート!$C$3</f>
        <v>0.32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15.139999999999999</v>
      </c>
      <c r="EA14" s="3">
        <f>ROUND(DZ14*基本シート!$C$3,0)</f>
        <v>242</v>
      </c>
      <c r="EB14" s="3">
        <v>0.03</v>
      </c>
      <c r="EC14" s="3">
        <v>0.03</v>
      </c>
      <c r="ED14" s="3">
        <v>0.03</v>
      </c>
      <c r="EE14" s="3">
        <v>0.04</v>
      </c>
      <c r="EF14" s="3">
        <v>0.04</v>
      </c>
      <c r="EG14" s="3">
        <v>0.04</v>
      </c>
      <c r="EH14" s="3">
        <v>0.04</v>
      </c>
      <c r="EI14" s="3">
        <v>0.01</v>
      </c>
      <c r="EJ14" s="3">
        <v>1.1499999999999999</v>
      </c>
      <c r="EK14" s="3">
        <v>3.63</v>
      </c>
      <c r="EL14" s="3">
        <v>1.53</v>
      </c>
      <c r="EM14" s="3">
        <v>0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0.04</v>
      </c>
      <c r="EX14" s="3">
        <v>0.04</v>
      </c>
      <c r="EY14" s="3">
        <v>0.04</v>
      </c>
      <c r="EZ14" s="3">
        <f t="shared" si="11"/>
        <v>6.8100000000000005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0.01</v>
      </c>
      <c r="FM14" s="3">
        <v>0</v>
      </c>
      <c r="FN14" s="3">
        <v>0</v>
      </c>
      <c r="FO14" s="3">
        <v>0.02</v>
      </c>
      <c r="FP14" s="3">
        <v>2.14</v>
      </c>
      <c r="FQ14" s="3">
        <v>2.66</v>
      </c>
      <c r="FR14" s="3">
        <v>0.28999999999999998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5.12</v>
      </c>
      <c r="FZ14" s="3">
        <v>0.75</v>
      </c>
      <c r="GA14" s="3">
        <v>0.9</v>
      </c>
      <c r="GB14" s="3">
        <v>1.07</v>
      </c>
      <c r="GC14" s="3">
        <v>0.89</v>
      </c>
      <c r="GD14" s="3">
        <v>1.04</v>
      </c>
      <c r="GE14" s="3">
        <v>1.25</v>
      </c>
      <c r="GF14" s="3">
        <v>0.83</v>
      </c>
      <c r="GG14" s="3">
        <v>0.92</v>
      </c>
      <c r="GH14" s="3">
        <v>0.67</v>
      </c>
      <c r="GI14" s="3">
        <v>0.72</v>
      </c>
      <c r="GJ14" s="3">
        <v>0.69</v>
      </c>
      <c r="GK14" s="3">
        <v>0.75</v>
      </c>
      <c r="GL14" s="3">
        <v>0.79</v>
      </c>
      <c r="GM14" s="3">
        <v>0.69</v>
      </c>
      <c r="GN14" s="3">
        <v>0.7</v>
      </c>
      <c r="GO14" s="3">
        <v>2.5499999999999998</v>
      </c>
      <c r="GP14" s="3">
        <v>2.67</v>
      </c>
      <c r="GQ14" s="3">
        <v>1.81</v>
      </c>
      <c r="GR14" s="3">
        <v>1.79</v>
      </c>
      <c r="GS14" s="3">
        <v>1.64</v>
      </c>
      <c r="GT14" s="3">
        <v>1.24</v>
      </c>
      <c r="GU14" s="3">
        <v>1.34</v>
      </c>
      <c r="GV14" s="3">
        <v>2.19</v>
      </c>
      <c r="GW14" s="3">
        <v>0.9</v>
      </c>
      <c r="GX14" s="3">
        <f t="shared" si="13"/>
        <v>28.789999999999992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326</v>
      </c>
      <c r="C15" s="6" t="str">
        <f>TEXT(VLOOKUP(LEFT(B15,FIND("月",B15)),基本シート!$E$6:$F$17,2,FALSE)&amp;B15,"aaaa")</f>
        <v>木曜日</v>
      </c>
      <c r="D15" s="6"/>
      <c r="E15" s="6" t="str">
        <f t="shared" si="9"/>
        <v/>
      </c>
      <c r="F15" s="6" t="s">
        <v>296</v>
      </c>
      <c r="G15" s="6" t="s">
        <v>298</v>
      </c>
      <c r="H15" s="3">
        <v>1.05</v>
      </c>
      <c r="I15" s="3">
        <f>IF($E15="〇",H15*基本シート!$E$2,H15*VLOOKUP(LEFT(I$6,FIND("(",I$6)-1),基本シート!$B$6:$C$29,2,FALSE))</f>
        <v>31.353000000000002</v>
      </c>
      <c r="J15" s="3">
        <v>0.85</v>
      </c>
      <c r="K15" s="3">
        <f>IF($E15="〇",J15*基本シート!$E$2,J15*VLOOKUP(LEFT(K$6,FIND("(",K$6)-1),基本シート!$B$6:$C$29,2,FALSE))</f>
        <v>25.381</v>
      </c>
      <c r="L15" s="3">
        <v>1.1599999999999999</v>
      </c>
      <c r="M15" s="3">
        <f>IF($E15="〇",L15*基本シート!$E$2,L15*VLOOKUP(LEFT(M$6,FIND("(",M$6)-1),基本シート!$B$6:$C$29,2,FALSE))</f>
        <v>34.637599999999999</v>
      </c>
      <c r="N15" s="3">
        <v>1.01</v>
      </c>
      <c r="O15" s="3">
        <f>IF($E15="〇",N15*基本シート!$E$2,N15*VLOOKUP(LEFT(O$6,FIND("(",O$6)-1),基本シート!$B$6:$C$29,2,FALSE))</f>
        <v>30.1586</v>
      </c>
      <c r="P15" s="3">
        <v>1.2</v>
      </c>
      <c r="Q15" s="3">
        <f>IF($E15="〇",P15*基本シート!$E$2,P15*VLOOKUP(LEFT(Q$6,FIND("(",Q$6)-1),基本シート!$B$6:$C$29,2,FALSE))</f>
        <v>35.832000000000001</v>
      </c>
      <c r="R15" s="3">
        <v>2.75</v>
      </c>
      <c r="S15" s="3">
        <f>IF($E15="〇",R15*基本シート!$E$2,R15*VLOOKUP(LEFT(S$6,FIND("(",S$6)-1),基本シート!$B$6:$C$29,2,FALSE))</f>
        <v>82.114999999999995</v>
      </c>
      <c r="T15" s="3">
        <v>1.31</v>
      </c>
      <c r="U15" s="3">
        <f>IF($E15="〇",T15*基本シート!$E$2,T15*VLOOKUP(LEFT(U$6,FIND("(",U$6)-1),基本シート!$B$6:$C$29,2,FALSE))</f>
        <v>39.116599999999998</v>
      </c>
      <c r="V15" s="3">
        <v>1.08</v>
      </c>
      <c r="W15" s="3">
        <f>IF($E15="〇",V15*基本シート!$E$2,V15*VLOOKUP(LEFT(W$6,FIND("(",W$6)-1),基本シート!$B$6:$C$29,2,FALSE))</f>
        <v>39.808800000000005</v>
      </c>
      <c r="X15" s="3">
        <v>0.31</v>
      </c>
      <c r="Y15" s="3">
        <f>IF($E15="〇",X15*基本シート!$E$2,X15*VLOOKUP(LEFT(Y$6,FIND("(",Y$6)-1),基本シート!$B$6:$C$29,2,FALSE))</f>
        <v>11.426600000000001</v>
      </c>
      <c r="Z15" s="3">
        <v>0.1</v>
      </c>
      <c r="AA15" s="3">
        <f>IF($E15="〇",Z15*基本シート!$E$2,Z15*VLOOKUP(LEFT(AA$6,FIND("(",AA$6)-1),基本シート!$B$6:$C$29,2,FALSE))</f>
        <v>3.6859999999999999</v>
      </c>
      <c r="AB15" s="3">
        <v>0.01</v>
      </c>
      <c r="AC15" s="3">
        <f>IF($E15="〇",AB15*基本シート!$E$2,AB15*VLOOKUP(LEFT(AC$6,FIND("(",AC$6)-1),基本シート!$B$6:$C$29,2,FALSE))</f>
        <v>0.36859999999999998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0.01</v>
      </c>
      <c r="AK15" s="3">
        <f>IF($E15="〇",AJ15*基本シート!$E$2,AJ15*VLOOKUP(LEFT(AK$6,FIND("(",AK$6)-1),基本シート!$B$6:$C$29,2,FALSE))</f>
        <v>0.36859999999999998</v>
      </c>
      <c r="AL15" s="3">
        <v>0.98</v>
      </c>
      <c r="AM15" s="3">
        <f>IF($E15="〇",AL15*基本シート!$E$2,AL15*VLOOKUP(LEFT(AM$6,FIND("(",AM$6)-1),基本シート!$B$6:$C$29,2,FALSE))</f>
        <v>36.122799999999998</v>
      </c>
      <c r="AN15" s="3">
        <v>2.98</v>
      </c>
      <c r="AO15" s="3">
        <f>IF($E15="〇",AN15*基本シート!$E$2,AN15*VLOOKUP(LEFT(AO$6,FIND("(",AO$6)-1),基本シート!$B$6:$C$29,2,FALSE))</f>
        <v>109.8428</v>
      </c>
      <c r="AP15" s="3">
        <v>2.31</v>
      </c>
      <c r="AQ15" s="3">
        <f>IF($E15="〇",AP15*基本シート!$E$2,AP15*VLOOKUP(LEFT(AQ$6,FIND("(",AQ$6)-1),基本シート!$B$6:$C$29,2,FALSE))</f>
        <v>85.146600000000007</v>
      </c>
      <c r="AR15" s="3">
        <v>1.46</v>
      </c>
      <c r="AS15" s="3">
        <f>IF($E15="〇",AR15*基本シート!$E$2,AR15*VLOOKUP(LEFT(AS$6,FIND("(",AS$6)-1),基本シート!$B$6:$C$29,2,FALSE))</f>
        <v>53.815599999999996</v>
      </c>
      <c r="AT15" s="3">
        <v>1.7</v>
      </c>
      <c r="AU15" s="3">
        <f>IF($E15="〇",AT15*基本シート!$E$2,AT15*VLOOKUP(LEFT(AU$6,FIND("(",AU$6)-1),基本シート!$B$6:$C$29,2,FALSE))</f>
        <v>62.661999999999999</v>
      </c>
      <c r="AV15" s="3">
        <v>2.6</v>
      </c>
      <c r="AW15" s="3">
        <f>IF($E15="〇",AV15*基本シート!$E$2,AV15*VLOOKUP(LEFT(AW$6,FIND("(",AW$6)-1),基本シート!$B$6:$C$29,2,FALSE))</f>
        <v>95.835999999999999</v>
      </c>
      <c r="AX15" s="3">
        <v>1.45</v>
      </c>
      <c r="AY15" s="3">
        <f>IF($E15="〇",AX15*基本シート!$E$2,AX15*VLOOKUP(LEFT(AY$6,FIND("(",AY$6)-1),基本シート!$B$6:$C$29,2,FALSE))</f>
        <v>43.296999999999997</v>
      </c>
      <c r="AZ15" s="3">
        <v>1.26</v>
      </c>
      <c r="BA15" s="3">
        <f>IF($E15="〇",AZ15*基本シート!$E$2,AZ15*VLOOKUP(LEFT(BA$6,FIND("(",BA$6)-1),基本シート!$B$6:$C$29,2,FALSE))</f>
        <v>37.623599999999996</v>
      </c>
      <c r="BB15" s="3">
        <v>1.77</v>
      </c>
      <c r="BC15" s="3">
        <f>IF($E15="〇",BB15*基本シート!$E$2,BB15*VLOOKUP(LEFT(BC$6,FIND("(",BC$6)-1),基本シート!$B$6:$C$29,2,FALSE))</f>
        <v>52.852199999999996</v>
      </c>
      <c r="BD15" s="3">
        <f t="shared" si="7"/>
        <v>27.35</v>
      </c>
      <c r="BE15" s="3">
        <f t="shared" si="8"/>
        <v>911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0.1</v>
      </c>
      <c r="BN15" s="3">
        <v>0.44</v>
      </c>
      <c r="BO15" s="3">
        <v>1.47</v>
      </c>
      <c r="BP15" s="3">
        <v>2.39</v>
      </c>
      <c r="BQ15" s="3">
        <v>1.21</v>
      </c>
      <c r="BR15" s="3">
        <v>1.88</v>
      </c>
      <c r="BS15" s="3">
        <v>1.64</v>
      </c>
      <c r="BT15" s="3">
        <v>0.55000000000000004</v>
      </c>
      <c r="BU15" s="3">
        <v>0.4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0.04</v>
      </c>
      <c r="DC15" s="3">
        <f>DB15*基本シート!$C$3</f>
        <v>0.64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0.08</v>
      </c>
      <c r="EA15" s="3">
        <f>ROUND(DZ15*基本シート!$C$3,0)</f>
        <v>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0.04</v>
      </c>
      <c r="EI15" s="3">
        <v>0.01</v>
      </c>
      <c r="EJ15" s="3">
        <v>0.03</v>
      </c>
      <c r="EK15" s="3">
        <v>0.77</v>
      </c>
      <c r="EL15" s="3">
        <v>0.37</v>
      </c>
      <c r="EM15" s="3">
        <v>0.52</v>
      </c>
      <c r="EN15" s="3">
        <v>0.85</v>
      </c>
      <c r="EO15" s="3">
        <v>0.86</v>
      </c>
      <c r="EP15" s="3">
        <v>0</v>
      </c>
      <c r="EQ15" s="3">
        <v>0</v>
      </c>
      <c r="ER15" s="3">
        <v>0.01</v>
      </c>
      <c r="ES15" s="3">
        <v>0.02</v>
      </c>
      <c r="ET15" s="3">
        <v>0.03</v>
      </c>
      <c r="EU15" s="3">
        <v>0.03</v>
      </c>
      <c r="EV15" s="3">
        <v>0.03</v>
      </c>
      <c r="EW15" s="3">
        <v>0.03</v>
      </c>
      <c r="EX15" s="3">
        <v>0.02</v>
      </c>
      <c r="EY15" s="3">
        <v>0.03</v>
      </c>
      <c r="EZ15" s="3">
        <f t="shared" si="11"/>
        <v>3.8899999999999988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0.49</v>
      </c>
      <c r="FP15" s="3">
        <v>1.9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2.3899999999999997</v>
      </c>
      <c r="FZ15" s="3">
        <v>1.01</v>
      </c>
      <c r="GA15" s="3">
        <v>0.81</v>
      </c>
      <c r="GB15" s="3">
        <v>1.1200000000000001</v>
      </c>
      <c r="GC15" s="3">
        <v>0.97</v>
      </c>
      <c r="GD15" s="3">
        <v>1.1599999999999999</v>
      </c>
      <c r="GE15" s="3">
        <v>2.71</v>
      </c>
      <c r="GF15" s="3">
        <v>1.27</v>
      </c>
      <c r="GG15" s="3">
        <v>1.17</v>
      </c>
      <c r="GH15" s="3">
        <v>0.72</v>
      </c>
      <c r="GI15" s="3">
        <v>0.79</v>
      </c>
      <c r="GJ15" s="3">
        <v>2.02</v>
      </c>
      <c r="GK15" s="3">
        <v>0.68</v>
      </c>
      <c r="GL15" s="3">
        <v>0.99</v>
      </c>
      <c r="GM15" s="3">
        <v>0.78</v>
      </c>
      <c r="GN15" s="3">
        <v>1.04</v>
      </c>
      <c r="GO15" s="3">
        <v>3.28</v>
      </c>
      <c r="GP15" s="3">
        <v>2.98</v>
      </c>
      <c r="GQ15" s="3">
        <v>2.29</v>
      </c>
      <c r="GR15" s="3">
        <v>1.43</v>
      </c>
      <c r="GS15" s="3">
        <v>1.67</v>
      </c>
      <c r="GT15" s="3">
        <v>2.57</v>
      </c>
      <c r="GU15" s="3">
        <v>1.42</v>
      </c>
      <c r="GV15" s="3">
        <v>1.24</v>
      </c>
      <c r="GW15" s="3">
        <v>1.74</v>
      </c>
      <c r="GX15" s="3">
        <f t="shared" si="13"/>
        <v>35.860000000000007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327</v>
      </c>
      <c r="C16" s="6" t="str">
        <f>TEXT(VLOOKUP(LEFT(B16,FIND("月",B16)),基本シート!$E$6:$F$17,2,FALSE)&amp;B16,"aaaa")</f>
        <v>金曜日</v>
      </c>
      <c r="D16" s="6"/>
      <c r="E16" s="6" t="str">
        <f t="shared" si="9"/>
        <v/>
      </c>
      <c r="F16" s="6" t="s">
        <v>296</v>
      </c>
      <c r="G16" s="6" t="s">
        <v>298</v>
      </c>
      <c r="H16" s="3">
        <v>1.1100000000000001</v>
      </c>
      <c r="I16" s="3">
        <f>IF($E16="〇",H16*基本シート!$E$2,H16*VLOOKUP(LEFT(I$6,FIND("(",I$6)-1),基本シート!$B$6:$C$29,2,FALSE))</f>
        <v>33.144600000000004</v>
      </c>
      <c r="J16" s="3">
        <v>0.88</v>
      </c>
      <c r="K16" s="3">
        <f>IF($E16="〇",J16*基本シート!$E$2,J16*VLOOKUP(LEFT(K$6,FIND("(",K$6)-1),基本シート!$B$6:$C$29,2,FALSE))</f>
        <v>26.276799999999998</v>
      </c>
      <c r="L16" s="3">
        <v>1.1299999999999999</v>
      </c>
      <c r="M16" s="3">
        <f>IF($E16="〇",L16*基本シート!$E$2,L16*VLOOKUP(LEFT(M$6,FIND("(",M$6)-1),基本シート!$B$6:$C$29,2,FALSE))</f>
        <v>33.741799999999998</v>
      </c>
      <c r="N16" s="3">
        <v>1.07</v>
      </c>
      <c r="O16" s="3">
        <f>IF($E16="〇",N16*基本シート!$E$2,N16*VLOOKUP(LEFT(O$6,FIND("(",O$6)-1),基本シート!$B$6:$C$29,2,FALSE))</f>
        <v>31.950200000000002</v>
      </c>
      <c r="P16" s="3">
        <v>2.14</v>
      </c>
      <c r="Q16" s="3">
        <f>IF($E16="〇",P16*基本シート!$E$2,P16*VLOOKUP(LEFT(Q$6,FIND("(",Q$6)-1),基本シート!$B$6:$C$29,2,FALSE))</f>
        <v>63.900400000000005</v>
      </c>
      <c r="R16" s="3">
        <v>1.59</v>
      </c>
      <c r="S16" s="3">
        <f>IF($E16="〇",R16*基本シート!$E$2,R16*VLOOKUP(LEFT(S$6,FIND("(",S$6)-1),基本シート!$B$6:$C$29,2,FALSE))</f>
        <v>47.477400000000003</v>
      </c>
      <c r="T16" s="3">
        <v>1.1599999999999999</v>
      </c>
      <c r="U16" s="3">
        <f>IF($E16="〇",T16*基本シート!$E$2,T16*VLOOKUP(LEFT(U$6,FIND("(",U$6)-1),基本シート!$B$6:$C$29,2,FALSE))</f>
        <v>34.637599999999999</v>
      </c>
      <c r="V16" s="3">
        <v>1.19</v>
      </c>
      <c r="W16" s="3">
        <f>IF($E16="〇",V16*基本シート!$E$2,V16*VLOOKUP(LEFT(W$6,FIND("(",W$6)-1),基本シート!$B$6:$C$29,2,FALSE))</f>
        <v>43.863399999999999</v>
      </c>
      <c r="X16" s="3">
        <v>0.11</v>
      </c>
      <c r="Y16" s="3">
        <f>IF($E16="〇",X16*基本シート!$E$2,X16*VLOOKUP(LEFT(Y$6,FIND("(",Y$6)-1),基本シート!$B$6:$C$29,2,FALSE))</f>
        <v>4.0545999999999998</v>
      </c>
      <c r="Z16" s="3">
        <v>0.33</v>
      </c>
      <c r="AA16" s="3">
        <f>IF($E16="〇",Z16*基本シート!$E$2,Z16*VLOOKUP(LEFT(AA$6,FIND("(",AA$6)-1),基本シート!$B$6:$C$29,2,FALSE))</f>
        <v>12.1638</v>
      </c>
      <c r="AB16" s="3">
        <v>0.01</v>
      </c>
      <c r="AC16" s="3">
        <f>IF($E16="〇",AB16*基本シート!$E$2,AB16*VLOOKUP(LEFT(AC$6,FIND("(",AC$6)-1),基本シート!$B$6:$C$29,2,FALSE))</f>
        <v>0.36859999999999998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0.01</v>
      </c>
      <c r="AM16" s="3">
        <f>IF($E16="〇",AL16*基本シート!$E$2,AL16*VLOOKUP(LEFT(AM$6,FIND("(",AM$6)-1),基本シート!$B$6:$C$29,2,FALSE))</f>
        <v>0.36859999999999998</v>
      </c>
      <c r="AN16" s="3">
        <v>0.31</v>
      </c>
      <c r="AO16" s="3">
        <f>IF($E16="〇",AN16*基本シート!$E$2,AN16*VLOOKUP(LEFT(AO$6,FIND("(",AO$6)-1),基本シート!$B$6:$C$29,2,FALSE))</f>
        <v>11.426600000000001</v>
      </c>
      <c r="AP16" s="3">
        <v>2.2200000000000002</v>
      </c>
      <c r="AQ16" s="3">
        <f>IF($E16="〇",AP16*基本シート!$E$2,AP16*VLOOKUP(LEFT(AQ$6,FIND("(",AQ$6)-1),基本シート!$B$6:$C$29,2,FALSE))</f>
        <v>81.8292</v>
      </c>
      <c r="AR16" s="3">
        <v>1.18</v>
      </c>
      <c r="AS16" s="3">
        <f>IF($E16="〇",AR16*基本シート!$E$2,AR16*VLOOKUP(LEFT(AS$6,FIND("(",AS$6)-1),基本シート!$B$6:$C$29,2,FALSE))</f>
        <v>43.494799999999998</v>
      </c>
      <c r="AT16" s="3">
        <v>1.1599999999999999</v>
      </c>
      <c r="AU16" s="3">
        <f>IF($E16="〇",AT16*基本シート!$E$2,AT16*VLOOKUP(LEFT(AU$6,FIND("(",AU$6)-1),基本シート!$B$6:$C$29,2,FALSE))</f>
        <v>42.757599999999996</v>
      </c>
      <c r="AV16" s="3">
        <v>1.24</v>
      </c>
      <c r="AW16" s="3">
        <f>IF($E16="〇",AV16*基本シート!$E$2,AV16*VLOOKUP(LEFT(AW$6,FIND("(",AW$6)-1),基本シート!$B$6:$C$29,2,FALSE))</f>
        <v>45.706400000000002</v>
      </c>
      <c r="AX16" s="3">
        <v>1.27</v>
      </c>
      <c r="AY16" s="3">
        <f>IF($E16="〇",AX16*基本シート!$E$2,AX16*VLOOKUP(LEFT(AY$6,FIND("(",AY$6)-1),基本シート!$B$6:$C$29,2,FALSE))</f>
        <v>37.922199999999997</v>
      </c>
      <c r="AZ16" s="3">
        <v>1.05</v>
      </c>
      <c r="BA16" s="3">
        <f>IF($E16="〇",AZ16*基本シート!$E$2,AZ16*VLOOKUP(LEFT(BA$6,FIND("(",BA$6)-1),基本シート!$B$6:$C$29,2,FALSE))</f>
        <v>31.353000000000002</v>
      </c>
      <c r="BB16" s="3">
        <v>1.07</v>
      </c>
      <c r="BC16" s="3">
        <f>IF($E16="〇",BB16*基本シート!$E$2,BB16*VLOOKUP(LEFT(BC$6,FIND("(",BC$6)-1),基本シート!$B$6:$C$29,2,FALSE))</f>
        <v>31.950200000000002</v>
      </c>
      <c r="BD16" s="3">
        <f t="shared" si="7"/>
        <v>20.23</v>
      </c>
      <c r="BE16" s="3">
        <f t="shared" si="8"/>
        <v>658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0.11</v>
      </c>
      <c r="BN16" s="3">
        <v>1.44</v>
      </c>
      <c r="BO16" s="3">
        <v>1.89</v>
      </c>
      <c r="BP16" s="3">
        <v>4.0199999999999996</v>
      </c>
      <c r="BQ16" s="3">
        <v>4.8499999999999996</v>
      </c>
      <c r="BR16" s="3">
        <v>5.15</v>
      </c>
      <c r="BS16" s="3">
        <v>4.51</v>
      </c>
      <c r="BT16" s="3">
        <v>2.69</v>
      </c>
      <c r="BU16" s="3">
        <v>0.55000000000000004</v>
      </c>
      <c r="BV16" s="3">
        <v>0.03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0.05</v>
      </c>
      <c r="CU16" s="3">
        <f>CT16*基本シート!$C$3</f>
        <v>0.8</v>
      </c>
      <c r="CV16" s="3">
        <v>0.01</v>
      </c>
      <c r="CW16" s="3">
        <f>CV16*基本シート!$C$3</f>
        <v>0.16</v>
      </c>
      <c r="CX16" s="3">
        <v>1.1299999999999999</v>
      </c>
      <c r="CY16" s="3">
        <f>CX16*基本シート!$C$3</f>
        <v>18.079999999999998</v>
      </c>
      <c r="CZ16" s="3">
        <v>1.54</v>
      </c>
      <c r="DA16" s="3">
        <f>CZ16*基本シート!$C$3</f>
        <v>24.64</v>
      </c>
      <c r="DB16" s="3">
        <v>2.64</v>
      </c>
      <c r="DC16" s="3">
        <f>DB16*基本シート!$C$3</f>
        <v>42.24</v>
      </c>
      <c r="DD16" s="3">
        <v>3.6</v>
      </c>
      <c r="DE16" s="3">
        <f>DD16*基本シート!$C$3</f>
        <v>57.6</v>
      </c>
      <c r="DF16" s="3">
        <v>1.58</v>
      </c>
      <c r="DG16" s="3">
        <f>DF16*基本シート!$C$3</f>
        <v>25.28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10.56</v>
      </c>
      <c r="EA16" s="3">
        <f>ROUND(DZ16*基本シート!$C$3,0)</f>
        <v>169</v>
      </c>
      <c r="EB16" s="3">
        <v>0.03</v>
      </c>
      <c r="EC16" s="3">
        <v>0.03</v>
      </c>
      <c r="ED16" s="3">
        <v>0.04</v>
      </c>
      <c r="EE16" s="3">
        <v>0.04</v>
      </c>
      <c r="EF16" s="3">
        <v>0.04</v>
      </c>
      <c r="EG16" s="3">
        <v>0.04</v>
      </c>
      <c r="EH16" s="3">
        <v>0.04</v>
      </c>
      <c r="EI16" s="3">
        <v>0</v>
      </c>
      <c r="EJ16" s="3">
        <v>0.39</v>
      </c>
      <c r="EK16" s="3">
        <v>0</v>
      </c>
      <c r="EL16" s="3">
        <v>1.59</v>
      </c>
      <c r="EM16" s="3">
        <v>2.44</v>
      </c>
      <c r="EN16" s="3">
        <v>1.42</v>
      </c>
      <c r="EO16" s="3">
        <v>0</v>
      </c>
      <c r="EP16" s="3">
        <v>0</v>
      </c>
      <c r="EQ16" s="3">
        <v>0</v>
      </c>
      <c r="ER16" s="3">
        <v>0</v>
      </c>
      <c r="ES16" s="3">
        <v>0.02</v>
      </c>
      <c r="ET16" s="3">
        <v>0.02</v>
      </c>
      <c r="EU16" s="3">
        <v>0.04</v>
      </c>
      <c r="EV16" s="3">
        <v>0.05</v>
      </c>
      <c r="EW16" s="3">
        <v>0.03</v>
      </c>
      <c r="EX16" s="3">
        <v>0.04</v>
      </c>
      <c r="EY16" s="3">
        <v>0.04</v>
      </c>
      <c r="EZ16" s="3">
        <f t="shared" si="11"/>
        <v>6.339999999999999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0.16</v>
      </c>
      <c r="FP16" s="3">
        <v>2.2400000000000002</v>
      </c>
      <c r="FQ16" s="3">
        <v>2.66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5.0600000000000005</v>
      </c>
      <c r="FZ16" s="3">
        <v>1.08</v>
      </c>
      <c r="GA16" s="3">
        <v>0.85</v>
      </c>
      <c r="GB16" s="3">
        <v>1.0900000000000001</v>
      </c>
      <c r="GC16" s="3">
        <v>1.03</v>
      </c>
      <c r="GD16" s="3">
        <v>2.1</v>
      </c>
      <c r="GE16" s="3">
        <v>1.55</v>
      </c>
      <c r="GF16" s="3">
        <v>1.1200000000000001</v>
      </c>
      <c r="GG16" s="3">
        <v>1.3</v>
      </c>
      <c r="GH16" s="3">
        <v>1.1100000000000001</v>
      </c>
      <c r="GI16" s="3">
        <v>2.21</v>
      </c>
      <c r="GJ16" s="3">
        <v>1.31</v>
      </c>
      <c r="GK16" s="3">
        <v>0.87</v>
      </c>
      <c r="GL16" s="3">
        <v>1.0900000000000001</v>
      </c>
      <c r="GM16" s="3">
        <v>0.91</v>
      </c>
      <c r="GN16" s="3">
        <v>1.27</v>
      </c>
      <c r="GO16" s="3">
        <v>2.79</v>
      </c>
      <c r="GP16" s="3">
        <v>3</v>
      </c>
      <c r="GQ16" s="3">
        <v>2.2000000000000002</v>
      </c>
      <c r="GR16" s="3">
        <v>1.1599999999999999</v>
      </c>
      <c r="GS16" s="3">
        <v>1.1200000000000001</v>
      </c>
      <c r="GT16" s="3">
        <v>1.19</v>
      </c>
      <c r="GU16" s="3">
        <v>1.24</v>
      </c>
      <c r="GV16" s="3">
        <v>1.01</v>
      </c>
      <c r="GW16" s="3">
        <v>1.03</v>
      </c>
      <c r="GX16" s="3">
        <f t="shared" si="13"/>
        <v>33.630000000000003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328</v>
      </c>
      <c r="C17" s="6" t="str">
        <f>TEXT(VLOOKUP(LEFT(B17,FIND("月",B17)),基本シート!$E$6:$F$17,2,FALSE)&amp;B17,"aaaa")</f>
        <v>土曜日</v>
      </c>
      <c r="D17" s="6"/>
      <c r="E17" s="6" t="str">
        <f t="shared" si="9"/>
        <v>〇</v>
      </c>
      <c r="F17" s="6" t="s">
        <v>298</v>
      </c>
      <c r="G17" s="6" t="s">
        <v>298</v>
      </c>
      <c r="H17" s="3">
        <v>1.0900000000000001</v>
      </c>
      <c r="I17" s="3">
        <f>IF($E17="〇",H17*基本シート!$E$2,H17*VLOOKUP(LEFT(I$6,FIND("(",I$6)-1),基本シート!$B$6:$C$29,2,FALSE))</f>
        <v>32.547400000000003</v>
      </c>
      <c r="J17" s="3">
        <v>2.2400000000000002</v>
      </c>
      <c r="K17" s="3">
        <f>IF($E17="〇",J17*基本シート!$E$2,J17*VLOOKUP(LEFT(K$6,FIND("(",K$6)-1),基本シート!$B$6:$C$29,2,FALSE))</f>
        <v>66.886400000000009</v>
      </c>
      <c r="L17" s="3">
        <v>0.95</v>
      </c>
      <c r="M17" s="3">
        <f>IF($E17="〇",L17*基本シート!$E$2,L17*VLOOKUP(LEFT(M$6,FIND("(",M$6)-1),基本シート!$B$6:$C$29,2,FALSE))</f>
        <v>28.366999999999997</v>
      </c>
      <c r="N17" s="3">
        <v>1.19</v>
      </c>
      <c r="O17" s="3">
        <f>IF($E17="〇",N17*基本シート!$E$2,N17*VLOOKUP(LEFT(O$6,FIND("(",O$6)-1),基本シート!$B$6:$C$29,2,FALSE))</f>
        <v>35.5334</v>
      </c>
      <c r="P17" s="3">
        <v>1.19</v>
      </c>
      <c r="Q17" s="3">
        <f>IF($E17="〇",P17*基本シート!$E$2,P17*VLOOKUP(LEFT(Q$6,FIND("(",Q$6)-1),基本シート!$B$6:$C$29,2,FALSE))</f>
        <v>35.5334</v>
      </c>
      <c r="R17" s="3">
        <v>1.1299999999999999</v>
      </c>
      <c r="S17" s="3">
        <f>IF($E17="〇",R17*基本シート!$E$2,R17*VLOOKUP(LEFT(S$6,FIND("(",S$6)-1),基本シート!$B$6:$C$29,2,FALSE))</f>
        <v>33.741799999999998</v>
      </c>
      <c r="T17" s="3">
        <v>1.45</v>
      </c>
      <c r="U17" s="3">
        <f>IF($E17="〇",T17*基本シート!$E$2,T17*VLOOKUP(LEFT(U$6,FIND("(",U$6)-1),基本シート!$B$6:$C$29,2,FALSE))</f>
        <v>43.296999999999997</v>
      </c>
      <c r="V17" s="3">
        <v>3.37</v>
      </c>
      <c r="W17" s="3">
        <f>IF($E17="〇",V17*基本シート!$E$2,V17*VLOOKUP(LEFT(W$6,FIND("(",W$6)-1),基本シート!$B$6:$C$29,2,FALSE))</f>
        <v>100.62820000000001</v>
      </c>
      <c r="X17" s="3">
        <v>1.07</v>
      </c>
      <c r="Y17" s="3">
        <f>IF($E17="〇",X17*基本シート!$E$2,X17*VLOOKUP(LEFT(Y$6,FIND("(",Y$6)-1),基本シート!$B$6:$C$29,2,FALSE))</f>
        <v>31.950200000000002</v>
      </c>
      <c r="Z17" s="3">
        <v>0.42</v>
      </c>
      <c r="AA17" s="3">
        <f>IF($E17="〇",Z17*基本シート!$E$2,Z17*VLOOKUP(LEFT(AA$6,FIND("(",AA$6)-1),基本シート!$B$6:$C$29,2,FALSE))</f>
        <v>12.5412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0.29859999999999998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1.02</v>
      </c>
      <c r="AQ17" s="3">
        <f>IF($E17="〇",AP17*基本シート!$E$2,AP17*VLOOKUP(LEFT(AQ$6,FIND("(",AQ$6)-1),基本シート!$B$6:$C$29,2,FALSE))</f>
        <v>30.4572</v>
      </c>
      <c r="AR17" s="3">
        <v>1.35</v>
      </c>
      <c r="AS17" s="3">
        <f>IF($E17="〇",AR17*基本シート!$E$2,AR17*VLOOKUP(LEFT(AS$6,FIND("(",AS$6)-1),基本シート!$B$6:$C$29,2,FALSE))</f>
        <v>40.311</v>
      </c>
      <c r="AT17" s="3">
        <v>1.01</v>
      </c>
      <c r="AU17" s="3">
        <f>IF($E17="〇",AT17*基本シート!$E$2,AT17*VLOOKUP(LEFT(AU$6,FIND("(",AU$6)-1),基本シート!$B$6:$C$29,2,FALSE))</f>
        <v>30.1586</v>
      </c>
      <c r="AV17" s="3">
        <v>1.45</v>
      </c>
      <c r="AW17" s="3">
        <f>IF($E17="〇",AV17*基本シート!$E$2,AV17*VLOOKUP(LEFT(AW$6,FIND("(",AW$6)-1),基本シート!$B$6:$C$29,2,FALSE))</f>
        <v>43.296999999999997</v>
      </c>
      <c r="AX17" s="3">
        <v>1.08</v>
      </c>
      <c r="AY17" s="3">
        <f>IF($E17="〇",AX17*基本シート!$E$2,AX17*VLOOKUP(LEFT(AY$6,FIND("(",AY$6)-1),基本シート!$B$6:$C$29,2,FALSE))</f>
        <v>32.248800000000003</v>
      </c>
      <c r="AZ17" s="3">
        <v>0.98</v>
      </c>
      <c r="BA17" s="3">
        <f>IF($E17="〇",AZ17*基本シート!$E$2,AZ17*VLOOKUP(LEFT(BA$6,FIND("(",BA$6)-1),基本シート!$B$6:$C$29,2,FALSE))</f>
        <v>29.262799999999999</v>
      </c>
      <c r="BB17" s="3">
        <v>0.96</v>
      </c>
      <c r="BC17" s="3">
        <f>IF($E17="〇",BB17*基本シート!$E$2,BB17*VLOOKUP(LEFT(BC$6,FIND("(",BC$6)-1),基本シート!$B$6:$C$29,2,FALSE))</f>
        <v>28.665599999999998</v>
      </c>
      <c r="BD17" s="3">
        <f t="shared" si="7"/>
        <v>21.960000000000004</v>
      </c>
      <c r="BE17" s="3">
        <f t="shared" si="8"/>
        <v>656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0.02</v>
      </c>
      <c r="BN17" s="3">
        <v>0.2</v>
      </c>
      <c r="BO17" s="3">
        <v>0.6</v>
      </c>
      <c r="BP17" s="3">
        <v>3.89</v>
      </c>
      <c r="BQ17" s="3">
        <v>6.19</v>
      </c>
      <c r="BR17" s="3">
        <v>5.82</v>
      </c>
      <c r="BS17" s="3">
        <v>4.8600000000000003</v>
      </c>
      <c r="BT17" s="3">
        <v>3.34</v>
      </c>
      <c r="BU17" s="3">
        <v>1.04</v>
      </c>
      <c r="BV17" s="3">
        <v>0.04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1.52</v>
      </c>
      <c r="CY17" s="3">
        <f>CX17*基本シート!$C$3</f>
        <v>24.32</v>
      </c>
      <c r="CZ17" s="3">
        <v>2.14</v>
      </c>
      <c r="DA17" s="3">
        <f>CZ17*基本シート!$C$3</f>
        <v>34.24</v>
      </c>
      <c r="DB17" s="3">
        <v>3.72</v>
      </c>
      <c r="DC17" s="3">
        <f>DB17*基本シート!$C$3</f>
        <v>59.52</v>
      </c>
      <c r="DD17" s="3">
        <v>4.13</v>
      </c>
      <c r="DE17" s="3">
        <f>DD17*基本シート!$C$3</f>
        <v>66.08</v>
      </c>
      <c r="DF17" s="3">
        <v>2.38</v>
      </c>
      <c r="DG17" s="3">
        <f>DF17*基本シート!$C$3</f>
        <v>38.08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13.9</v>
      </c>
      <c r="EA17" s="3">
        <f>ROUND(DZ17*基本シート!$C$3,0)</f>
        <v>222</v>
      </c>
      <c r="EB17" s="3">
        <v>0.03</v>
      </c>
      <c r="EC17" s="3">
        <v>0.04</v>
      </c>
      <c r="ED17" s="3">
        <v>0.04</v>
      </c>
      <c r="EE17" s="3">
        <v>0.03</v>
      </c>
      <c r="EF17" s="3">
        <v>0.05</v>
      </c>
      <c r="EG17" s="3">
        <v>0.04</v>
      </c>
      <c r="EH17" s="3">
        <v>0.04</v>
      </c>
      <c r="EI17" s="3">
        <v>0.01</v>
      </c>
      <c r="EJ17" s="3">
        <v>0</v>
      </c>
      <c r="EK17" s="3">
        <v>0.03</v>
      </c>
      <c r="EL17" s="3">
        <v>1.7</v>
      </c>
      <c r="EM17" s="3">
        <v>3.34</v>
      </c>
      <c r="EN17" s="3">
        <v>1.1399999999999999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0.04</v>
      </c>
      <c r="EV17" s="3">
        <v>0.02</v>
      </c>
      <c r="EW17" s="3">
        <v>0.04</v>
      </c>
      <c r="EX17" s="3">
        <v>0.04</v>
      </c>
      <c r="EY17" s="3">
        <v>0.04</v>
      </c>
      <c r="EZ17" s="3">
        <f t="shared" si="11"/>
        <v>6.6999999999999993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1.61</v>
      </c>
      <c r="FQ17" s="3">
        <v>2.46</v>
      </c>
      <c r="FR17" s="3">
        <v>1.01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5.08</v>
      </c>
      <c r="FZ17" s="3">
        <v>1.06</v>
      </c>
      <c r="GA17" s="3">
        <v>2.2000000000000002</v>
      </c>
      <c r="GB17" s="3">
        <v>0.91</v>
      </c>
      <c r="GC17" s="3">
        <v>1.1599999999999999</v>
      </c>
      <c r="GD17" s="3">
        <v>1.1399999999999999</v>
      </c>
      <c r="GE17" s="3">
        <v>1.0900000000000001</v>
      </c>
      <c r="GF17" s="3">
        <v>1.41</v>
      </c>
      <c r="GG17" s="3">
        <v>3.38</v>
      </c>
      <c r="GH17" s="3">
        <v>1.27</v>
      </c>
      <c r="GI17" s="3">
        <v>0.99</v>
      </c>
      <c r="GJ17" s="3">
        <v>0.67</v>
      </c>
      <c r="GK17" s="3">
        <v>0.71</v>
      </c>
      <c r="GL17" s="3">
        <v>0.96</v>
      </c>
      <c r="GM17" s="3">
        <v>0.73</v>
      </c>
      <c r="GN17" s="3">
        <v>0.96</v>
      </c>
      <c r="GO17" s="3">
        <v>2.65</v>
      </c>
      <c r="GP17" s="3">
        <v>2.5</v>
      </c>
      <c r="GQ17" s="3">
        <v>2.0299999999999998</v>
      </c>
      <c r="GR17" s="3">
        <v>1.32</v>
      </c>
      <c r="GS17" s="3">
        <v>0.97</v>
      </c>
      <c r="GT17" s="3">
        <v>1.43</v>
      </c>
      <c r="GU17" s="3">
        <v>1.04</v>
      </c>
      <c r="GV17" s="3">
        <v>0.94</v>
      </c>
      <c r="GW17" s="3">
        <v>0.92</v>
      </c>
      <c r="GX17" s="3">
        <f t="shared" si="13"/>
        <v>32.44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329</v>
      </c>
      <c r="C18" s="6" t="str">
        <f>TEXT(VLOOKUP(LEFT(B18,FIND("月",B18)),基本シート!$E$6:$F$17,2,FALSE)&amp;B18,"aaaa")</f>
        <v>日曜日</v>
      </c>
      <c r="D18" s="6"/>
      <c r="E18" s="6" t="str">
        <f t="shared" si="9"/>
        <v>〇</v>
      </c>
      <c r="F18" s="6" t="s">
        <v>298</v>
      </c>
      <c r="G18" s="6" t="s">
        <v>296</v>
      </c>
      <c r="H18" s="3">
        <v>1.07</v>
      </c>
      <c r="I18" s="3">
        <f>IF($E18="〇",H18*基本シート!$E$2,H18*VLOOKUP(LEFT(I$6,FIND("(",I$6)-1),基本シート!$B$6:$C$29,2,FALSE))</f>
        <v>31.950200000000002</v>
      </c>
      <c r="J18" s="3">
        <v>2.87</v>
      </c>
      <c r="K18" s="3">
        <f>IF($E18="〇",J18*基本シート!$E$2,J18*VLOOKUP(LEFT(K$6,FIND("(",K$6)-1),基本シート!$B$6:$C$29,2,FALSE))</f>
        <v>85.6982</v>
      </c>
      <c r="L18" s="3">
        <v>1</v>
      </c>
      <c r="M18" s="3">
        <f>IF($E18="〇",L18*基本シート!$E$2,L18*VLOOKUP(LEFT(M$6,FIND("(",M$6)-1),基本シート!$B$6:$C$29,2,FALSE))</f>
        <v>29.86</v>
      </c>
      <c r="N18" s="3">
        <v>1.08</v>
      </c>
      <c r="O18" s="3">
        <f>IF($E18="〇",N18*基本シート!$E$2,N18*VLOOKUP(LEFT(O$6,FIND("(",O$6)-1),基本シート!$B$6:$C$29,2,FALSE))</f>
        <v>32.248800000000003</v>
      </c>
      <c r="P18" s="3">
        <v>1.25</v>
      </c>
      <c r="Q18" s="3">
        <f>IF($E18="〇",P18*基本シート!$E$2,P18*VLOOKUP(LEFT(Q$6,FIND("(",Q$6)-1),基本シート!$B$6:$C$29,2,FALSE))</f>
        <v>37.325000000000003</v>
      </c>
      <c r="R18" s="3">
        <v>0.98</v>
      </c>
      <c r="S18" s="3">
        <f>IF($E18="〇",R18*基本シート!$E$2,R18*VLOOKUP(LEFT(S$6,FIND("(",S$6)-1),基本シート!$B$6:$C$29,2,FALSE))</f>
        <v>29.262799999999999</v>
      </c>
      <c r="T18" s="3">
        <v>1.05</v>
      </c>
      <c r="U18" s="3">
        <f>IF($E18="〇",T18*基本シート!$E$2,T18*VLOOKUP(LEFT(U$6,FIND("(",U$6)-1),基本シート!$B$6:$C$29,2,FALSE))</f>
        <v>31.353000000000002</v>
      </c>
      <c r="V18" s="3">
        <v>1.21</v>
      </c>
      <c r="W18" s="3">
        <f>IF($E18="〇",V18*基本シート!$E$2,V18*VLOOKUP(LEFT(W$6,FIND("(",W$6)-1),基本シート!$B$6:$C$29,2,FALSE))</f>
        <v>36.130600000000001</v>
      </c>
      <c r="X18" s="3">
        <v>1.28</v>
      </c>
      <c r="Y18" s="3">
        <f>IF($E18="〇",X18*基本シート!$E$2,X18*VLOOKUP(LEFT(Y$6,FIND("(",Y$6)-1),基本シート!$B$6:$C$29,2,FALSE))</f>
        <v>38.220799999999997</v>
      </c>
      <c r="Z18" s="3">
        <v>0.01</v>
      </c>
      <c r="AA18" s="3">
        <f>IF($E18="〇",Z18*基本シート!$E$2,Z18*VLOOKUP(LEFT(AA$6,FIND("(",AA$6)-1),基本シート!$B$6:$C$29,2,FALSE))</f>
        <v>0.29859999999999998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0.5</v>
      </c>
      <c r="AQ18" s="3">
        <f>IF($E18="〇",AP18*基本シート!$E$2,AP18*VLOOKUP(LEFT(AQ$6,FIND("(",AQ$6)-1),基本シート!$B$6:$C$29,2,FALSE))</f>
        <v>14.93</v>
      </c>
      <c r="AR18" s="3">
        <v>2.85</v>
      </c>
      <c r="AS18" s="3">
        <f>IF($E18="〇",AR18*基本シート!$E$2,AR18*VLOOKUP(LEFT(AS$6,FIND("(",AS$6)-1),基本シート!$B$6:$C$29,2,FALSE))</f>
        <v>85.100999999999999</v>
      </c>
      <c r="AT18" s="3">
        <v>3.14</v>
      </c>
      <c r="AU18" s="3">
        <f>IF($E18="〇",AT18*基本シート!$E$2,AT18*VLOOKUP(LEFT(AU$6,FIND("(",AU$6)-1),基本シート!$B$6:$C$29,2,FALSE))</f>
        <v>93.760400000000004</v>
      </c>
      <c r="AV18" s="3">
        <v>1.29</v>
      </c>
      <c r="AW18" s="3">
        <f>IF($E18="〇",AV18*基本シート!$E$2,AV18*VLOOKUP(LEFT(AW$6,FIND("(",AW$6)-1),基本シート!$B$6:$C$29,2,FALSE))</f>
        <v>38.519399999999997</v>
      </c>
      <c r="AX18" s="3">
        <v>1.41</v>
      </c>
      <c r="AY18" s="3">
        <f>IF($E18="〇",AX18*基本シート!$E$2,AX18*VLOOKUP(LEFT(AY$6,FIND("(",AY$6)-1),基本シート!$B$6:$C$29,2,FALSE))</f>
        <v>42.102599999999995</v>
      </c>
      <c r="AZ18" s="3">
        <v>1.1299999999999999</v>
      </c>
      <c r="BA18" s="3">
        <f>IF($E18="〇",AZ18*基本シート!$E$2,AZ18*VLOOKUP(LEFT(BA$6,FIND("(",BA$6)-1),基本シート!$B$6:$C$29,2,FALSE))</f>
        <v>33.741799999999998</v>
      </c>
      <c r="BB18" s="3">
        <v>1.23</v>
      </c>
      <c r="BC18" s="3">
        <f>IF($E18="〇",BB18*基本シート!$E$2,BB18*VLOOKUP(LEFT(BC$6,FIND("(",BC$6)-1),基本シート!$B$6:$C$29,2,FALSE))</f>
        <v>36.727800000000002</v>
      </c>
      <c r="BD18" s="3">
        <f t="shared" si="7"/>
        <v>23.349999999999998</v>
      </c>
      <c r="BE18" s="3">
        <f t="shared" si="8"/>
        <v>697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0.59</v>
      </c>
      <c r="BO18" s="3">
        <v>2.71</v>
      </c>
      <c r="BP18" s="3">
        <v>4.8</v>
      </c>
      <c r="BQ18" s="3">
        <v>4.49</v>
      </c>
      <c r="BR18" s="3">
        <v>4.8499999999999996</v>
      </c>
      <c r="BS18" s="3">
        <v>4.3600000000000003</v>
      </c>
      <c r="BT18" s="3">
        <v>3.41</v>
      </c>
      <c r="BU18" s="3">
        <v>0.76</v>
      </c>
      <c r="BV18" s="3">
        <v>0.08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0.54</v>
      </c>
      <c r="CW18" s="3">
        <f>CV18*基本シート!$C$3</f>
        <v>8.64</v>
      </c>
      <c r="CX18" s="3">
        <v>0.64</v>
      </c>
      <c r="CY18" s="3">
        <f>CX18*基本シート!$C$3</f>
        <v>10.24</v>
      </c>
      <c r="CZ18" s="3">
        <v>2.06</v>
      </c>
      <c r="DA18" s="3">
        <f>CZ18*基本シート!$C$3</f>
        <v>32.96</v>
      </c>
      <c r="DB18" s="3">
        <v>3.28</v>
      </c>
      <c r="DC18" s="3">
        <f>DB18*基本シート!$C$3</f>
        <v>52.48</v>
      </c>
      <c r="DD18" s="3">
        <v>2.46</v>
      </c>
      <c r="DE18" s="3">
        <f>DD18*基本シート!$C$3</f>
        <v>39.36</v>
      </c>
      <c r="DF18" s="3">
        <v>2.6</v>
      </c>
      <c r="DG18" s="3">
        <f>DF18*基本シート!$C$3</f>
        <v>41.6</v>
      </c>
      <c r="DH18" s="3">
        <v>0.22</v>
      </c>
      <c r="DI18" s="3">
        <f>DH18*基本シート!$C$3</f>
        <v>3.52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11.8</v>
      </c>
      <c r="EA18" s="3">
        <f>ROUND(DZ18*基本シート!$C$3,0)</f>
        <v>189</v>
      </c>
      <c r="EB18" s="3">
        <v>0.03</v>
      </c>
      <c r="EC18" s="3">
        <v>0.04</v>
      </c>
      <c r="ED18" s="3">
        <v>0.04</v>
      </c>
      <c r="EE18" s="3">
        <v>0.04</v>
      </c>
      <c r="EF18" s="3">
        <v>0.03</v>
      </c>
      <c r="EG18" s="3">
        <v>0.03</v>
      </c>
      <c r="EH18" s="3">
        <v>0.04</v>
      </c>
      <c r="EI18" s="3">
        <v>0.01</v>
      </c>
      <c r="EJ18" s="3">
        <v>0.06</v>
      </c>
      <c r="EK18" s="3">
        <v>1.39</v>
      </c>
      <c r="EL18" s="3">
        <v>3.26</v>
      </c>
      <c r="EM18" s="3">
        <v>1.46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0.03</v>
      </c>
      <c r="EU18" s="3">
        <v>0.04</v>
      </c>
      <c r="EV18" s="3">
        <v>0.03</v>
      </c>
      <c r="EW18" s="3">
        <v>0.05</v>
      </c>
      <c r="EX18" s="3">
        <v>0.05</v>
      </c>
      <c r="EY18" s="3">
        <v>0.04</v>
      </c>
      <c r="EZ18" s="3">
        <f t="shared" si="11"/>
        <v>6.67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0.61</v>
      </c>
      <c r="FQ18" s="3">
        <v>2.4300000000000002</v>
      </c>
      <c r="FR18" s="3">
        <v>2.11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5.15</v>
      </c>
      <c r="FZ18" s="3">
        <v>1.04</v>
      </c>
      <c r="GA18" s="3">
        <v>2.83</v>
      </c>
      <c r="GB18" s="3">
        <v>0.96</v>
      </c>
      <c r="GC18" s="3">
        <v>1.04</v>
      </c>
      <c r="GD18" s="3">
        <v>1.22</v>
      </c>
      <c r="GE18" s="3">
        <v>0.95</v>
      </c>
      <c r="GF18" s="3">
        <v>1.01</v>
      </c>
      <c r="GG18" s="3">
        <v>1.25</v>
      </c>
      <c r="GH18" s="3">
        <v>1.81</v>
      </c>
      <c r="GI18" s="3">
        <v>0.79</v>
      </c>
      <c r="GJ18" s="3">
        <v>0.9</v>
      </c>
      <c r="GK18" s="3">
        <v>0.97</v>
      </c>
      <c r="GL18" s="3">
        <v>1.57</v>
      </c>
      <c r="GM18" s="3">
        <v>1.9</v>
      </c>
      <c r="GN18" s="3">
        <v>0.81</v>
      </c>
      <c r="GO18" s="3">
        <v>1.1499999999999999</v>
      </c>
      <c r="GP18" s="3">
        <v>2.5099999999999998</v>
      </c>
      <c r="GQ18" s="3">
        <v>2.61</v>
      </c>
      <c r="GR18" s="3">
        <v>2.82</v>
      </c>
      <c r="GS18" s="3">
        <v>3.1</v>
      </c>
      <c r="GT18" s="3">
        <v>1.26</v>
      </c>
      <c r="GU18" s="3">
        <v>1.36</v>
      </c>
      <c r="GV18" s="3">
        <v>1.08</v>
      </c>
      <c r="GW18" s="3">
        <v>1.19</v>
      </c>
      <c r="GX18" s="3">
        <f t="shared" si="13"/>
        <v>36.129999999999988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330</v>
      </c>
      <c r="C19" s="6" t="str">
        <f>TEXT(VLOOKUP(LEFT(B19,FIND("月",B19)),基本シート!$E$6:$F$17,2,FALSE)&amp;B19,"aaaa")</f>
        <v>月曜日</v>
      </c>
      <c r="D19" s="6" t="s">
        <v>82</v>
      </c>
      <c r="E19" s="6" t="str">
        <f t="shared" si="9"/>
        <v>〇</v>
      </c>
      <c r="F19" s="6" t="s">
        <v>298</v>
      </c>
      <c r="G19" s="6" t="s">
        <v>298</v>
      </c>
      <c r="H19" s="3">
        <v>0.97</v>
      </c>
      <c r="I19" s="3">
        <f>IF($E19="〇",H19*基本シート!$E$2,H19*VLOOKUP(LEFT(I$6,FIND("(",I$6)-1),基本シート!$B$6:$C$29,2,FALSE))</f>
        <v>28.964199999999998</v>
      </c>
      <c r="J19" s="3">
        <v>0.99</v>
      </c>
      <c r="K19" s="3">
        <f>IF($E19="〇",J19*基本シート!$E$2,J19*VLOOKUP(LEFT(K$6,FIND("(",K$6)-1),基本シート!$B$6:$C$29,2,FALSE))</f>
        <v>29.561399999999999</v>
      </c>
      <c r="L19" s="3">
        <v>1.06</v>
      </c>
      <c r="M19" s="3">
        <f>IF($E19="〇",L19*基本シート!$E$2,L19*VLOOKUP(LEFT(M$6,FIND("(",M$6)-1),基本シート!$B$6:$C$29,2,FALSE))</f>
        <v>31.651600000000002</v>
      </c>
      <c r="N19" s="3">
        <v>1.21</v>
      </c>
      <c r="O19" s="3">
        <f>IF($E19="〇",N19*基本シート!$E$2,N19*VLOOKUP(LEFT(O$6,FIND("(",O$6)-1),基本シート!$B$6:$C$29,2,FALSE))</f>
        <v>36.130600000000001</v>
      </c>
      <c r="P19" s="3">
        <v>1.1299999999999999</v>
      </c>
      <c r="Q19" s="3">
        <f>IF($E19="〇",P19*基本シート!$E$2,P19*VLOOKUP(LEFT(Q$6,FIND("(",Q$6)-1),基本シート!$B$6:$C$29,2,FALSE))</f>
        <v>33.741799999999998</v>
      </c>
      <c r="R19" s="3">
        <v>0.93</v>
      </c>
      <c r="S19" s="3">
        <f>IF($E19="〇",R19*基本シート!$E$2,R19*VLOOKUP(LEFT(S$6,FIND("(",S$6)-1),基本シート!$B$6:$C$29,2,FALSE))</f>
        <v>27.7698</v>
      </c>
      <c r="T19" s="3">
        <v>1</v>
      </c>
      <c r="U19" s="3">
        <f>IF($E19="〇",T19*基本シート!$E$2,T19*VLOOKUP(LEFT(U$6,FIND("(",U$6)-1),基本シート!$B$6:$C$29,2,FALSE))</f>
        <v>29.86</v>
      </c>
      <c r="V19" s="3">
        <v>0.98</v>
      </c>
      <c r="W19" s="3">
        <f>IF($E19="〇",V19*基本シート!$E$2,V19*VLOOKUP(LEFT(W$6,FIND("(",W$6)-1),基本シート!$B$6:$C$29,2,FALSE))</f>
        <v>29.262799999999999</v>
      </c>
      <c r="X19" s="3">
        <v>0.16</v>
      </c>
      <c r="Y19" s="3">
        <f>IF($E19="〇",X19*基本シート!$E$2,X19*VLOOKUP(LEFT(Y$6,FIND("(",Y$6)-1),基本シート!$B$6:$C$29,2,FALSE))</f>
        <v>4.7775999999999996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0.74</v>
      </c>
      <c r="AQ19" s="3">
        <f>IF($E19="〇",AP19*基本シート!$E$2,AP19*VLOOKUP(LEFT(AQ$6,FIND("(",AQ$6)-1),基本シート!$B$6:$C$29,2,FALSE))</f>
        <v>22.096399999999999</v>
      </c>
      <c r="AR19" s="3">
        <v>3.38</v>
      </c>
      <c r="AS19" s="3">
        <f>IF($E19="〇",AR19*基本シート!$E$2,AR19*VLOOKUP(LEFT(AS$6,FIND("(",AS$6)-1),基本シート!$B$6:$C$29,2,FALSE))</f>
        <v>100.9268</v>
      </c>
      <c r="AT19" s="3">
        <v>2.65</v>
      </c>
      <c r="AU19" s="3">
        <f>IF($E19="〇",AT19*基本シート!$E$2,AT19*VLOOKUP(LEFT(AU$6,FIND("(",AU$6)-1),基本シート!$B$6:$C$29,2,FALSE))</f>
        <v>79.128999999999991</v>
      </c>
      <c r="AV19" s="3">
        <v>1.24</v>
      </c>
      <c r="AW19" s="3">
        <f>IF($E19="〇",AV19*基本シート!$E$2,AV19*VLOOKUP(LEFT(AW$6,FIND("(",AW$6)-1),基本シート!$B$6:$C$29,2,FALSE))</f>
        <v>37.026400000000002</v>
      </c>
      <c r="AX19" s="3">
        <v>1.21</v>
      </c>
      <c r="AY19" s="3">
        <f>IF($E19="〇",AX19*基本シート!$E$2,AX19*VLOOKUP(LEFT(AY$6,FIND("(",AY$6)-1),基本シート!$B$6:$C$29,2,FALSE))</f>
        <v>36.130600000000001</v>
      </c>
      <c r="AZ19" s="3">
        <v>0.72</v>
      </c>
      <c r="BA19" s="3">
        <f>IF($E19="〇",AZ19*基本シート!$E$2,AZ19*VLOOKUP(LEFT(BA$6,FIND("(",BA$6)-1),基本シート!$B$6:$C$29,2,FALSE))</f>
        <v>21.499199999999998</v>
      </c>
      <c r="BB19" s="3">
        <v>0.93</v>
      </c>
      <c r="BC19" s="3">
        <f>IF($E19="〇",BB19*基本シート!$E$2,BB19*VLOOKUP(LEFT(BC$6,FIND("(",BC$6)-1),基本シート!$B$6:$C$29,2,FALSE))</f>
        <v>27.7698</v>
      </c>
      <c r="BD19" s="3">
        <f t="shared" si="7"/>
        <v>19.309999999999999</v>
      </c>
      <c r="BE19" s="3">
        <f t="shared" si="8"/>
        <v>577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0.14000000000000001</v>
      </c>
      <c r="BN19" s="3">
        <v>1.33</v>
      </c>
      <c r="BO19" s="3">
        <v>3.43</v>
      </c>
      <c r="BP19" s="3">
        <v>5.09</v>
      </c>
      <c r="BQ19" s="3">
        <v>5.54</v>
      </c>
      <c r="BR19" s="3">
        <v>5.99</v>
      </c>
      <c r="BS19" s="3">
        <v>5.88</v>
      </c>
      <c r="BT19" s="3">
        <v>3.82</v>
      </c>
      <c r="BU19" s="3">
        <v>0.89</v>
      </c>
      <c r="BV19" s="3">
        <v>0.13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0.01</v>
      </c>
      <c r="CU19" s="3">
        <f>CT19*基本シート!$C$3</f>
        <v>0.16</v>
      </c>
      <c r="CV19" s="3">
        <v>0.76</v>
      </c>
      <c r="CW19" s="3">
        <f>CV19*基本シート!$C$3</f>
        <v>12.16</v>
      </c>
      <c r="CX19" s="3">
        <v>0.37</v>
      </c>
      <c r="CY19" s="3">
        <f>CX19*基本シート!$C$3</f>
        <v>5.92</v>
      </c>
      <c r="CZ19" s="3">
        <v>4.21</v>
      </c>
      <c r="DA19" s="3">
        <f>CZ19*基本シート!$C$3</f>
        <v>67.36</v>
      </c>
      <c r="DB19" s="3">
        <v>4.74</v>
      </c>
      <c r="DC19" s="3">
        <f>DB19*基本シート!$C$3</f>
        <v>75.84</v>
      </c>
      <c r="DD19" s="3">
        <v>5</v>
      </c>
      <c r="DE19" s="3">
        <f>DD19*基本シート!$C$3</f>
        <v>80</v>
      </c>
      <c r="DF19" s="3">
        <v>3.04</v>
      </c>
      <c r="DG19" s="3">
        <f>DF19*基本シート!$C$3</f>
        <v>48.64</v>
      </c>
      <c r="DH19" s="3">
        <v>0.39</v>
      </c>
      <c r="DI19" s="3">
        <f>DH19*基本シート!$C$3</f>
        <v>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18.53</v>
      </c>
      <c r="EA19" s="3">
        <f>ROUND(DZ19*基本シート!$C$3,0)</f>
        <v>296</v>
      </c>
      <c r="EB19" s="3">
        <v>0.03</v>
      </c>
      <c r="EC19" s="3">
        <v>0.04</v>
      </c>
      <c r="ED19" s="3">
        <v>0.04</v>
      </c>
      <c r="EE19" s="3">
        <v>0.03</v>
      </c>
      <c r="EF19" s="3">
        <v>0.04</v>
      </c>
      <c r="EG19" s="3">
        <v>0.03</v>
      </c>
      <c r="EH19" s="3">
        <v>0.05</v>
      </c>
      <c r="EI19" s="3">
        <v>0</v>
      </c>
      <c r="EJ19" s="3">
        <v>0.32</v>
      </c>
      <c r="EK19" s="3">
        <v>1.79</v>
      </c>
      <c r="EL19" s="3">
        <v>3.84</v>
      </c>
      <c r="EM19" s="3">
        <v>0.32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0.05</v>
      </c>
      <c r="EZ19" s="3">
        <f t="shared" si="11"/>
        <v>6.7200000000000006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1.01</v>
      </c>
      <c r="FQ19" s="3">
        <v>2.36</v>
      </c>
      <c r="FR19" s="3">
        <v>1.78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5.15</v>
      </c>
      <c r="FZ19" s="3">
        <v>0.94</v>
      </c>
      <c r="GA19" s="3">
        <v>0.95</v>
      </c>
      <c r="GB19" s="3">
        <v>1.02</v>
      </c>
      <c r="GC19" s="3">
        <v>1.18</v>
      </c>
      <c r="GD19" s="3">
        <v>1.0900000000000001</v>
      </c>
      <c r="GE19" s="3">
        <v>0.9</v>
      </c>
      <c r="GF19" s="3">
        <v>0.95</v>
      </c>
      <c r="GG19" s="3">
        <v>1.1200000000000001</v>
      </c>
      <c r="GH19" s="3">
        <v>1.1599999999999999</v>
      </c>
      <c r="GI19" s="3">
        <v>0.88</v>
      </c>
      <c r="GJ19" s="3">
        <v>0.88</v>
      </c>
      <c r="GK19" s="3">
        <v>1.01</v>
      </c>
      <c r="GL19" s="3">
        <v>1.25</v>
      </c>
      <c r="GM19" s="3">
        <v>0.88</v>
      </c>
      <c r="GN19" s="3">
        <v>0.78</v>
      </c>
      <c r="GO19" s="3">
        <v>1.51</v>
      </c>
      <c r="GP19" s="3">
        <v>2.4900000000000002</v>
      </c>
      <c r="GQ19" s="3">
        <v>2.52</v>
      </c>
      <c r="GR19" s="3">
        <v>3.36</v>
      </c>
      <c r="GS19" s="3">
        <v>2.62</v>
      </c>
      <c r="GT19" s="3">
        <v>1.21</v>
      </c>
      <c r="GU19" s="3">
        <v>1.18</v>
      </c>
      <c r="GV19" s="3">
        <v>0.69</v>
      </c>
      <c r="GW19" s="3">
        <v>0.88</v>
      </c>
      <c r="GX19" s="3">
        <f t="shared" si="13"/>
        <v>31.450000000000003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331</v>
      </c>
      <c r="C20" s="6" t="str">
        <f>TEXT(VLOOKUP(LEFT(B20,FIND("月",B20)),基本シート!$E$6:$F$17,2,FALSE)&amp;B20,"aaaa")</f>
        <v>火曜日</v>
      </c>
      <c r="D20" s="6"/>
      <c r="E20" s="6" t="str">
        <f t="shared" si="9"/>
        <v/>
      </c>
      <c r="F20" s="6" t="s">
        <v>366</v>
      </c>
      <c r="G20" s="6" t="s">
        <v>296</v>
      </c>
      <c r="H20" s="3">
        <v>0.72</v>
      </c>
      <c r="I20" s="3">
        <f>IF($E20="〇",H20*基本シート!$E$2,H20*VLOOKUP(LEFT(I$6,FIND("(",I$6)-1),基本シート!$B$6:$C$29,2,FALSE))</f>
        <v>21.499199999999998</v>
      </c>
      <c r="J20" s="3">
        <v>0.9</v>
      </c>
      <c r="K20" s="3">
        <f>IF($E20="〇",J20*基本シート!$E$2,J20*VLOOKUP(LEFT(K$6,FIND("(",K$6)-1),基本シート!$B$6:$C$29,2,FALSE))</f>
        <v>26.873999999999999</v>
      </c>
      <c r="L20" s="3">
        <v>0.7</v>
      </c>
      <c r="M20" s="3">
        <f>IF($E20="〇",L20*基本シート!$E$2,L20*VLOOKUP(LEFT(M$6,FIND("(",M$6)-1),基本シート!$B$6:$C$29,2,FALSE))</f>
        <v>20.901999999999997</v>
      </c>
      <c r="N20" s="3">
        <v>0.96</v>
      </c>
      <c r="O20" s="3">
        <f>IF($E20="〇",N20*基本シート!$E$2,N20*VLOOKUP(LEFT(O$6,FIND("(",O$6)-1),基本シート!$B$6:$C$29,2,FALSE))</f>
        <v>28.665599999999998</v>
      </c>
      <c r="P20" s="3">
        <v>1.01</v>
      </c>
      <c r="Q20" s="3">
        <f>IF($E20="〇",P20*基本シート!$E$2,P20*VLOOKUP(LEFT(Q$6,FIND("(",Q$6)-1),基本シート!$B$6:$C$29,2,FALSE))</f>
        <v>30.1586</v>
      </c>
      <c r="R20" s="3">
        <v>0.77</v>
      </c>
      <c r="S20" s="3">
        <f>IF($E20="〇",R20*基本シート!$E$2,R20*VLOOKUP(LEFT(S$6,FIND("(",S$6)-1),基本シート!$B$6:$C$29,2,FALSE))</f>
        <v>22.9922</v>
      </c>
      <c r="T20" s="3">
        <v>1.25</v>
      </c>
      <c r="U20" s="3">
        <f>IF($E20="〇",T20*基本シート!$E$2,T20*VLOOKUP(LEFT(U$6,FIND("(",U$6)-1),基本シート!$B$6:$C$29,2,FALSE))</f>
        <v>37.325000000000003</v>
      </c>
      <c r="V20" s="3">
        <v>0.75</v>
      </c>
      <c r="W20" s="3">
        <f>IF($E20="〇",V20*基本シート!$E$2,V20*VLOOKUP(LEFT(W$6,FIND("(",W$6)-1),基本シート!$B$6:$C$29,2,FALSE))</f>
        <v>27.645</v>
      </c>
      <c r="X20" s="3">
        <v>0.96</v>
      </c>
      <c r="Y20" s="3">
        <f>IF($E20="〇",X20*基本シート!$E$2,X20*VLOOKUP(LEFT(Y$6,FIND("(",Y$6)-1),基本シート!$B$6:$C$29,2,FALSE))</f>
        <v>35.385599999999997</v>
      </c>
      <c r="Z20" s="3">
        <v>0.82</v>
      </c>
      <c r="AA20" s="3">
        <f>IF($E20="〇",Z20*基本シート!$E$2,Z20*VLOOKUP(LEFT(AA$6,FIND("(",AA$6)-1),基本シート!$B$6:$C$29,2,FALSE))</f>
        <v>30.225199999999997</v>
      </c>
      <c r="AB20" s="3">
        <v>0.88</v>
      </c>
      <c r="AC20" s="3">
        <f>IF($E20="〇",AB20*基本シート!$E$2,AB20*VLOOKUP(LEFT(AC$6,FIND("(",AC$6)-1),基本シート!$B$6:$C$29,2,FALSE))</f>
        <v>32.436799999999998</v>
      </c>
      <c r="AD20" s="3">
        <v>0.48</v>
      </c>
      <c r="AE20" s="3">
        <f>IF($E20="〇",AD20*基本シート!$E$2,AD20*VLOOKUP(LEFT(AE$6,FIND("(",AE$6)-1),基本シート!$B$6:$C$29,2,FALSE))</f>
        <v>17.692799999999998</v>
      </c>
      <c r="AF20" s="3">
        <v>0.33</v>
      </c>
      <c r="AG20" s="3">
        <f>IF($E20="〇",AF20*基本シート!$E$2,AF20*VLOOKUP(LEFT(AG$6,FIND("(",AG$6)-1),基本シート!$B$6:$C$29,2,FALSE))</f>
        <v>12.1638</v>
      </c>
      <c r="AH20" s="3">
        <v>0.01</v>
      </c>
      <c r="AI20" s="3">
        <f>IF($E20="〇",AH20*基本シート!$E$2,AH20*VLOOKUP(LEFT(AI$6,FIND("(",AI$6)-1),基本シート!$B$6:$C$29,2,FALSE))</f>
        <v>0.36859999999999998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0.36859999999999998</v>
      </c>
      <c r="AN20" s="3">
        <v>0.75</v>
      </c>
      <c r="AO20" s="3">
        <f>IF($E20="〇",AN20*基本シート!$E$2,AN20*VLOOKUP(LEFT(AO$6,FIND("(",AO$6)-1),基本シート!$B$6:$C$29,2,FALSE))</f>
        <v>27.645</v>
      </c>
      <c r="AP20" s="3">
        <v>1.59</v>
      </c>
      <c r="AQ20" s="3">
        <f>IF($E20="〇",AP20*基本シート!$E$2,AP20*VLOOKUP(LEFT(AQ$6,FIND("(",AQ$6)-1),基本シート!$B$6:$C$29,2,FALSE))</f>
        <v>58.607400000000005</v>
      </c>
      <c r="AR20" s="3">
        <v>1.55</v>
      </c>
      <c r="AS20" s="3">
        <f>IF($E20="〇",AR20*基本シート!$E$2,AR20*VLOOKUP(LEFT(AS$6,FIND("(",AS$6)-1),基本シート!$B$6:$C$29,2,FALSE))</f>
        <v>57.133000000000003</v>
      </c>
      <c r="AT20" s="3">
        <v>1.3</v>
      </c>
      <c r="AU20" s="3">
        <f>IF($E20="〇",AT20*基本シート!$E$2,AT20*VLOOKUP(LEFT(AU$6,FIND("(",AU$6)-1),基本シート!$B$6:$C$29,2,FALSE))</f>
        <v>47.917999999999999</v>
      </c>
      <c r="AV20" s="3">
        <v>0.77</v>
      </c>
      <c r="AW20" s="3">
        <f>IF($E20="〇",AV20*基本シート!$E$2,AV20*VLOOKUP(LEFT(AW$6,FIND("(",AW$6)-1),基本シート!$B$6:$C$29,2,FALSE))</f>
        <v>28.382200000000001</v>
      </c>
      <c r="AX20" s="3">
        <v>1.4</v>
      </c>
      <c r="AY20" s="3">
        <f>IF($E20="〇",AX20*基本シート!$E$2,AX20*VLOOKUP(LEFT(AY$6,FIND("(",AY$6)-1),基本シート!$B$6:$C$29,2,FALSE))</f>
        <v>41.803999999999995</v>
      </c>
      <c r="AZ20" s="3">
        <v>1.28</v>
      </c>
      <c r="BA20" s="3">
        <f>IF($E20="〇",AZ20*基本シート!$E$2,AZ20*VLOOKUP(LEFT(BA$6,FIND("(",BA$6)-1),基本シート!$B$6:$C$29,2,FALSE))</f>
        <v>38.220799999999997</v>
      </c>
      <c r="BB20" s="3">
        <v>2.11</v>
      </c>
      <c r="BC20" s="3">
        <f>IF($E20="〇",BB20*基本シート!$E$2,BB20*VLOOKUP(LEFT(BC$6,FIND("(",BC$6)-1),基本シート!$B$6:$C$29,2,FALSE))</f>
        <v>63.004599999999996</v>
      </c>
      <c r="BD20" s="3">
        <f t="shared" si="7"/>
        <v>21.3</v>
      </c>
      <c r="BE20" s="3">
        <f t="shared" si="8"/>
        <v>707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0.05</v>
      </c>
      <c r="BQ20" s="3">
        <v>0.27</v>
      </c>
      <c r="BR20" s="3">
        <v>1.32</v>
      </c>
      <c r="BS20" s="3">
        <v>3.58</v>
      </c>
      <c r="BT20" s="3">
        <v>1.7</v>
      </c>
      <c r="BU20" s="3">
        <v>0.64</v>
      </c>
      <c r="BV20" s="3">
        <v>0.04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0.01</v>
      </c>
      <c r="DC20" s="3">
        <f>DB20*基本シート!$C$3</f>
        <v>0.16</v>
      </c>
      <c r="DD20" s="3">
        <v>0.05</v>
      </c>
      <c r="DE20" s="3">
        <f>DD20*基本シート!$C$3</f>
        <v>0.8</v>
      </c>
      <c r="DF20" s="3">
        <v>0.01</v>
      </c>
      <c r="DG20" s="3">
        <f>DF20*基本シート!$C$3</f>
        <v>0.16</v>
      </c>
      <c r="DH20" s="3">
        <v>0.01</v>
      </c>
      <c r="DI20" s="3">
        <f>DH20*基本シート!$C$3</f>
        <v>0.16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0.08</v>
      </c>
      <c r="EA20" s="3">
        <f>ROUND(DZ20*基本シート!$C$3,0)</f>
        <v>1</v>
      </c>
      <c r="EB20" s="3">
        <v>0.03</v>
      </c>
      <c r="EC20" s="3">
        <v>0.04</v>
      </c>
      <c r="ED20" s="3">
        <v>0.04</v>
      </c>
      <c r="EE20" s="3">
        <v>0.03</v>
      </c>
      <c r="EF20" s="3">
        <v>0.03</v>
      </c>
      <c r="EG20" s="3">
        <v>0.05</v>
      </c>
      <c r="EH20" s="3">
        <v>0.04</v>
      </c>
      <c r="EI20" s="3">
        <v>0.02</v>
      </c>
      <c r="EJ20" s="3">
        <v>0.01</v>
      </c>
      <c r="EK20" s="3">
        <v>0.02</v>
      </c>
      <c r="EL20" s="3">
        <v>0.01</v>
      </c>
      <c r="EM20" s="3">
        <v>0.01</v>
      </c>
      <c r="EN20" s="3">
        <v>0.7</v>
      </c>
      <c r="EO20" s="3">
        <v>2.8</v>
      </c>
      <c r="EP20" s="3">
        <v>0.9</v>
      </c>
      <c r="EQ20" s="3">
        <v>0</v>
      </c>
      <c r="ER20" s="3">
        <v>0</v>
      </c>
      <c r="ES20" s="3">
        <v>0.03</v>
      </c>
      <c r="ET20" s="3">
        <v>0.03</v>
      </c>
      <c r="EU20" s="3">
        <v>0.04</v>
      </c>
      <c r="EV20" s="3">
        <v>0.03</v>
      </c>
      <c r="EW20" s="3">
        <v>0.04</v>
      </c>
      <c r="EX20" s="3">
        <v>0.04</v>
      </c>
      <c r="EY20" s="3">
        <v>0.04</v>
      </c>
      <c r="EZ20" s="3">
        <f t="shared" si="11"/>
        <v>4.9800000000000013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2.23</v>
      </c>
      <c r="FQ20" s="3">
        <v>1.51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3.74</v>
      </c>
      <c r="FZ20" s="3">
        <v>0.69</v>
      </c>
      <c r="GA20" s="3">
        <v>0.86</v>
      </c>
      <c r="GB20" s="3">
        <v>0.66</v>
      </c>
      <c r="GC20" s="3">
        <v>0.93</v>
      </c>
      <c r="GD20" s="3">
        <v>0.98</v>
      </c>
      <c r="GE20" s="3">
        <v>0.72</v>
      </c>
      <c r="GF20" s="3">
        <v>1.21</v>
      </c>
      <c r="GG20" s="3">
        <v>0.73</v>
      </c>
      <c r="GH20" s="3">
        <v>0.95</v>
      </c>
      <c r="GI20" s="3">
        <v>0.8</v>
      </c>
      <c r="GJ20" s="3">
        <v>0.92</v>
      </c>
      <c r="GK20" s="3">
        <v>0.74</v>
      </c>
      <c r="GL20" s="3">
        <v>0.94</v>
      </c>
      <c r="GM20" s="3">
        <v>0.74</v>
      </c>
      <c r="GN20" s="3">
        <v>0.79</v>
      </c>
      <c r="GO20" s="3">
        <v>2.87</v>
      </c>
      <c r="GP20" s="3">
        <v>2.2999999999999998</v>
      </c>
      <c r="GQ20" s="3">
        <v>1.56</v>
      </c>
      <c r="GR20" s="3">
        <v>1.52</v>
      </c>
      <c r="GS20" s="3">
        <v>1.26</v>
      </c>
      <c r="GT20" s="3">
        <v>0.74</v>
      </c>
      <c r="GU20" s="3">
        <v>1.36</v>
      </c>
      <c r="GV20" s="3">
        <v>1.24</v>
      </c>
      <c r="GW20" s="3">
        <v>2.0699999999999998</v>
      </c>
      <c r="GX20" s="3">
        <f t="shared" si="13"/>
        <v>27.58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332</v>
      </c>
      <c r="C21" s="6" t="str">
        <f>TEXT(VLOOKUP(LEFT(B21,FIND("月",B21)),基本シート!$E$6:$F$17,2,FALSE)&amp;B21,"aaaa")</f>
        <v>水曜日</v>
      </c>
      <c r="D21" s="6"/>
      <c r="E21" s="6" t="str">
        <f t="shared" si="9"/>
        <v/>
      </c>
      <c r="F21" s="6" t="s">
        <v>296</v>
      </c>
      <c r="G21" s="6" t="s">
        <v>366</v>
      </c>
      <c r="H21" s="3">
        <v>0.97</v>
      </c>
      <c r="I21" s="3">
        <f>IF($E21="〇",H21*基本シート!$E$2,H21*VLOOKUP(LEFT(I$6,FIND("(",I$6)-1),基本シート!$B$6:$C$29,2,FALSE))</f>
        <v>28.964199999999998</v>
      </c>
      <c r="J21" s="3">
        <v>0.96</v>
      </c>
      <c r="K21" s="3">
        <f>IF($E21="〇",J21*基本シート!$E$2,J21*VLOOKUP(LEFT(K$6,FIND("(",K$6)-1),基本シート!$B$6:$C$29,2,FALSE))</f>
        <v>28.665599999999998</v>
      </c>
      <c r="L21" s="3">
        <v>0.98</v>
      </c>
      <c r="M21" s="3">
        <f>IF($E21="〇",L21*基本シート!$E$2,L21*VLOOKUP(LEFT(M$6,FIND("(",M$6)-1),基本シート!$B$6:$C$29,2,FALSE))</f>
        <v>29.262799999999999</v>
      </c>
      <c r="N21" s="3">
        <v>1</v>
      </c>
      <c r="O21" s="3">
        <f>IF($E21="〇",N21*基本シート!$E$2,N21*VLOOKUP(LEFT(O$6,FIND("(",O$6)-1),基本シート!$B$6:$C$29,2,FALSE))</f>
        <v>29.86</v>
      </c>
      <c r="P21" s="3">
        <v>1.73</v>
      </c>
      <c r="Q21" s="3">
        <f>IF($E21="〇",P21*基本シート!$E$2,P21*VLOOKUP(LEFT(Q$6,FIND("(",Q$6)-1),基本シート!$B$6:$C$29,2,FALSE))</f>
        <v>51.657800000000002</v>
      </c>
      <c r="R21" s="3">
        <v>2.29</v>
      </c>
      <c r="S21" s="3">
        <f>IF($E21="〇",R21*基本シート!$E$2,R21*VLOOKUP(LEFT(S$6,FIND("(",S$6)-1),基本シート!$B$6:$C$29,2,FALSE))</f>
        <v>68.379400000000004</v>
      </c>
      <c r="T21" s="3">
        <v>1.17</v>
      </c>
      <c r="U21" s="3">
        <f>IF($E21="〇",T21*基本シート!$E$2,T21*VLOOKUP(LEFT(U$6,FIND("(",U$6)-1),基本シート!$B$6:$C$29,2,FALSE))</f>
        <v>34.936199999999999</v>
      </c>
      <c r="V21" s="3">
        <v>1.24</v>
      </c>
      <c r="W21" s="3">
        <f>IF($E21="〇",V21*基本シート!$E$2,V21*VLOOKUP(LEFT(W$6,FIND("(",W$6)-1),基本シート!$B$6:$C$29,2,FALSE))</f>
        <v>45.706400000000002</v>
      </c>
      <c r="X21" s="3">
        <v>1.04</v>
      </c>
      <c r="Y21" s="3">
        <f>IF($E21="〇",X21*基本シート!$E$2,X21*VLOOKUP(LEFT(Y$6,FIND("(",Y$6)-1),基本シート!$B$6:$C$29,2,FALSE))</f>
        <v>38.334400000000002</v>
      </c>
      <c r="Z21" s="3">
        <v>0.69</v>
      </c>
      <c r="AA21" s="3">
        <f>IF($E21="〇",Z21*基本シート!$E$2,Z21*VLOOKUP(LEFT(AA$6,FIND("(",AA$6)-1),基本シート!$B$6:$C$29,2,FALSE))</f>
        <v>25.433399999999999</v>
      </c>
      <c r="AB21" s="3">
        <v>1.93</v>
      </c>
      <c r="AC21" s="3">
        <f>IF($E21="〇",AB21*基本シート!$E$2,AB21*VLOOKUP(LEFT(AC$6,FIND("(",AC$6)-1),基本シート!$B$6:$C$29,2,FALSE))</f>
        <v>71.139799999999994</v>
      </c>
      <c r="AD21" s="3">
        <v>0.88</v>
      </c>
      <c r="AE21" s="3">
        <f>IF($E21="〇",AD21*基本シート!$E$2,AD21*VLOOKUP(LEFT(AE$6,FIND("(",AE$6)-1),基本シート!$B$6:$C$29,2,FALSE))</f>
        <v>32.436799999999998</v>
      </c>
      <c r="AF21" s="3">
        <v>0.96</v>
      </c>
      <c r="AG21" s="3">
        <f>IF($E21="〇",AF21*基本シート!$E$2,AF21*VLOOKUP(LEFT(AG$6,FIND("(",AG$6)-1),基本シート!$B$6:$C$29,2,FALSE))</f>
        <v>35.385599999999997</v>
      </c>
      <c r="AH21" s="3">
        <v>0.96</v>
      </c>
      <c r="AI21" s="3">
        <f>IF($E21="〇",AH21*基本シート!$E$2,AH21*VLOOKUP(LEFT(AI$6,FIND("(",AI$6)-1),基本シート!$B$6:$C$29,2,FALSE))</f>
        <v>35.385599999999997</v>
      </c>
      <c r="AJ21" s="3">
        <v>1.21</v>
      </c>
      <c r="AK21" s="3">
        <f>IF($E21="〇",AJ21*基本シート!$E$2,AJ21*VLOOKUP(LEFT(AK$6,FIND("(",AK$6)-1),基本シート!$B$6:$C$29,2,FALSE))</f>
        <v>44.6006</v>
      </c>
      <c r="AL21" s="3">
        <v>3.21</v>
      </c>
      <c r="AM21" s="3">
        <f>IF($E21="〇",AL21*基本シート!$E$2,AL21*VLOOKUP(LEFT(AM$6,FIND("(",AM$6)-1),基本シート!$B$6:$C$29,2,FALSE))</f>
        <v>118.3206</v>
      </c>
      <c r="AN21" s="3">
        <v>2.86</v>
      </c>
      <c r="AO21" s="3">
        <f>IF($E21="〇",AN21*基本シート!$E$2,AN21*VLOOKUP(LEFT(AO$6,FIND("(",AO$6)-1),基本シート!$B$6:$C$29,2,FALSE))</f>
        <v>105.41959999999999</v>
      </c>
      <c r="AP21" s="3">
        <v>2.31</v>
      </c>
      <c r="AQ21" s="3">
        <f>IF($E21="〇",AP21*基本シート!$E$2,AP21*VLOOKUP(LEFT(AQ$6,FIND("(",AQ$6)-1),基本シート!$B$6:$C$29,2,FALSE))</f>
        <v>85.146600000000007</v>
      </c>
      <c r="AR21" s="3">
        <v>1.67</v>
      </c>
      <c r="AS21" s="3">
        <f>IF($E21="〇",AR21*基本シート!$E$2,AR21*VLOOKUP(LEFT(AS$6,FIND("(",AS$6)-1),基本シート!$B$6:$C$29,2,FALSE))</f>
        <v>61.556199999999997</v>
      </c>
      <c r="AT21" s="3">
        <v>1.66</v>
      </c>
      <c r="AU21" s="3">
        <f>IF($E21="〇",AT21*基本シート!$E$2,AT21*VLOOKUP(LEFT(AU$6,FIND("(",AU$6)-1),基本シート!$B$6:$C$29,2,FALSE))</f>
        <v>61.187599999999996</v>
      </c>
      <c r="AV21" s="3">
        <v>1.51</v>
      </c>
      <c r="AW21" s="3">
        <f>IF($E21="〇",AV21*基本シート!$E$2,AV21*VLOOKUP(LEFT(AW$6,FIND("(",AW$6)-1),基本シート!$B$6:$C$29,2,FALSE))</f>
        <v>55.6586</v>
      </c>
      <c r="AX21" s="3">
        <v>1.58</v>
      </c>
      <c r="AY21" s="3">
        <f>IF($E21="〇",AX21*基本シート!$E$2,AX21*VLOOKUP(LEFT(AY$6,FIND("(",AY$6)-1),基本シート!$B$6:$C$29,2,FALSE))</f>
        <v>47.178800000000003</v>
      </c>
      <c r="AZ21" s="3">
        <v>1.2</v>
      </c>
      <c r="BA21" s="3">
        <f>IF($E21="〇",AZ21*基本シート!$E$2,AZ21*VLOOKUP(LEFT(BA$6,FIND("(",BA$6)-1),基本シート!$B$6:$C$29,2,FALSE))</f>
        <v>35.832000000000001</v>
      </c>
      <c r="BB21" s="3">
        <v>2.2999999999999998</v>
      </c>
      <c r="BC21" s="3">
        <f>IF($E21="〇",BB21*基本シート!$E$2,BB21*VLOOKUP(LEFT(BC$6,FIND("(",BC$6)-1),基本シート!$B$6:$C$29,2,FALSE))</f>
        <v>68.677999999999997</v>
      </c>
      <c r="BD21" s="3">
        <f t="shared" si="7"/>
        <v>36.31</v>
      </c>
      <c r="BE21" s="3">
        <f t="shared" si="8"/>
        <v>1239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3">
        <v>0.01</v>
      </c>
      <c r="BP21" s="3">
        <v>0.02</v>
      </c>
      <c r="BQ21" s="3">
        <v>0.03</v>
      </c>
      <c r="BR21" s="3">
        <v>0.06</v>
      </c>
      <c r="BS21" s="3">
        <v>0.05</v>
      </c>
      <c r="BT21" s="3">
        <v>0.05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0.03</v>
      </c>
      <c r="EC21" s="3">
        <v>0.04</v>
      </c>
      <c r="ED21" s="3">
        <v>0.04</v>
      </c>
      <c r="EE21" s="3">
        <v>0.03</v>
      </c>
      <c r="EF21" s="3">
        <v>0.04</v>
      </c>
      <c r="EG21" s="3">
        <v>0.04</v>
      </c>
      <c r="EH21" s="3">
        <v>0.04</v>
      </c>
      <c r="EI21" s="3">
        <v>0.03</v>
      </c>
      <c r="EJ21" s="3">
        <v>0.01</v>
      </c>
      <c r="EK21" s="3">
        <v>0.01</v>
      </c>
      <c r="EL21" s="3">
        <v>0.02</v>
      </c>
      <c r="EM21" s="3">
        <v>0.01</v>
      </c>
      <c r="EN21" s="3">
        <v>0.01</v>
      </c>
      <c r="EO21" s="3">
        <v>0</v>
      </c>
      <c r="EP21" s="3">
        <v>0.02</v>
      </c>
      <c r="EQ21" s="3">
        <v>0.01</v>
      </c>
      <c r="ER21" s="3">
        <v>0.04</v>
      </c>
      <c r="ES21" s="3">
        <v>0.04</v>
      </c>
      <c r="ET21" s="3">
        <v>0.03</v>
      </c>
      <c r="EU21" s="3">
        <v>0.04</v>
      </c>
      <c r="EV21" s="3">
        <v>0.04</v>
      </c>
      <c r="EW21" s="3">
        <v>0.04</v>
      </c>
      <c r="EX21" s="3">
        <v>0.04</v>
      </c>
      <c r="EY21" s="3">
        <v>0.04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0.94</v>
      </c>
      <c r="GA21" s="3">
        <v>0.92</v>
      </c>
      <c r="GB21" s="3">
        <v>0.94</v>
      </c>
      <c r="GC21" s="3">
        <v>0.97</v>
      </c>
      <c r="GD21" s="3">
        <v>1.69</v>
      </c>
      <c r="GE21" s="3">
        <v>2.25</v>
      </c>
      <c r="GF21" s="3">
        <v>1.1299999999999999</v>
      </c>
      <c r="GG21" s="3">
        <v>1.21</v>
      </c>
      <c r="GH21" s="3">
        <v>1.03</v>
      </c>
      <c r="GI21" s="3">
        <v>0.69</v>
      </c>
      <c r="GJ21" s="3">
        <v>1.93</v>
      </c>
      <c r="GK21" s="3">
        <v>0.9</v>
      </c>
      <c r="GL21" s="3">
        <v>1.01</v>
      </c>
      <c r="GM21" s="3">
        <v>1.01</v>
      </c>
      <c r="GN21" s="3">
        <v>1.24</v>
      </c>
      <c r="GO21" s="3">
        <v>3.2</v>
      </c>
      <c r="GP21" s="3">
        <v>2.82</v>
      </c>
      <c r="GQ21" s="3">
        <v>2.27</v>
      </c>
      <c r="GR21" s="3">
        <v>1.64</v>
      </c>
      <c r="GS21" s="3">
        <v>1.62</v>
      </c>
      <c r="GT21" s="3">
        <v>1.47</v>
      </c>
      <c r="GU21" s="3">
        <v>1.54</v>
      </c>
      <c r="GV21" s="3">
        <v>1.1599999999999999</v>
      </c>
      <c r="GW21" s="3">
        <v>2.2599999999999998</v>
      </c>
      <c r="GX21" s="3">
        <f t="shared" si="13"/>
        <v>35.839999999999996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333</v>
      </c>
      <c r="C22" s="6" t="str">
        <f>TEXT(VLOOKUP(LEFT(B22,FIND("月",B22)),基本シート!$E$6:$F$17,2,FALSE)&amp;B22,"aaaa")</f>
        <v>木曜日</v>
      </c>
      <c r="D22" s="6"/>
      <c r="E22" s="6" t="str">
        <f t="shared" si="9"/>
        <v/>
      </c>
      <c r="F22" s="6" t="s">
        <v>296</v>
      </c>
      <c r="G22" s="6" t="s">
        <v>296</v>
      </c>
      <c r="H22" s="3">
        <v>1.1000000000000001</v>
      </c>
      <c r="I22" s="3">
        <f>IF($E22="〇",H22*基本シート!$E$2,H22*VLOOKUP(LEFT(I$6,FIND("(",I$6)-1),基本シート!$B$6:$C$29,2,FALSE))</f>
        <v>32.846000000000004</v>
      </c>
      <c r="J22" s="3">
        <v>1.1000000000000001</v>
      </c>
      <c r="K22" s="3">
        <f>IF($E22="〇",J22*基本シート!$E$2,J22*VLOOKUP(LEFT(K$6,FIND("(",K$6)-1),基本シート!$B$6:$C$29,2,FALSE))</f>
        <v>32.846000000000004</v>
      </c>
      <c r="L22" s="3">
        <v>1.47</v>
      </c>
      <c r="M22" s="3">
        <f>IF($E22="〇",L22*基本シート!$E$2,L22*VLOOKUP(LEFT(M$6,FIND("(",M$6)-1),基本シート!$B$6:$C$29,2,FALSE))</f>
        <v>43.894199999999998</v>
      </c>
      <c r="N22" s="3">
        <v>1.25</v>
      </c>
      <c r="O22" s="3">
        <f>IF($E22="〇",N22*基本シート!$E$2,N22*VLOOKUP(LEFT(O$6,FIND("(",O$6)-1),基本シート!$B$6:$C$29,2,FALSE))</f>
        <v>37.325000000000003</v>
      </c>
      <c r="P22" s="3">
        <v>1.39</v>
      </c>
      <c r="Q22" s="3">
        <f>IF($E22="〇",P22*基本シート!$E$2,P22*VLOOKUP(LEFT(Q$6,FIND("(",Q$6)-1),基本シート!$B$6:$C$29,2,FALSE))</f>
        <v>41.505399999999995</v>
      </c>
      <c r="R22" s="3">
        <v>2.35</v>
      </c>
      <c r="S22" s="3">
        <f>IF($E22="〇",R22*基本シート!$E$2,R22*VLOOKUP(LEFT(S$6,FIND("(",S$6)-1),基本シート!$B$6:$C$29,2,FALSE))</f>
        <v>70.171000000000006</v>
      </c>
      <c r="T22" s="3">
        <v>1.35</v>
      </c>
      <c r="U22" s="3">
        <f>IF($E22="〇",T22*基本シート!$E$2,T22*VLOOKUP(LEFT(U$6,FIND("(",U$6)-1),基本シート!$B$6:$C$29,2,FALSE))</f>
        <v>40.311</v>
      </c>
      <c r="V22" s="3">
        <v>1.1100000000000001</v>
      </c>
      <c r="W22" s="3">
        <f>IF($E22="〇",V22*基本シート!$E$2,V22*VLOOKUP(LEFT(W$6,FIND("(",W$6)-1),基本シート!$B$6:$C$29,2,FALSE))</f>
        <v>40.9146</v>
      </c>
      <c r="X22" s="3">
        <v>1.05</v>
      </c>
      <c r="Y22" s="3">
        <f>IF($E22="〇",X22*基本シート!$E$2,X22*VLOOKUP(LEFT(Y$6,FIND("(",Y$6)-1),基本シート!$B$6:$C$29,2,FALSE))</f>
        <v>38.703000000000003</v>
      </c>
      <c r="Z22" s="3">
        <v>0.9</v>
      </c>
      <c r="AA22" s="3">
        <f>IF($E22="〇",Z22*基本シート!$E$2,Z22*VLOOKUP(LEFT(AA$6,FIND("(",AA$6)-1),基本シート!$B$6:$C$29,2,FALSE))</f>
        <v>33.173999999999999</v>
      </c>
      <c r="AB22" s="3">
        <v>0.75</v>
      </c>
      <c r="AC22" s="3">
        <f>IF($E22="〇",AB22*基本シート!$E$2,AB22*VLOOKUP(LEFT(AC$6,FIND("(",AC$6)-1),基本シート!$B$6:$C$29,2,FALSE))</f>
        <v>27.645</v>
      </c>
      <c r="AD22" s="3">
        <v>1.19</v>
      </c>
      <c r="AE22" s="3">
        <f>IF($E22="〇",AD22*基本シート!$E$2,AD22*VLOOKUP(LEFT(AE$6,FIND("(",AE$6)-1),基本シート!$B$6:$C$29,2,FALSE))</f>
        <v>43.863399999999999</v>
      </c>
      <c r="AF22" s="3">
        <v>1.21</v>
      </c>
      <c r="AG22" s="3">
        <f>IF($E22="〇",AF22*基本シート!$E$2,AF22*VLOOKUP(LEFT(AG$6,FIND("(",AG$6)-1),基本シート!$B$6:$C$29,2,FALSE))</f>
        <v>44.6006</v>
      </c>
      <c r="AH22" s="3">
        <v>0.71</v>
      </c>
      <c r="AI22" s="3">
        <f>IF($E22="〇",AH22*基本シート!$E$2,AH22*VLOOKUP(LEFT(AI$6,FIND("(",AI$6)-1),基本シート!$B$6:$C$29,2,FALSE))</f>
        <v>26.170599999999997</v>
      </c>
      <c r="AJ22" s="3">
        <v>0.94</v>
      </c>
      <c r="AK22" s="3">
        <f>IF($E22="〇",AJ22*基本シート!$E$2,AJ22*VLOOKUP(LEFT(AK$6,FIND("(",AK$6)-1),基本シート!$B$6:$C$29,2,FALSE))</f>
        <v>34.648399999999995</v>
      </c>
      <c r="AL22" s="3">
        <v>2.78</v>
      </c>
      <c r="AM22" s="3">
        <f>IF($E22="〇",AL22*基本シート!$E$2,AL22*VLOOKUP(LEFT(AM$6,FIND("(",AM$6)-1),基本シート!$B$6:$C$29,2,FALSE))</f>
        <v>102.4708</v>
      </c>
      <c r="AN22" s="3">
        <v>3.04</v>
      </c>
      <c r="AO22" s="3">
        <f>IF($E22="〇",AN22*基本シート!$E$2,AN22*VLOOKUP(LEFT(AO$6,FIND("(",AO$6)-1),基本シート!$B$6:$C$29,2,FALSE))</f>
        <v>112.0544</v>
      </c>
      <c r="AP22" s="3">
        <v>2.62</v>
      </c>
      <c r="AQ22" s="3">
        <f>IF($E22="〇",AP22*基本シート!$E$2,AP22*VLOOKUP(LEFT(AQ$6,FIND("(",AQ$6)-1),基本シート!$B$6:$C$29,2,FALSE))</f>
        <v>96.5732</v>
      </c>
      <c r="AR22" s="3">
        <v>1.22</v>
      </c>
      <c r="AS22" s="3">
        <f>IF($E22="〇",AR22*基本シート!$E$2,AR22*VLOOKUP(LEFT(AS$6,FIND("(",AS$6)-1),基本シート!$B$6:$C$29,2,FALSE))</f>
        <v>44.969200000000001</v>
      </c>
      <c r="AT22" s="3">
        <v>1.99</v>
      </c>
      <c r="AU22" s="3">
        <f>IF($E22="〇",AT22*基本シート!$E$2,AT22*VLOOKUP(LEFT(AU$6,FIND("(",AU$6)-1),基本シート!$B$6:$C$29,2,FALSE))</f>
        <v>73.351399999999998</v>
      </c>
      <c r="AV22" s="3">
        <v>1.55</v>
      </c>
      <c r="AW22" s="3">
        <f>IF($E22="〇",AV22*基本シート!$E$2,AV22*VLOOKUP(LEFT(AW$6,FIND("(",AW$6)-1),基本シート!$B$6:$C$29,2,FALSE))</f>
        <v>57.133000000000003</v>
      </c>
      <c r="AX22" s="3">
        <v>1.63</v>
      </c>
      <c r="AY22" s="3">
        <f>IF($E22="〇",AX22*基本シート!$E$2,AX22*VLOOKUP(LEFT(AY$6,FIND("(",AY$6)-1),基本シート!$B$6:$C$29,2,FALSE))</f>
        <v>48.671799999999998</v>
      </c>
      <c r="AZ22" s="3">
        <v>1.1299999999999999</v>
      </c>
      <c r="BA22" s="3">
        <f>IF($E22="〇",AZ22*基本シート!$E$2,AZ22*VLOOKUP(LEFT(BA$6,FIND("(",BA$6)-1),基本シート!$B$6:$C$29,2,FALSE))</f>
        <v>33.741799999999998</v>
      </c>
      <c r="BB22" s="3">
        <v>2.2999999999999998</v>
      </c>
      <c r="BC22" s="3">
        <f>IF($E22="〇",BB22*基本シート!$E$2,BB22*VLOOKUP(LEFT(BC$6,FIND("(",BC$6)-1),基本シート!$B$6:$C$29,2,FALSE))</f>
        <v>68.677999999999997</v>
      </c>
      <c r="BD22" s="3">
        <f t="shared" si="7"/>
        <v>36.130000000000003</v>
      </c>
      <c r="BE22" s="3">
        <f t="shared" si="8"/>
        <v>1226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0.04</v>
      </c>
      <c r="BO22" s="3">
        <v>0.18</v>
      </c>
      <c r="BP22" s="3">
        <v>0.3</v>
      </c>
      <c r="BQ22" s="3">
        <v>0.24</v>
      </c>
      <c r="BR22" s="3">
        <v>0.22</v>
      </c>
      <c r="BS22" s="3">
        <v>0.34</v>
      </c>
      <c r="BT22" s="3">
        <v>0.22</v>
      </c>
      <c r="BU22" s="3">
        <v>0.18</v>
      </c>
      <c r="BV22" s="3">
        <v>0.01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0.04</v>
      </c>
      <c r="EI22" s="3">
        <v>0.02</v>
      </c>
      <c r="EJ22" s="3">
        <v>0.01</v>
      </c>
      <c r="EK22" s="3">
        <v>0.01</v>
      </c>
      <c r="EL22" s="3">
        <v>0.01</v>
      </c>
      <c r="EM22" s="3">
        <v>0.01</v>
      </c>
      <c r="EN22" s="3">
        <v>0</v>
      </c>
      <c r="EO22" s="3">
        <v>0.04</v>
      </c>
      <c r="EP22" s="3">
        <v>0</v>
      </c>
      <c r="EQ22" s="3">
        <v>0</v>
      </c>
      <c r="ER22" s="3">
        <v>0.01</v>
      </c>
      <c r="ES22" s="3">
        <v>0.03</v>
      </c>
      <c r="ET22" s="3">
        <v>0.03</v>
      </c>
      <c r="EU22" s="3">
        <v>0.04</v>
      </c>
      <c r="EV22" s="3">
        <v>0.04</v>
      </c>
      <c r="EW22" s="3">
        <v>0.03</v>
      </c>
      <c r="EX22" s="3">
        <v>0.04</v>
      </c>
      <c r="EY22" s="3">
        <v>0.04</v>
      </c>
      <c r="EZ22" s="3">
        <f t="shared" si="11"/>
        <v>0.64000000000000012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</v>
      </c>
      <c r="FZ22" s="3">
        <v>1.06</v>
      </c>
      <c r="GA22" s="3">
        <v>1.06</v>
      </c>
      <c r="GB22" s="3">
        <v>1.43</v>
      </c>
      <c r="GC22" s="3">
        <v>1.21</v>
      </c>
      <c r="GD22" s="3">
        <v>1.35</v>
      </c>
      <c r="GE22" s="3">
        <v>2.31</v>
      </c>
      <c r="GF22" s="3">
        <v>1.31</v>
      </c>
      <c r="GG22" s="3">
        <v>1.0900000000000001</v>
      </c>
      <c r="GH22" s="3">
        <v>1.08</v>
      </c>
      <c r="GI22" s="3">
        <v>1.07</v>
      </c>
      <c r="GJ22" s="3">
        <v>1.04</v>
      </c>
      <c r="GK22" s="3">
        <v>1.42</v>
      </c>
      <c r="GL22" s="3">
        <v>1.43</v>
      </c>
      <c r="GM22" s="3">
        <v>1.01</v>
      </c>
      <c r="GN22" s="3">
        <v>1.1599999999999999</v>
      </c>
      <c r="GO22" s="3">
        <v>2.96</v>
      </c>
      <c r="GP22" s="3">
        <v>3.04</v>
      </c>
      <c r="GQ22" s="3">
        <v>2.59</v>
      </c>
      <c r="GR22" s="3">
        <v>1.19</v>
      </c>
      <c r="GS22" s="3">
        <v>1.95</v>
      </c>
      <c r="GT22" s="3">
        <v>1.51</v>
      </c>
      <c r="GU22" s="3">
        <v>1.6</v>
      </c>
      <c r="GV22" s="3">
        <v>1.0900000000000001</v>
      </c>
      <c r="GW22" s="3">
        <v>2.2599999999999998</v>
      </c>
      <c r="GX22" s="3">
        <f t="shared" si="13"/>
        <v>37.220000000000006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334</v>
      </c>
      <c r="C23" s="6" t="str">
        <f>TEXT(VLOOKUP(LEFT(B23,FIND("月",B23)),基本シート!$E$6:$F$17,2,FALSE)&amp;B23,"aaaa")</f>
        <v>金曜日</v>
      </c>
      <c r="D23" s="6"/>
      <c r="E23" s="6" t="str">
        <f t="shared" si="9"/>
        <v/>
      </c>
      <c r="F23" s="6" t="s">
        <v>296</v>
      </c>
      <c r="G23" s="6" t="s">
        <v>298</v>
      </c>
      <c r="H23" s="3">
        <v>1.18</v>
      </c>
      <c r="I23" s="3">
        <f>IF($E23="〇",H23*基本シート!$E$2,H23*VLOOKUP(LEFT(I$6,FIND("(",I$6)-1),基本シート!$B$6:$C$29,2,FALSE))</f>
        <v>35.2348</v>
      </c>
      <c r="J23" s="3">
        <v>1.1599999999999999</v>
      </c>
      <c r="K23" s="3">
        <f>IF($E23="〇",J23*基本シート!$E$2,J23*VLOOKUP(LEFT(K$6,FIND("(",K$6)-1),基本シート!$B$6:$C$29,2,FALSE))</f>
        <v>34.637599999999999</v>
      </c>
      <c r="L23" s="3">
        <v>1.08</v>
      </c>
      <c r="M23" s="3">
        <f>IF($E23="〇",L23*基本シート!$E$2,L23*VLOOKUP(LEFT(M$6,FIND("(",M$6)-1),基本シート!$B$6:$C$29,2,FALSE))</f>
        <v>32.248800000000003</v>
      </c>
      <c r="N23" s="3">
        <v>1.1499999999999999</v>
      </c>
      <c r="O23" s="3">
        <f>IF($E23="〇",N23*基本シート!$E$2,N23*VLOOKUP(LEFT(O$6,FIND("(",O$6)-1),基本シート!$B$6:$C$29,2,FALSE))</f>
        <v>34.338999999999999</v>
      </c>
      <c r="P23" s="3">
        <v>2.68</v>
      </c>
      <c r="Q23" s="3">
        <f>IF($E23="〇",P23*基本シート!$E$2,P23*VLOOKUP(LEFT(Q$6,FIND("(",Q$6)-1),基本シート!$B$6:$C$29,2,FALSE))</f>
        <v>80.024799999999999</v>
      </c>
      <c r="R23" s="3">
        <v>1.3</v>
      </c>
      <c r="S23" s="3">
        <f>IF($E23="〇",R23*基本シート!$E$2,R23*VLOOKUP(LEFT(S$6,FIND("(",S$6)-1),基本シート!$B$6:$C$29,2,FALSE))</f>
        <v>38.817999999999998</v>
      </c>
      <c r="T23" s="3">
        <v>1.39</v>
      </c>
      <c r="U23" s="3">
        <f>IF($E23="〇",T23*基本シート!$E$2,T23*VLOOKUP(LEFT(U$6,FIND("(",U$6)-1),基本シート!$B$6:$C$29,2,FALSE))</f>
        <v>41.505399999999995</v>
      </c>
      <c r="V23" s="3">
        <v>1.84</v>
      </c>
      <c r="W23" s="3">
        <f>IF($E23="〇",V23*基本シート!$E$2,V23*VLOOKUP(LEFT(W$6,FIND("(",W$6)-1),基本シート!$B$6:$C$29,2,FALSE))</f>
        <v>67.822400000000002</v>
      </c>
      <c r="X23" s="3">
        <v>2.56</v>
      </c>
      <c r="Y23" s="3">
        <f>IF($E23="〇",X23*基本シート!$E$2,X23*VLOOKUP(LEFT(Y$6,FIND("(",Y$6)-1),基本シート!$B$6:$C$29,2,FALSE))</f>
        <v>94.361599999999996</v>
      </c>
      <c r="Z23" s="3">
        <v>1.06</v>
      </c>
      <c r="AA23" s="3">
        <f>IF($E23="〇",Z23*基本シート!$E$2,Z23*VLOOKUP(LEFT(AA$6,FIND("(",AA$6)-1),基本シート!$B$6:$C$29,2,FALSE))</f>
        <v>39.071600000000004</v>
      </c>
      <c r="AB23" s="3">
        <v>0.99</v>
      </c>
      <c r="AC23" s="3">
        <f>IF($E23="〇",AB23*基本シート!$E$2,AB23*VLOOKUP(LEFT(AC$6,FIND("(",AC$6)-1),基本シート!$B$6:$C$29,2,FALSE))</f>
        <v>36.491399999999999</v>
      </c>
      <c r="AD23" s="3">
        <v>1.1200000000000001</v>
      </c>
      <c r="AE23" s="3">
        <f>IF($E23="〇",AD23*基本シート!$E$2,AD23*VLOOKUP(LEFT(AE$6,FIND("(",AE$6)-1),基本シート!$B$6:$C$29,2,FALSE))</f>
        <v>41.283200000000001</v>
      </c>
      <c r="AF23" s="3">
        <v>1.17</v>
      </c>
      <c r="AG23" s="3">
        <f>IF($E23="〇",AF23*基本シート!$E$2,AF23*VLOOKUP(LEFT(AG$6,FIND("(",AG$6)-1),基本シート!$B$6:$C$29,2,FALSE))</f>
        <v>43.126199999999997</v>
      </c>
      <c r="AH23" s="3">
        <v>1.36</v>
      </c>
      <c r="AI23" s="3">
        <f>IF($E23="〇",AH23*基本シート!$E$2,AH23*VLOOKUP(LEFT(AI$6,FIND("(",AI$6)-1),基本シート!$B$6:$C$29,2,FALSE))</f>
        <v>50.129600000000003</v>
      </c>
      <c r="AJ23" s="3">
        <v>1.73</v>
      </c>
      <c r="AK23" s="3">
        <f>IF($E23="〇",AJ23*基本シート!$E$2,AJ23*VLOOKUP(LEFT(AK$6,FIND("(",AK$6)-1),基本シート!$B$6:$C$29,2,FALSE))</f>
        <v>63.767800000000001</v>
      </c>
      <c r="AL23" s="3">
        <v>3.5</v>
      </c>
      <c r="AM23" s="3">
        <f>IF($E23="〇",AL23*基本シート!$E$2,AL23*VLOOKUP(LEFT(AM$6,FIND("(",AM$6)-1),基本シート!$B$6:$C$29,2,FALSE))</f>
        <v>129.01</v>
      </c>
      <c r="AN23" s="3">
        <v>2.82</v>
      </c>
      <c r="AO23" s="3">
        <f>IF($E23="〇",AN23*基本シート!$E$2,AN23*VLOOKUP(LEFT(AO$6,FIND("(",AO$6)-1),基本シート!$B$6:$C$29,2,FALSE))</f>
        <v>103.94519999999999</v>
      </c>
      <c r="AP23" s="3">
        <v>1.92</v>
      </c>
      <c r="AQ23" s="3">
        <f>IF($E23="〇",AP23*基本シート!$E$2,AP23*VLOOKUP(LEFT(AQ$6,FIND("(",AQ$6)-1),基本シート!$B$6:$C$29,2,FALSE))</f>
        <v>70.771199999999993</v>
      </c>
      <c r="AR23" s="3">
        <v>1.27</v>
      </c>
      <c r="AS23" s="3">
        <f>IF($E23="〇",AR23*基本シート!$E$2,AR23*VLOOKUP(LEFT(AS$6,FIND("(",AS$6)-1),基本シート!$B$6:$C$29,2,FALSE))</f>
        <v>46.812199999999997</v>
      </c>
      <c r="AT23" s="3">
        <v>1.76</v>
      </c>
      <c r="AU23" s="3">
        <f>IF($E23="〇",AT23*基本シート!$E$2,AT23*VLOOKUP(LEFT(AU$6,FIND("(",AU$6)-1),基本シート!$B$6:$C$29,2,FALSE))</f>
        <v>64.873599999999996</v>
      </c>
      <c r="AV23" s="3">
        <v>1.43</v>
      </c>
      <c r="AW23" s="3">
        <f>IF($E23="〇",AV23*基本シート!$E$2,AV23*VLOOKUP(LEFT(AW$6,FIND("(",AW$6)-1),基本シート!$B$6:$C$29,2,FALSE))</f>
        <v>52.709799999999994</v>
      </c>
      <c r="AX23" s="3">
        <v>1.19</v>
      </c>
      <c r="AY23" s="3">
        <f>IF($E23="〇",AX23*基本シート!$E$2,AX23*VLOOKUP(LEFT(AY$6,FIND("(",AY$6)-1),基本シート!$B$6:$C$29,2,FALSE))</f>
        <v>35.5334</v>
      </c>
      <c r="AZ23" s="3">
        <v>1.28</v>
      </c>
      <c r="BA23" s="3">
        <f>IF($E23="〇",AZ23*基本シート!$E$2,AZ23*VLOOKUP(LEFT(BA$6,FIND("(",BA$6)-1),基本シート!$B$6:$C$29,2,FALSE))</f>
        <v>38.220799999999997</v>
      </c>
      <c r="BB23" s="3">
        <v>2.34</v>
      </c>
      <c r="BC23" s="3">
        <f>IF($E23="〇",BB23*基本シート!$E$2,BB23*VLOOKUP(LEFT(BC$6,FIND("(",BC$6)-1),基本シート!$B$6:$C$29,2,FALSE))</f>
        <v>69.872399999999999</v>
      </c>
      <c r="BD23" s="3">
        <f t="shared" si="7"/>
        <v>39.28</v>
      </c>
      <c r="BE23" s="3">
        <f t="shared" si="8"/>
        <v>1345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</v>
      </c>
      <c r="BO23" s="3">
        <v>0</v>
      </c>
      <c r="BP23" s="3">
        <v>0</v>
      </c>
      <c r="BQ23" s="3">
        <v>0</v>
      </c>
      <c r="BR23" s="3">
        <v>0.01</v>
      </c>
      <c r="BS23" s="3">
        <v>0</v>
      </c>
      <c r="BT23" s="3">
        <v>0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>
        <v>0.03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0.04</v>
      </c>
      <c r="EI23" s="3">
        <v>0.04</v>
      </c>
      <c r="EJ23" s="3">
        <v>0.02</v>
      </c>
      <c r="EK23" s="3">
        <v>0.02</v>
      </c>
      <c r="EL23" s="3">
        <v>0</v>
      </c>
      <c r="EM23" s="3">
        <v>0.02</v>
      </c>
      <c r="EN23" s="3">
        <v>0.01</v>
      </c>
      <c r="EO23" s="3">
        <v>0.01</v>
      </c>
      <c r="EP23" s="3">
        <v>0.01</v>
      </c>
      <c r="EQ23" s="3">
        <v>0.03</v>
      </c>
      <c r="ER23" s="3">
        <v>0.05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0.05</v>
      </c>
      <c r="EY23" s="3">
        <v>0.03</v>
      </c>
      <c r="EZ23" s="3">
        <f t="shared" si="11"/>
        <v>0.76000000000000023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0</v>
      </c>
      <c r="FZ23" s="3">
        <v>1.1499999999999999</v>
      </c>
      <c r="GA23" s="3">
        <v>1.1200000000000001</v>
      </c>
      <c r="GB23" s="3">
        <v>1.04</v>
      </c>
      <c r="GC23" s="3">
        <v>1.1100000000000001</v>
      </c>
      <c r="GD23" s="3">
        <v>2.64</v>
      </c>
      <c r="GE23" s="3">
        <v>1.26</v>
      </c>
      <c r="GF23" s="3">
        <v>1.35</v>
      </c>
      <c r="GG23" s="3">
        <v>1.8</v>
      </c>
      <c r="GH23" s="3">
        <v>2.54</v>
      </c>
      <c r="GI23" s="3">
        <v>1.04</v>
      </c>
      <c r="GJ23" s="3">
        <v>0.99</v>
      </c>
      <c r="GK23" s="3">
        <v>1.1000000000000001</v>
      </c>
      <c r="GL23" s="3">
        <v>1.17</v>
      </c>
      <c r="GM23" s="3">
        <v>1.35</v>
      </c>
      <c r="GN23" s="3">
        <v>1.72</v>
      </c>
      <c r="GO23" s="3">
        <v>3.47</v>
      </c>
      <c r="GP23" s="3">
        <v>2.77</v>
      </c>
      <c r="GQ23" s="3">
        <v>1.88</v>
      </c>
      <c r="GR23" s="3">
        <v>1.23</v>
      </c>
      <c r="GS23" s="3">
        <v>1.72</v>
      </c>
      <c r="GT23" s="3">
        <v>1.39</v>
      </c>
      <c r="GU23" s="3">
        <v>1.1499999999999999</v>
      </c>
      <c r="GV23" s="3">
        <v>1.23</v>
      </c>
      <c r="GW23" s="3">
        <v>2.31</v>
      </c>
      <c r="GX23" s="3">
        <f t="shared" si="13"/>
        <v>38.53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335</v>
      </c>
      <c r="C24" s="6" t="str">
        <f>TEXT(VLOOKUP(LEFT(B24,FIND("月",B24)),基本シート!$E$6:$F$17,2,FALSE)&amp;B24,"aaaa")</f>
        <v>土曜日</v>
      </c>
      <c r="D24" s="6"/>
      <c r="E24" s="6" t="str">
        <f t="shared" si="9"/>
        <v>〇</v>
      </c>
      <c r="F24" s="6" t="s">
        <v>296</v>
      </c>
      <c r="G24" s="6" t="s">
        <v>298</v>
      </c>
      <c r="H24" s="3">
        <v>1.1499999999999999</v>
      </c>
      <c r="I24" s="3">
        <f>IF($E24="〇",H24*基本シート!$E$2,H24*VLOOKUP(LEFT(I$6,FIND("(",I$6)-1),基本シート!$B$6:$C$29,2,FALSE))</f>
        <v>34.338999999999999</v>
      </c>
      <c r="J24" s="3">
        <v>1.1499999999999999</v>
      </c>
      <c r="K24" s="3">
        <f>IF($E24="〇",J24*基本シート!$E$2,J24*VLOOKUP(LEFT(K$6,FIND("(",K$6)-1),基本シート!$B$6:$C$29,2,FALSE))</f>
        <v>34.338999999999999</v>
      </c>
      <c r="L24" s="3">
        <v>1.21</v>
      </c>
      <c r="M24" s="3">
        <f>IF($E24="〇",L24*基本シート!$E$2,L24*VLOOKUP(LEFT(M$6,FIND("(",M$6)-1),基本シート!$B$6:$C$29,2,FALSE))</f>
        <v>36.130600000000001</v>
      </c>
      <c r="N24" s="3">
        <v>1.44</v>
      </c>
      <c r="O24" s="3">
        <f>IF($E24="〇",N24*基本シート!$E$2,N24*VLOOKUP(LEFT(O$6,FIND("(",O$6)-1),基本シート!$B$6:$C$29,2,FALSE))</f>
        <v>42.998399999999997</v>
      </c>
      <c r="P24" s="3">
        <v>1.33</v>
      </c>
      <c r="Q24" s="3">
        <f>IF($E24="〇",P24*基本シート!$E$2,P24*VLOOKUP(LEFT(Q$6,FIND("(",Q$6)-1),基本シート!$B$6:$C$29,2,FALSE))</f>
        <v>39.713799999999999</v>
      </c>
      <c r="R24" s="3">
        <v>2.25</v>
      </c>
      <c r="S24" s="3">
        <f>IF($E24="〇",R24*基本シート!$E$2,R24*VLOOKUP(LEFT(S$6,FIND("(",S$6)-1),基本シート!$B$6:$C$29,2,FALSE))</f>
        <v>67.185000000000002</v>
      </c>
      <c r="T24" s="3">
        <v>1.33</v>
      </c>
      <c r="U24" s="3">
        <f>IF($E24="〇",T24*基本シート!$E$2,T24*VLOOKUP(LEFT(U$6,FIND("(",U$6)-1),基本シート!$B$6:$C$29,2,FALSE))</f>
        <v>39.713799999999999</v>
      </c>
      <c r="V24" s="3">
        <v>1.31</v>
      </c>
      <c r="W24" s="3">
        <f>IF($E24="〇",V24*基本シート!$E$2,V24*VLOOKUP(LEFT(W$6,FIND("(",W$6)-1),基本シート!$B$6:$C$29,2,FALSE))</f>
        <v>39.116599999999998</v>
      </c>
      <c r="X24" s="3">
        <v>1.24</v>
      </c>
      <c r="Y24" s="3">
        <f>IF($E24="〇",X24*基本シート!$E$2,X24*VLOOKUP(LEFT(Y$6,FIND("(",Y$6)-1),基本シート!$B$6:$C$29,2,FALSE))</f>
        <v>37.026400000000002</v>
      </c>
      <c r="Z24" s="3">
        <v>1.52</v>
      </c>
      <c r="AA24" s="3">
        <f>IF($E24="〇",Z24*基本シート!$E$2,Z24*VLOOKUP(LEFT(AA$6,FIND("(",AA$6)-1),基本シート!$B$6:$C$29,2,FALSE))</f>
        <v>45.3872</v>
      </c>
      <c r="AB24" s="3">
        <v>1.06</v>
      </c>
      <c r="AC24" s="3">
        <f>IF($E24="〇",AB24*基本シート!$E$2,AB24*VLOOKUP(LEFT(AC$6,FIND("(",AC$6)-1),基本シート!$B$6:$C$29,2,FALSE))</f>
        <v>31.651600000000002</v>
      </c>
      <c r="AD24" s="3">
        <v>2.37</v>
      </c>
      <c r="AE24" s="3">
        <f>IF($E24="〇",AD24*基本シート!$E$2,AD24*VLOOKUP(LEFT(AE$6,FIND("(",AE$6)-1),基本シート!$B$6:$C$29,2,FALSE))</f>
        <v>70.768200000000007</v>
      </c>
      <c r="AF24" s="3">
        <v>0.86</v>
      </c>
      <c r="AG24" s="3">
        <f>IF($E24="〇",AF24*基本シート!$E$2,AF24*VLOOKUP(LEFT(AG$6,FIND("(",AG$6)-1),基本シート!$B$6:$C$29,2,FALSE))</f>
        <v>25.679600000000001</v>
      </c>
      <c r="AH24" s="3">
        <v>0.65</v>
      </c>
      <c r="AI24" s="3">
        <f>IF($E24="〇",AH24*基本シート!$E$2,AH24*VLOOKUP(LEFT(AI$6,FIND("(",AI$6)-1),基本シート!$B$6:$C$29,2,FALSE))</f>
        <v>19.408999999999999</v>
      </c>
      <c r="AJ24" s="3">
        <v>0.55000000000000004</v>
      </c>
      <c r="AK24" s="3">
        <f>IF($E24="〇",AJ24*基本シート!$E$2,AJ24*VLOOKUP(LEFT(AK$6,FIND("(",AK$6)-1),基本シート!$B$6:$C$29,2,FALSE))</f>
        <v>16.423000000000002</v>
      </c>
      <c r="AL24" s="3">
        <v>2.6</v>
      </c>
      <c r="AM24" s="3">
        <f>IF($E24="〇",AL24*基本シート!$E$2,AL24*VLOOKUP(LEFT(AM$6,FIND("(",AM$6)-1),基本シート!$B$6:$C$29,2,FALSE))</f>
        <v>77.635999999999996</v>
      </c>
      <c r="AN24" s="3">
        <v>2.65</v>
      </c>
      <c r="AO24" s="3">
        <f>IF($E24="〇",AN24*基本シート!$E$2,AN24*VLOOKUP(LEFT(AO$6,FIND("(",AO$6)-1),基本シート!$B$6:$C$29,2,FALSE))</f>
        <v>79.128999999999991</v>
      </c>
      <c r="AP24" s="3">
        <v>1.9</v>
      </c>
      <c r="AQ24" s="3">
        <f>IF($E24="〇",AP24*基本シート!$E$2,AP24*VLOOKUP(LEFT(AQ$6,FIND("(",AQ$6)-1),基本シート!$B$6:$C$29,2,FALSE))</f>
        <v>56.733999999999995</v>
      </c>
      <c r="AR24" s="3">
        <v>1.6</v>
      </c>
      <c r="AS24" s="3">
        <f>IF($E24="〇",AR24*基本シート!$E$2,AR24*VLOOKUP(LEFT(AS$6,FIND("(",AS$6)-1),基本シート!$B$6:$C$29,2,FALSE))</f>
        <v>47.776000000000003</v>
      </c>
      <c r="AT24" s="3">
        <v>1.73</v>
      </c>
      <c r="AU24" s="3">
        <f>IF($E24="〇",AT24*基本シート!$E$2,AT24*VLOOKUP(LEFT(AU$6,FIND("(",AU$6)-1),基本シート!$B$6:$C$29,2,FALSE))</f>
        <v>51.657800000000002</v>
      </c>
      <c r="AV24" s="3">
        <v>1.1000000000000001</v>
      </c>
      <c r="AW24" s="3">
        <f>IF($E24="〇",AV24*基本シート!$E$2,AV24*VLOOKUP(LEFT(AW$6,FIND("(",AW$6)-1),基本シート!$B$6:$C$29,2,FALSE))</f>
        <v>32.846000000000004</v>
      </c>
      <c r="AX24" s="3">
        <v>1.28</v>
      </c>
      <c r="AY24" s="3">
        <f>IF($E24="〇",AX24*基本シート!$E$2,AX24*VLOOKUP(LEFT(AY$6,FIND("(",AY$6)-1),基本シート!$B$6:$C$29,2,FALSE))</f>
        <v>38.220799999999997</v>
      </c>
      <c r="AZ24" s="3">
        <v>1.71</v>
      </c>
      <c r="BA24" s="3">
        <f>IF($E24="〇",AZ24*基本シート!$E$2,AZ24*VLOOKUP(LEFT(BA$6,FIND("(",BA$6)-1),基本シート!$B$6:$C$29,2,FALSE))</f>
        <v>51.060600000000001</v>
      </c>
      <c r="BB24" s="3">
        <v>1.68</v>
      </c>
      <c r="BC24" s="3">
        <f>IF($E24="〇",BB24*基本シート!$E$2,BB24*VLOOKUP(LEFT(BC$6,FIND("(",BC$6)-1),基本シート!$B$6:$C$29,2,FALSE))</f>
        <v>50.1648</v>
      </c>
      <c r="BD24" s="3">
        <f t="shared" si="7"/>
        <v>35.67</v>
      </c>
      <c r="BE24" s="3">
        <f t="shared" si="8"/>
        <v>1065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0.01</v>
      </c>
      <c r="BP24" s="3">
        <v>0.05</v>
      </c>
      <c r="BQ24" s="3">
        <v>0.13</v>
      </c>
      <c r="BR24" s="3">
        <v>0.12</v>
      </c>
      <c r="BS24" s="3">
        <v>0.23</v>
      </c>
      <c r="BT24" s="3">
        <v>0.33</v>
      </c>
      <c r="BU24" s="3">
        <v>0.13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</v>
      </c>
      <c r="DE24" s="3">
        <f>DD24*基本シート!$C$3</f>
        <v>0</v>
      </c>
      <c r="DF24" s="3">
        <v>0</v>
      </c>
      <c r="DG24" s="3">
        <f>DF24*基本シート!$C$3</f>
        <v>0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>
        <v>0.03</v>
      </c>
      <c r="EC24" s="3">
        <v>0.04</v>
      </c>
      <c r="ED24" s="3">
        <v>0.04</v>
      </c>
      <c r="EE24" s="3">
        <v>0.04</v>
      </c>
      <c r="EF24" s="3">
        <v>0.03</v>
      </c>
      <c r="EG24" s="3">
        <v>0.04</v>
      </c>
      <c r="EH24" s="3">
        <v>0.04</v>
      </c>
      <c r="EI24" s="3">
        <v>0.03</v>
      </c>
      <c r="EJ24" s="3">
        <v>0.02</v>
      </c>
      <c r="EK24" s="3">
        <v>0</v>
      </c>
      <c r="EL24" s="3">
        <v>0.01</v>
      </c>
      <c r="EM24" s="3">
        <v>0.01</v>
      </c>
      <c r="EN24" s="3">
        <v>0.02</v>
      </c>
      <c r="EO24" s="3">
        <v>0.01</v>
      </c>
      <c r="EP24" s="3">
        <v>0.02</v>
      </c>
      <c r="EQ24" s="3">
        <v>0.01</v>
      </c>
      <c r="ER24" s="3">
        <v>0.03</v>
      </c>
      <c r="ES24" s="3">
        <v>0.04</v>
      </c>
      <c r="ET24" s="3">
        <v>0.04</v>
      </c>
      <c r="EU24" s="3">
        <v>0.03</v>
      </c>
      <c r="EV24" s="3">
        <v>0.05</v>
      </c>
      <c r="EW24" s="3">
        <v>0.04</v>
      </c>
      <c r="EX24" s="3">
        <v>0.04</v>
      </c>
      <c r="EY24" s="3">
        <v>0.04</v>
      </c>
      <c r="EZ24" s="3">
        <f t="shared" si="11"/>
        <v>0.70000000000000029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</v>
      </c>
      <c r="FZ24" s="3">
        <v>1.1200000000000001</v>
      </c>
      <c r="GA24" s="3">
        <v>1.1100000000000001</v>
      </c>
      <c r="GB24" s="3">
        <v>1.17</v>
      </c>
      <c r="GC24" s="3">
        <v>1.4</v>
      </c>
      <c r="GD24" s="3">
        <v>1.3</v>
      </c>
      <c r="GE24" s="3">
        <v>2.21</v>
      </c>
      <c r="GF24" s="3">
        <v>1.29</v>
      </c>
      <c r="GG24" s="3">
        <v>1.28</v>
      </c>
      <c r="GH24" s="3">
        <v>1.22</v>
      </c>
      <c r="GI24" s="3">
        <v>1.53</v>
      </c>
      <c r="GJ24" s="3">
        <v>1.1000000000000001</v>
      </c>
      <c r="GK24" s="3">
        <v>2.4900000000000002</v>
      </c>
      <c r="GL24" s="3">
        <v>0.96</v>
      </c>
      <c r="GM24" s="3">
        <v>0.87</v>
      </c>
      <c r="GN24" s="3">
        <v>0.86</v>
      </c>
      <c r="GO24" s="3">
        <v>2.72</v>
      </c>
      <c r="GP24" s="3">
        <v>2.63</v>
      </c>
      <c r="GQ24" s="3">
        <v>1.86</v>
      </c>
      <c r="GR24" s="3">
        <v>1.56</v>
      </c>
      <c r="GS24" s="3">
        <v>1.7</v>
      </c>
      <c r="GT24" s="3">
        <v>1.05</v>
      </c>
      <c r="GU24" s="3">
        <v>1.24</v>
      </c>
      <c r="GV24" s="3">
        <v>1.67</v>
      </c>
      <c r="GW24" s="3">
        <v>1.64</v>
      </c>
      <c r="GX24" s="3">
        <f t="shared" si="13"/>
        <v>35.979999999999997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336</v>
      </c>
      <c r="C25" s="6" t="str">
        <f>TEXT(VLOOKUP(LEFT(B25,FIND("月",B25)),基本シート!$E$6:$F$17,2,FALSE)&amp;B25,"aaaa")</f>
        <v>日曜日</v>
      </c>
      <c r="D25" s="6"/>
      <c r="E25" s="6" t="str">
        <f t="shared" si="9"/>
        <v>〇</v>
      </c>
      <c r="F25" s="6" t="s">
        <v>298</v>
      </c>
      <c r="G25" s="6" t="s">
        <v>298</v>
      </c>
      <c r="H25" s="3">
        <v>1.1000000000000001</v>
      </c>
      <c r="I25" s="3">
        <f>IF($E25="〇",H25*基本シート!$E$2,H25*VLOOKUP(LEFT(I$6,FIND("(",I$6)-1),基本シート!$B$6:$C$29,2,FALSE))</f>
        <v>32.846000000000004</v>
      </c>
      <c r="J25" s="3">
        <v>1.07</v>
      </c>
      <c r="K25" s="3">
        <f>IF($E25="〇",J25*基本シート!$E$2,J25*VLOOKUP(LEFT(K$6,FIND("(",K$6)-1),基本シート!$B$6:$C$29,2,FALSE))</f>
        <v>31.950200000000002</v>
      </c>
      <c r="L25" s="3">
        <v>1.1399999999999999</v>
      </c>
      <c r="M25" s="3">
        <f>IF($E25="〇",L25*基本シート!$E$2,L25*VLOOKUP(LEFT(M$6,FIND("(",M$6)-1),基本シート!$B$6:$C$29,2,FALSE))</f>
        <v>34.040399999999998</v>
      </c>
      <c r="N25" s="3">
        <v>1.1499999999999999</v>
      </c>
      <c r="O25" s="3">
        <f>IF($E25="〇",N25*基本シート!$E$2,N25*VLOOKUP(LEFT(O$6,FIND("(",O$6)-1),基本シート!$B$6:$C$29,2,FALSE))</f>
        <v>34.338999999999999</v>
      </c>
      <c r="P25" s="3">
        <v>1.1000000000000001</v>
      </c>
      <c r="Q25" s="3">
        <f>IF($E25="〇",P25*基本シート!$E$2,P25*VLOOKUP(LEFT(Q$6,FIND("(",Q$6)-1),基本シート!$B$6:$C$29,2,FALSE))</f>
        <v>32.846000000000004</v>
      </c>
      <c r="R25" s="3">
        <v>2.14</v>
      </c>
      <c r="S25" s="3">
        <f>IF($E25="〇",R25*基本シート!$E$2,R25*VLOOKUP(LEFT(S$6,FIND("(",S$6)-1),基本シート!$B$6:$C$29,2,FALSE))</f>
        <v>63.900400000000005</v>
      </c>
      <c r="T25" s="3">
        <v>1.53</v>
      </c>
      <c r="U25" s="3">
        <f>IF($E25="〇",T25*基本シート!$E$2,T25*VLOOKUP(LEFT(U$6,FIND("(",U$6)-1),基本シート!$B$6:$C$29,2,FALSE))</f>
        <v>45.6858</v>
      </c>
      <c r="V25" s="3">
        <v>1.2</v>
      </c>
      <c r="W25" s="3">
        <f>IF($E25="〇",V25*基本シート!$E$2,V25*VLOOKUP(LEFT(W$6,FIND("(",W$6)-1),基本シート!$B$6:$C$29,2,FALSE))</f>
        <v>35.832000000000001</v>
      </c>
      <c r="X25" s="3">
        <v>0.83</v>
      </c>
      <c r="Y25" s="3">
        <f>IF($E25="〇",X25*基本シート!$E$2,X25*VLOOKUP(LEFT(Y$6,FIND("(",Y$6)-1),基本シート!$B$6:$C$29,2,FALSE))</f>
        <v>24.783799999999999</v>
      </c>
      <c r="Z25" s="3">
        <v>0.64</v>
      </c>
      <c r="AA25" s="3">
        <f>IF($E25="〇",Z25*基本シート!$E$2,Z25*VLOOKUP(LEFT(AA$6,FIND("(",AA$6)-1),基本シート!$B$6:$C$29,2,FALSE))</f>
        <v>19.110399999999998</v>
      </c>
      <c r="AB25" s="3">
        <v>0.16</v>
      </c>
      <c r="AC25" s="3">
        <f>IF($E25="〇",AB25*基本シート!$E$2,AB25*VLOOKUP(LEFT(AC$6,FIND("(",AC$6)-1),基本シート!$B$6:$C$29,2,FALSE))</f>
        <v>4.7775999999999996</v>
      </c>
      <c r="AD25" s="3">
        <v>0.04</v>
      </c>
      <c r="AE25" s="3">
        <f>IF($E25="〇",AD25*基本シート!$E$2,AD25*VLOOKUP(LEFT(AE$6,FIND("(",AE$6)-1),基本シート!$B$6:$C$29,2,FALSE))</f>
        <v>1.1943999999999999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0.01</v>
      </c>
      <c r="AM25" s="3">
        <f>IF($E25="〇",AL25*基本シート!$E$2,AL25*VLOOKUP(LEFT(AM$6,FIND("(",AM$6)-1),基本シート!$B$6:$C$29,2,FALSE))</f>
        <v>0.29859999999999998</v>
      </c>
      <c r="AN25" s="3">
        <v>0.01</v>
      </c>
      <c r="AO25" s="3">
        <f>IF($E25="〇",AN25*基本シート!$E$2,AN25*VLOOKUP(LEFT(AO$6,FIND("(",AO$6)-1),基本シート!$B$6:$C$29,2,FALSE))</f>
        <v>0.29859999999999998</v>
      </c>
      <c r="AP25" s="3">
        <v>2.25</v>
      </c>
      <c r="AQ25" s="3">
        <f>IF($E25="〇",AP25*基本シート!$E$2,AP25*VLOOKUP(LEFT(AQ$6,FIND("(",AQ$6)-1),基本シート!$B$6:$C$29,2,FALSE))</f>
        <v>67.185000000000002</v>
      </c>
      <c r="AR25" s="3">
        <v>3.46</v>
      </c>
      <c r="AS25" s="3">
        <f>IF($E25="〇",AR25*基本シート!$E$2,AR25*VLOOKUP(LEFT(AS$6,FIND("(",AS$6)-1),基本シート!$B$6:$C$29,2,FALSE))</f>
        <v>103.3156</v>
      </c>
      <c r="AT25" s="3">
        <v>2.64</v>
      </c>
      <c r="AU25" s="3">
        <f>IF($E25="〇",AT25*基本シート!$E$2,AT25*VLOOKUP(LEFT(AU$6,FIND("(",AU$6)-1),基本シート!$B$6:$C$29,2,FALSE))</f>
        <v>78.830399999999997</v>
      </c>
      <c r="AV25" s="3">
        <v>1.54</v>
      </c>
      <c r="AW25" s="3">
        <f>IF($E25="〇",AV25*基本シート!$E$2,AV25*VLOOKUP(LEFT(AW$6,FIND("(",AW$6)-1),基本シート!$B$6:$C$29,2,FALSE))</f>
        <v>45.984400000000001</v>
      </c>
      <c r="AX25" s="3">
        <v>2.06</v>
      </c>
      <c r="AY25" s="3">
        <f>IF($E25="〇",AX25*基本シート!$E$2,AX25*VLOOKUP(LEFT(AY$6,FIND("(",AY$6)-1),基本シート!$B$6:$C$29,2,FALSE))</f>
        <v>61.511600000000001</v>
      </c>
      <c r="AZ25" s="3">
        <v>1</v>
      </c>
      <c r="BA25" s="3">
        <f>IF($E25="〇",AZ25*基本シート!$E$2,AZ25*VLOOKUP(LEFT(BA$6,FIND("(",BA$6)-1),基本シート!$B$6:$C$29,2,FALSE))</f>
        <v>29.86</v>
      </c>
      <c r="BB25" s="3">
        <v>1.1299999999999999</v>
      </c>
      <c r="BC25" s="3">
        <f>IF($E25="〇",BB25*基本シート!$E$2,BB25*VLOOKUP(LEFT(BC$6,FIND("(",BC$6)-1),基本シート!$B$6:$C$29,2,FALSE))</f>
        <v>33.741799999999998</v>
      </c>
      <c r="BD25" s="3">
        <f t="shared" si="7"/>
        <v>26.199999999999996</v>
      </c>
      <c r="BE25" s="3">
        <f t="shared" si="8"/>
        <v>782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0.04</v>
      </c>
      <c r="BN25" s="3">
        <v>0.28000000000000003</v>
      </c>
      <c r="BO25" s="3">
        <v>0.52</v>
      </c>
      <c r="BP25" s="3">
        <v>1.28</v>
      </c>
      <c r="BQ25" s="3">
        <v>2.21</v>
      </c>
      <c r="BR25" s="3">
        <v>3.75</v>
      </c>
      <c r="BS25" s="3">
        <v>4.75</v>
      </c>
      <c r="BT25" s="3">
        <v>3.63</v>
      </c>
      <c r="BU25" s="3">
        <v>1.51</v>
      </c>
      <c r="BV25" s="3">
        <v>0.14000000000000001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</v>
      </c>
      <c r="CY25" s="3">
        <f>CX25*基本シート!$C$3</f>
        <v>0</v>
      </c>
      <c r="CZ25" s="3">
        <v>7.0000000000000007E-2</v>
      </c>
      <c r="DA25" s="3">
        <f>CZ25*基本シート!$C$3</f>
        <v>1.1200000000000001</v>
      </c>
      <c r="DB25" s="3">
        <v>0.52</v>
      </c>
      <c r="DC25" s="3">
        <f>DB25*基本シート!$C$3</f>
        <v>8.32</v>
      </c>
      <c r="DD25" s="3">
        <v>0.64</v>
      </c>
      <c r="DE25" s="3">
        <f>DD25*基本シート!$C$3</f>
        <v>10.24</v>
      </c>
      <c r="DF25" s="3">
        <v>2.68</v>
      </c>
      <c r="DG25" s="3">
        <f>DF25*基本シート!$C$3</f>
        <v>42.88</v>
      </c>
      <c r="DH25" s="3">
        <v>0.61</v>
      </c>
      <c r="DI25" s="3">
        <f>DH25*基本シート!$C$3</f>
        <v>9.76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4.53</v>
      </c>
      <c r="EA25" s="3">
        <f>ROUND(DZ25*基本シート!$C$3,0)</f>
        <v>72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0.04</v>
      </c>
      <c r="EI25" s="3">
        <v>0.01</v>
      </c>
      <c r="EJ25" s="3">
        <v>0</v>
      </c>
      <c r="EK25" s="3">
        <v>0</v>
      </c>
      <c r="EL25" s="3">
        <v>0.48</v>
      </c>
      <c r="EM25" s="3">
        <v>0.21</v>
      </c>
      <c r="EN25" s="3">
        <v>2.4700000000000002</v>
      </c>
      <c r="EO25" s="3">
        <v>3.4</v>
      </c>
      <c r="EP25" s="3">
        <v>0.1</v>
      </c>
      <c r="EQ25" s="3">
        <v>0</v>
      </c>
      <c r="ER25" s="3">
        <v>0</v>
      </c>
      <c r="ES25" s="3">
        <v>0</v>
      </c>
      <c r="ET25" s="3">
        <v>0.03</v>
      </c>
      <c r="EU25" s="3">
        <v>0.04</v>
      </c>
      <c r="EV25" s="3">
        <v>0.03</v>
      </c>
      <c r="EW25" s="3">
        <v>0.04</v>
      </c>
      <c r="EX25" s="3">
        <v>0.04</v>
      </c>
      <c r="EY25" s="3">
        <v>0.03</v>
      </c>
      <c r="EZ25" s="3">
        <f t="shared" si="11"/>
        <v>7.1300000000000008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0.99</v>
      </c>
      <c r="FQ25" s="3">
        <v>3.17</v>
      </c>
      <c r="FR25" s="3">
        <v>0.93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5.09</v>
      </c>
      <c r="FZ25" s="3">
        <v>1.07</v>
      </c>
      <c r="GA25" s="3">
        <v>1.03</v>
      </c>
      <c r="GB25" s="3">
        <v>1.1100000000000001</v>
      </c>
      <c r="GC25" s="3">
        <v>1.1100000000000001</v>
      </c>
      <c r="GD25" s="3">
        <v>1.06</v>
      </c>
      <c r="GE25" s="3">
        <v>2.11</v>
      </c>
      <c r="GF25" s="3">
        <v>1.49</v>
      </c>
      <c r="GG25" s="3">
        <v>1.23</v>
      </c>
      <c r="GH25" s="3">
        <v>1.1100000000000001</v>
      </c>
      <c r="GI25" s="3">
        <v>1.1599999999999999</v>
      </c>
      <c r="GJ25" s="3">
        <v>0.96</v>
      </c>
      <c r="GK25" s="3">
        <v>1.97</v>
      </c>
      <c r="GL25" s="3">
        <v>0.76</v>
      </c>
      <c r="GM25" s="3">
        <v>0.71</v>
      </c>
      <c r="GN25" s="3">
        <v>0.85</v>
      </c>
      <c r="GO25" s="3">
        <v>1.9</v>
      </c>
      <c r="GP25" s="3">
        <v>3.31</v>
      </c>
      <c r="GQ25" s="3">
        <v>3.18</v>
      </c>
      <c r="GR25" s="3">
        <v>3.43</v>
      </c>
      <c r="GS25" s="3">
        <v>2.6</v>
      </c>
      <c r="GT25" s="3">
        <v>1.51</v>
      </c>
      <c r="GU25" s="3">
        <v>2.02</v>
      </c>
      <c r="GV25" s="3">
        <v>0.96</v>
      </c>
      <c r="GW25" s="3">
        <v>1.1000000000000001</v>
      </c>
      <c r="GX25" s="3">
        <f t="shared" si="13"/>
        <v>37.74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337</v>
      </c>
      <c r="C26" s="6" t="str">
        <f>TEXT(VLOOKUP(LEFT(B26,FIND("月",B26)),基本シート!$E$6:$F$17,2,FALSE)&amp;B26,"aaaa")</f>
        <v>月曜日</v>
      </c>
      <c r="D26" s="6"/>
      <c r="E26" s="6" t="str">
        <f t="shared" si="9"/>
        <v/>
      </c>
      <c r="F26" s="6" t="s">
        <v>296</v>
      </c>
      <c r="G26" s="6" t="s">
        <v>298</v>
      </c>
      <c r="H26" s="3">
        <v>0.87</v>
      </c>
      <c r="I26" s="3">
        <f>IF($E26="〇",H26*基本シート!$E$2,H26*VLOOKUP(LEFT(I$6,FIND("(",I$6)-1),基本シート!$B$6:$C$29,2,FALSE))</f>
        <v>25.978200000000001</v>
      </c>
      <c r="J26" s="3">
        <v>1.1200000000000001</v>
      </c>
      <c r="K26" s="3">
        <f>IF($E26="〇",J26*基本シート!$E$2,J26*VLOOKUP(LEFT(K$6,FIND("(",K$6)-1),基本シート!$B$6:$C$29,2,FALSE))</f>
        <v>33.443200000000004</v>
      </c>
      <c r="L26" s="3">
        <v>1.42</v>
      </c>
      <c r="M26" s="3">
        <f>IF($E26="〇",L26*基本シート!$E$2,L26*VLOOKUP(LEFT(M$6,FIND("(",M$6)-1),基本シート!$B$6:$C$29,2,FALSE))</f>
        <v>42.401199999999996</v>
      </c>
      <c r="N26" s="3">
        <v>1.07</v>
      </c>
      <c r="O26" s="3">
        <f>IF($E26="〇",N26*基本シート!$E$2,N26*VLOOKUP(LEFT(O$6,FIND("(",O$6)-1),基本シート!$B$6:$C$29,2,FALSE))</f>
        <v>31.950200000000002</v>
      </c>
      <c r="P26" s="3">
        <v>1.27</v>
      </c>
      <c r="Q26" s="3">
        <f>IF($E26="〇",P26*基本シート!$E$2,P26*VLOOKUP(LEFT(Q$6,FIND("(",Q$6)-1),基本シート!$B$6:$C$29,2,FALSE))</f>
        <v>37.922199999999997</v>
      </c>
      <c r="R26" s="3">
        <v>1.06</v>
      </c>
      <c r="S26" s="3">
        <f>IF($E26="〇",R26*基本シート!$E$2,R26*VLOOKUP(LEFT(S$6,FIND("(",S$6)-1),基本シート!$B$6:$C$29,2,FALSE))</f>
        <v>31.651600000000002</v>
      </c>
      <c r="T26" s="3">
        <v>1.17</v>
      </c>
      <c r="U26" s="3">
        <f>IF($E26="〇",T26*基本シート!$E$2,T26*VLOOKUP(LEFT(U$6,FIND("(",U$6)-1),基本シート!$B$6:$C$29,2,FALSE))</f>
        <v>34.936199999999999</v>
      </c>
      <c r="V26" s="3">
        <v>1.04</v>
      </c>
      <c r="W26" s="3">
        <f>IF($E26="〇",V26*基本シート!$E$2,V26*VLOOKUP(LEFT(W$6,FIND("(",W$6)-1),基本シート!$B$6:$C$29,2,FALSE))</f>
        <v>38.334400000000002</v>
      </c>
      <c r="X26" s="3">
        <v>0.8</v>
      </c>
      <c r="Y26" s="3">
        <f>IF($E26="〇",X26*基本シート!$E$2,X26*VLOOKUP(LEFT(Y$6,FIND("(",Y$6)-1),基本シート!$B$6:$C$29,2,FALSE))</f>
        <v>29.488</v>
      </c>
      <c r="Z26" s="3">
        <v>0.11</v>
      </c>
      <c r="AA26" s="3">
        <f>IF($E26="〇",Z26*基本シート!$E$2,Z26*VLOOKUP(LEFT(AA$6,FIND("(",AA$6)-1),基本シート!$B$6:$C$29,2,FALSE))</f>
        <v>4.0545999999999998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0.01</v>
      </c>
      <c r="AE26" s="3">
        <f>IF($E26="〇",AD26*基本シート!$E$2,AD26*VLOOKUP(LEFT(AE$6,FIND("(",AE$6)-1),基本シート!$B$6:$C$29,2,FALSE))</f>
        <v>0.36859999999999998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0.05</v>
      </c>
      <c r="AQ26" s="3">
        <f>IF($E26="〇",AP26*基本シート!$E$2,AP26*VLOOKUP(LEFT(AQ$6,FIND("(",AQ$6)-1),基本シート!$B$6:$C$29,2,FALSE))</f>
        <v>1.843</v>
      </c>
      <c r="AR26" s="3">
        <v>1.06</v>
      </c>
      <c r="AS26" s="3">
        <f>IF($E26="〇",AR26*基本シート!$E$2,AR26*VLOOKUP(LEFT(AS$6,FIND("(",AS$6)-1),基本シート!$B$6:$C$29,2,FALSE))</f>
        <v>39.071600000000004</v>
      </c>
      <c r="AT26" s="3">
        <v>1.18</v>
      </c>
      <c r="AU26" s="3">
        <f>IF($E26="〇",AT26*基本シート!$E$2,AT26*VLOOKUP(LEFT(AU$6,FIND("(",AU$6)-1),基本シート!$B$6:$C$29,2,FALSE))</f>
        <v>43.494799999999998</v>
      </c>
      <c r="AV26" s="3">
        <v>1.59</v>
      </c>
      <c r="AW26" s="3">
        <f>IF($E26="〇",AV26*基本シート!$E$2,AV26*VLOOKUP(LEFT(AW$6,FIND("(",AW$6)-1),基本シート!$B$6:$C$29,2,FALSE))</f>
        <v>58.607400000000005</v>
      </c>
      <c r="AX26" s="3">
        <v>1.1100000000000001</v>
      </c>
      <c r="AY26" s="3">
        <f>IF($E26="〇",AX26*基本シート!$E$2,AX26*VLOOKUP(LEFT(AY$6,FIND("(",AY$6)-1),基本シート!$B$6:$C$29,2,FALSE))</f>
        <v>33.144600000000004</v>
      </c>
      <c r="AZ26" s="3">
        <v>1</v>
      </c>
      <c r="BA26" s="3">
        <f>IF($E26="〇",AZ26*基本シート!$E$2,AZ26*VLOOKUP(LEFT(BA$6,FIND("(",BA$6)-1),基本シート!$B$6:$C$29,2,FALSE))</f>
        <v>29.86</v>
      </c>
      <c r="BB26" s="3">
        <v>1.1599999999999999</v>
      </c>
      <c r="BC26" s="3">
        <f>IF($E26="〇",BB26*基本シート!$E$2,BB26*VLOOKUP(LEFT(BC$6,FIND("(",BC$6)-1),基本シート!$B$6:$C$29,2,FALSE))</f>
        <v>34.637599999999999</v>
      </c>
      <c r="BD26" s="3">
        <f t="shared" si="7"/>
        <v>17.099999999999998</v>
      </c>
      <c r="BE26" s="3">
        <f t="shared" si="8"/>
        <v>552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0.13</v>
      </c>
      <c r="BN26" s="3">
        <v>0.31</v>
      </c>
      <c r="BO26" s="3">
        <v>2.27</v>
      </c>
      <c r="BP26" s="3">
        <v>5.31</v>
      </c>
      <c r="BQ26" s="3">
        <v>3.77</v>
      </c>
      <c r="BR26" s="3">
        <v>3.74</v>
      </c>
      <c r="BS26" s="3">
        <v>5.04</v>
      </c>
      <c r="BT26" s="3">
        <v>2.19</v>
      </c>
      <c r="BU26" s="3">
        <v>1.39</v>
      </c>
      <c r="BV26" s="3">
        <v>0.17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0.37</v>
      </c>
      <c r="CW26" s="3">
        <f>CV26*基本シート!$C$3</f>
        <v>5.92</v>
      </c>
      <c r="CX26" s="3">
        <v>1.82</v>
      </c>
      <c r="CY26" s="3">
        <f>CX26*基本シート!$C$3</f>
        <v>29.12</v>
      </c>
      <c r="CZ26" s="3">
        <v>0.82</v>
      </c>
      <c r="DA26" s="3">
        <f>CZ26*基本シート!$C$3</f>
        <v>13.12</v>
      </c>
      <c r="DB26" s="3">
        <v>2.66</v>
      </c>
      <c r="DC26" s="3">
        <f>DB26*基本シート!$C$3</f>
        <v>42.56</v>
      </c>
      <c r="DD26" s="3">
        <v>4.22</v>
      </c>
      <c r="DE26" s="3">
        <f>DD26*基本シート!$C$3</f>
        <v>67.52</v>
      </c>
      <c r="DF26" s="3">
        <v>1.1000000000000001</v>
      </c>
      <c r="DG26" s="3">
        <f>DF26*基本シート!$C$3</f>
        <v>17.600000000000001</v>
      </c>
      <c r="DH26" s="3">
        <v>0.79</v>
      </c>
      <c r="DI26" s="3">
        <f>DH26*基本シート!$C$3</f>
        <v>12.64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11.8</v>
      </c>
      <c r="EA26" s="3">
        <f>ROUND(DZ26*基本シート!$C$3,0)</f>
        <v>189</v>
      </c>
      <c r="EB26" s="3">
        <v>0.04</v>
      </c>
      <c r="EC26" s="3">
        <v>0.03</v>
      </c>
      <c r="ED26" s="3">
        <v>0.04</v>
      </c>
      <c r="EE26" s="3">
        <v>0.05</v>
      </c>
      <c r="EF26" s="3">
        <v>0.04</v>
      </c>
      <c r="EG26" s="3">
        <v>0.04</v>
      </c>
      <c r="EH26" s="3">
        <v>0.04</v>
      </c>
      <c r="EI26" s="3">
        <v>0.01</v>
      </c>
      <c r="EJ26" s="3">
        <v>0.03</v>
      </c>
      <c r="EK26" s="3">
        <v>1.05</v>
      </c>
      <c r="EL26" s="3">
        <v>2.5499999999999998</v>
      </c>
      <c r="EM26" s="3">
        <v>2.2599999999999998</v>
      </c>
      <c r="EN26" s="3">
        <v>0.26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6.5900000000000007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0.18</v>
      </c>
      <c r="FP26" s="3">
        <v>0.79</v>
      </c>
      <c r="FQ26" s="3">
        <v>2.2200000000000002</v>
      </c>
      <c r="FR26" s="3">
        <v>2.02</v>
      </c>
      <c r="FS26" s="3">
        <v>0.04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5.2500000000000009</v>
      </c>
      <c r="FZ26" s="3">
        <v>0.83</v>
      </c>
      <c r="GA26" s="3">
        <v>1.0900000000000001</v>
      </c>
      <c r="GB26" s="3">
        <v>1.38</v>
      </c>
      <c r="GC26" s="3">
        <v>1.02</v>
      </c>
      <c r="GD26" s="3">
        <v>1.23</v>
      </c>
      <c r="GE26" s="3">
        <v>1.02</v>
      </c>
      <c r="GF26" s="3">
        <v>1.1299999999999999</v>
      </c>
      <c r="GG26" s="3">
        <v>1.1599999999999999</v>
      </c>
      <c r="GH26" s="3">
        <v>1.08</v>
      </c>
      <c r="GI26" s="3">
        <v>0.96</v>
      </c>
      <c r="GJ26" s="3">
        <v>0.94</v>
      </c>
      <c r="GK26" s="3">
        <v>0.7</v>
      </c>
      <c r="GL26" s="3">
        <v>0.82</v>
      </c>
      <c r="GM26" s="3">
        <v>0.82</v>
      </c>
      <c r="GN26" s="3">
        <v>1.27</v>
      </c>
      <c r="GO26" s="3">
        <v>1.39</v>
      </c>
      <c r="GP26" s="3">
        <v>2.39</v>
      </c>
      <c r="GQ26" s="3">
        <v>2.06</v>
      </c>
      <c r="GR26" s="3">
        <v>1.1000000000000001</v>
      </c>
      <c r="GS26" s="3">
        <v>1.1499999999999999</v>
      </c>
      <c r="GT26" s="3">
        <v>1.56</v>
      </c>
      <c r="GU26" s="3">
        <v>1.08</v>
      </c>
      <c r="GV26" s="3">
        <v>0.97</v>
      </c>
      <c r="GW26" s="3">
        <v>1.1299999999999999</v>
      </c>
      <c r="GX26" s="3">
        <f t="shared" si="13"/>
        <v>28.27999999999999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338</v>
      </c>
      <c r="C27" s="6" t="str">
        <f>TEXT(VLOOKUP(LEFT(B27,FIND("月",B27)),基本シート!$E$6:$F$17,2,FALSE)&amp;B27,"aaaa")</f>
        <v>火曜日</v>
      </c>
      <c r="D27" s="6"/>
      <c r="E27" s="6" t="str">
        <f t="shared" si="9"/>
        <v/>
      </c>
      <c r="F27" s="6" t="s">
        <v>296</v>
      </c>
      <c r="G27" s="6" t="s">
        <v>298</v>
      </c>
      <c r="H27" s="3">
        <v>1.42</v>
      </c>
      <c r="I27" s="3">
        <f>IF($E27="〇",H27*基本シート!$E$2,H27*VLOOKUP(LEFT(I$6,FIND("(",I$6)-1),基本シート!$B$6:$C$29,2,FALSE))</f>
        <v>42.401199999999996</v>
      </c>
      <c r="J27" s="3">
        <v>2.2599999999999998</v>
      </c>
      <c r="K27" s="3">
        <f>IF($E27="〇",J27*基本シート!$E$2,J27*VLOOKUP(LEFT(K$6,FIND("(",K$6)-1),基本シート!$B$6:$C$29,2,FALSE))</f>
        <v>67.483599999999996</v>
      </c>
      <c r="L27" s="3">
        <v>1.1299999999999999</v>
      </c>
      <c r="M27" s="3">
        <f>IF($E27="〇",L27*基本シート!$E$2,L27*VLOOKUP(LEFT(M$6,FIND("(",M$6)-1),基本シート!$B$6:$C$29,2,FALSE))</f>
        <v>33.741799999999998</v>
      </c>
      <c r="N27" s="3">
        <v>1.34</v>
      </c>
      <c r="O27" s="3">
        <f>IF($E27="〇",N27*基本シート!$E$2,N27*VLOOKUP(LEFT(O$6,FIND("(",O$6)-1),基本シート!$B$6:$C$29,2,FALSE))</f>
        <v>40.0124</v>
      </c>
      <c r="P27" s="3">
        <v>1.18</v>
      </c>
      <c r="Q27" s="3">
        <f>IF($E27="〇",P27*基本シート!$E$2,P27*VLOOKUP(LEFT(Q$6,FIND("(",Q$6)-1),基本シート!$B$6:$C$29,2,FALSE))</f>
        <v>35.2348</v>
      </c>
      <c r="R27" s="3">
        <v>1.1399999999999999</v>
      </c>
      <c r="S27" s="3">
        <f>IF($E27="〇",R27*基本シート!$E$2,R27*VLOOKUP(LEFT(S$6,FIND("(",S$6)-1),基本シート!$B$6:$C$29,2,FALSE))</f>
        <v>34.040399999999998</v>
      </c>
      <c r="T27" s="3">
        <v>2.1</v>
      </c>
      <c r="U27" s="3">
        <f>IF($E27="〇",T27*基本シート!$E$2,T27*VLOOKUP(LEFT(U$6,FIND("(",U$6)-1),基本シート!$B$6:$C$29,2,FALSE))</f>
        <v>62.706000000000003</v>
      </c>
      <c r="V27" s="3">
        <v>1</v>
      </c>
      <c r="W27" s="3">
        <f>IF($E27="〇",V27*基本シート!$E$2,V27*VLOOKUP(LEFT(W$6,FIND("(",W$6)-1),基本シート!$B$6:$C$29,2,FALSE))</f>
        <v>36.86</v>
      </c>
      <c r="X27" s="3">
        <v>0.25</v>
      </c>
      <c r="Y27" s="3">
        <f>IF($E27="〇",X27*基本シート!$E$2,X27*VLOOKUP(LEFT(Y$6,FIND("(",Y$6)-1),基本シート!$B$6:$C$29,2,FALSE))</f>
        <v>9.2149999999999999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0.16</v>
      </c>
      <c r="AQ27" s="3">
        <f>IF($E27="〇",AP27*基本シート!$E$2,AP27*VLOOKUP(LEFT(AQ$6,FIND("(",AQ$6)-1),基本シート!$B$6:$C$29,2,FALSE))</f>
        <v>5.8975999999999997</v>
      </c>
      <c r="AR27" s="3">
        <v>1.48</v>
      </c>
      <c r="AS27" s="3">
        <f>IF($E27="〇",AR27*基本シート!$E$2,AR27*VLOOKUP(LEFT(AS$6,FIND("(",AS$6)-1),基本シート!$B$6:$C$29,2,FALSE))</f>
        <v>54.552799999999998</v>
      </c>
      <c r="AT27" s="3">
        <v>1.2</v>
      </c>
      <c r="AU27" s="3">
        <f>IF($E27="〇",AT27*基本シート!$E$2,AT27*VLOOKUP(LEFT(AU$6,FIND("(",AU$6)-1),基本シート!$B$6:$C$29,2,FALSE))</f>
        <v>44.231999999999999</v>
      </c>
      <c r="AV27" s="3">
        <v>0.89</v>
      </c>
      <c r="AW27" s="3">
        <f>IF($E27="〇",AV27*基本シート!$E$2,AV27*VLOOKUP(LEFT(AW$6,FIND("(",AW$6)-1),基本シート!$B$6:$C$29,2,FALSE))</f>
        <v>32.805399999999999</v>
      </c>
      <c r="AX27" s="3">
        <v>2.23</v>
      </c>
      <c r="AY27" s="3">
        <f>IF($E27="〇",AX27*基本シート!$E$2,AX27*VLOOKUP(LEFT(AY$6,FIND("(",AY$6)-1),基本シート!$B$6:$C$29,2,FALSE))</f>
        <v>66.587800000000001</v>
      </c>
      <c r="AZ27" s="3">
        <v>1.01</v>
      </c>
      <c r="BA27" s="3">
        <f>IF($E27="〇",AZ27*基本シート!$E$2,AZ27*VLOOKUP(LEFT(BA$6,FIND("(",BA$6)-1),基本シート!$B$6:$C$29,2,FALSE))</f>
        <v>30.1586</v>
      </c>
      <c r="BB27" s="3">
        <v>0.87</v>
      </c>
      <c r="BC27" s="3">
        <f>IF($E27="〇",BB27*基本シート!$E$2,BB27*VLOOKUP(LEFT(BC$6,FIND("(",BC$6)-1),基本シート!$B$6:$C$29,2,FALSE))</f>
        <v>25.978200000000001</v>
      </c>
      <c r="BD27" s="3">
        <f t="shared" si="7"/>
        <v>19.670000000000002</v>
      </c>
      <c r="BE27" s="3">
        <f t="shared" si="8"/>
        <v>622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0.1</v>
      </c>
      <c r="BN27" s="3">
        <v>1.44</v>
      </c>
      <c r="BO27" s="3">
        <v>3.72</v>
      </c>
      <c r="BP27" s="3">
        <v>5.26</v>
      </c>
      <c r="BQ27" s="3">
        <v>5.18</v>
      </c>
      <c r="BR27" s="3">
        <v>1.93</v>
      </c>
      <c r="BS27" s="3">
        <v>1.92</v>
      </c>
      <c r="BT27" s="3">
        <v>1.55</v>
      </c>
      <c r="BU27" s="3">
        <v>0.73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0.11</v>
      </c>
      <c r="CU27" s="3">
        <f>CT27*基本シート!$C$3</f>
        <v>1.76</v>
      </c>
      <c r="CV27" s="3">
        <v>0.59</v>
      </c>
      <c r="CW27" s="3">
        <f>CV27*基本シート!$C$3</f>
        <v>9.44</v>
      </c>
      <c r="CX27" s="3">
        <v>1.23</v>
      </c>
      <c r="CY27" s="3">
        <f>CX27*基本シート!$C$3</f>
        <v>19.68</v>
      </c>
      <c r="CZ27" s="3">
        <v>3.63</v>
      </c>
      <c r="DA27" s="3">
        <f>CZ27*基本シート!$C$3</f>
        <v>58.08</v>
      </c>
      <c r="DB27" s="3">
        <v>1.1399999999999999</v>
      </c>
      <c r="DC27" s="3">
        <f>DB27*基本シート!$C$3</f>
        <v>18.239999999999998</v>
      </c>
      <c r="DD27" s="3">
        <v>1.26</v>
      </c>
      <c r="DE27" s="3">
        <f>DD27*基本シート!$C$3</f>
        <v>20.16</v>
      </c>
      <c r="DF27" s="3">
        <v>0.83</v>
      </c>
      <c r="DG27" s="3">
        <f>DF27*基本シート!$C$3</f>
        <v>13.28</v>
      </c>
      <c r="DH27" s="3">
        <v>0.11</v>
      </c>
      <c r="DI27" s="3">
        <f>DH27*基本シート!$C$3</f>
        <v>1.76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8.9199999999999982</v>
      </c>
      <c r="EA27" s="3">
        <f>ROUND(DZ27*基本シート!$C$3,0)</f>
        <v>143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0.02</v>
      </c>
      <c r="EI27" s="3">
        <v>0</v>
      </c>
      <c r="EJ27" s="3">
        <v>0.69</v>
      </c>
      <c r="EK27" s="3">
        <v>2.42</v>
      </c>
      <c r="EL27" s="3">
        <v>3.27</v>
      </c>
      <c r="EM27" s="3">
        <v>0.12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0.03</v>
      </c>
      <c r="EU27" s="3">
        <v>0.03</v>
      </c>
      <c r="EV27" s="3">
        <v>0.03</v>
      </c>
      <c r="EW27" s="3">
        <v>0.02</v>
      </c>
      <c r="EX27" s="3">
        <v>0.03</v>
      </c>
      <c r="EY27" s="3">
        <v>0.03</v>
      </c>
      <c r="EZ27" s="3">
        <f t="shared" si="11"/>
        <v>6.870000000000001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0.01</v>
      </c>
      <c r="FP27" s="3">
        <v>1.1499999999999999</v>
      </c>
      <c r="FQ27" s="3">
        <v>2.2400000000000002</v>
      </c>
      <c r="FR27" s="3">
        <v>1.84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5.24</v>
      </c>
      <c r="FZ27" s="3">
        <v>1.39</v>
      </c>
      <c r="GA27" s="3">
        <v>2.23</v>
      </c>
      <c r="GB27" s="3">
        <v>1.1000000000000001</v>
      </c>
      <c r="GC27" s="3">
        <v>1.31</v>
      </c>
      <c r="GD27" s="3">
        <v>1.1499999999999999</v>
      </c>
      <c r="GE27" s="3">
        <v>1.1100000000000001</v>
      </c>
      <c r="GF27" s="3">
        <v>2.08</v>
      </c>
      <c r="GG27" s="3">
        <v>1.1000000000000001</v>
      </c>
      <c r="GH27" s="3">
        <v>0.89</v>
      </c>
      <c r="GI27" s="3">
        <v>0.71</v>
      </c>
      <c r="GJ27" s="3">
        <v>0.76</v>
      </c>
      <c r="GK27" s="3">
        <v>1.43</v>
      </c>
      <c r="GL27" s="3">
        <v>0.79</v>
      </c>
      <c r="GM27" s="3">
        <v>0.66</v>
      </c>
      <c r="GN27" s="3">
        <v>0.73</v>
      </c>
      <c r="GO27" s="3">
        <v>1.77</v>
      </c>
      <c r="GP27" s="3">
        <v>2.35</v>
      </c>
      <c r="GQ27" s="3">
        <v>1.99</v>
      </c>
      <c r="GR27" s="3">
        <v>1.45</v>
      </c>
      <c r="GS27" s="3">
        <v>1.17</v>
      </c>
      <c r="GT27" s="3">
        <v>0.86</v>
      </c>
      <c r="GU27" s="3">
        <v>2.21</v>
      </c>
      <c r="GV27" s="3">
        <v>0.98</v>
      </c>
      <c r="GW27" s="3">
        <v>0.84</v>
      </c>
      <c r="GX27" s="3">
        <f t="shared" si="13"/>
        <v>31.060000000000002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339</v>
      </c>
      <c r="C28" s="6" t="str">
        <f>TEXT(VLOOKUP(LEFT(B28,FIND("月",B28)),基本シート!$E$6:$F$17,2,FALSE)&amp;B28,"aaaa")</f>
        <v>水曜日</v>
      </c>
      <c r="D28" s="6"/>
      <c r="E28" s="6" t="str">
        <f t="shared" si="9"/>
        <v/>
      </c>
      <c r="F28" s="6" t="s">
        <v>296</v>
      </c>
      <c r="G28" s="6" t="s">
        <v>298</v>
      </c>
      <c r="H28" s="3">
        <v>0.84</v>
      </c>
      <c r="I28" s="3">
        <f>IF($E28="〇",H28*基本シート!$E$2,H28*VLOOKUP(LEFT(I$6,FIND("(",I$6)-1),基本シート!$B$6:$C$29,2,FALSE))</f>
        <v>25.0824</v>
      </c>
      <c r="J28" s="3">
        <v>0.77</v>
      </c>
      <c r="K28" s="3">
        <f>IF($E28="〇",J28*基本シート!$E$2,J28*VLOOKUP(LEFT(K$6,FIND("(",K$6)-1),基本シート!$B$6:$C$29,2,FALSE))</f>
        <v>22.9922</v>
      </c>
      <c r="L28" s="3">
        <v>0.9</v>
      </c>
      <c r="M28" s="3">
        <f>IF($E28="〇",L28*基本シート!$E$2,L28*VLOOKUP(LEFT(M$6,FIND("(",M$6)-1),基本シート!$B$6:$C$29,2,FALSE))</f>
        <v>26.873999999999999</v>
      </c>
      <c r="N28" s="3">
        <v>2</v>
      </c>
      <c r="O28" s="3">
        <f>IF($E28="〇",N28*基本シート!$E$2,N28*VLOOKUP(LEFT(O$6,FIND("(",O$6)-1),基本シート!$B$6:$C$29,2,FALSE))</f>
        <v>59.72</v>
      </c>
      <c r="P28" s="3">
        <v>1.21</v>
      </c>
      <c r="Q28" s="3">
        <f>IF($E28="〇",P28*基本シート!$E$2,P28*VLOOKUP(LEFT(Q$6,FIND("(",Q$6)-1),基本シート!$B$6:$C$29,2,FALSE))</f>
        <v>36.130600000000001</v>
      </c>
      <c r="R28" s="3">
        <v>1.1499999999999999</v>
      </c>
      <c r="S28" s="3">
        <f>IF($E28="〇",R28*基本シート!$E$2,R28*VLOOKUP(LEFT(S$6,FIND("(",S$6)-1),基本シート!$B$6:$C$29,2,FALSE))</f>
        <v>34.338999999999999</v>
      </c>
      <c r="T28" s="3">
        <v>0.91</v>
      </c>
      <c r="U28" s="3">
        <f>IF($E28="〇",T28*基本シート!$E$2,T28*VLOOKUP(LEFT(U$6,FIND("(",U$6)-1),基本シート!$B$6:$C$29,2,FALSE))</f>
        <v>27.172599999999999</v>
      </c>
      <c r="V28" s="3">
        <v>1.63</v>
      </c>
      <c r="W28" s="3">
        <f>IF($E28="〇",V28*基本シート!$E$2,V28*VLOOKUP(LEFT(W$6,FIND("(",W$6)-1),基本シート!$B$6:$C$29,2,FALSE))</f>
        <v>60.081799999999994</v>
      </c>
      <c r="X28" s="3">
        <v>0.63</v>
      </c>
      <c r="Y28" s="3">
        <f>IF($E28="〇",X28*基本シート!$E$2,X28*VLOOKUP(LEFT(Y$6,FIND("(",Y$6)-1),基本シート!$B$6:$C$29,2,FALSE))</f>
        <v>23.221799999999998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0.2</v>
      </c>
      <c r="AS28" s="3">
        <f>IF($E28="〇",AR28*基本シート!$E$2,AR28*VLOOKUP(LEFT(AS$6,FIND("(",AS$6)-1),基本シート!$B$6:$C$29,2,FALSE))</f>
        <v>7.3719999999999999</v>
      </c>
      <c r="AT28" s="3">
        <v>1.19</v>
      </c>
      <c r="AU28" s="3">
        <f>IF($E28="〇",AT28*基本シート!$E$2,AT28*VLOOKUP(LEFT(AU$6,FIND("(",AU$6)-1),基本シート!$B$6:$C$29,2,FALSE))</f>
        <v>43.863399999999999</v>
      </c>
      <c r="AV28" s="3">
        <v>1</v>
      </c>
      <c r="AW28" s="3">
        <f>IF($E28="〇",AV28*基本シート!$E$2,AV28*VLOOKUP(LEFT(AW$6,FIND("(",AW$6)-1),基本シート!$B$6:$C$29,2,FALSE))</f>
        <v>36.86</v>
      </c>
      <c r="AX28" s="3">
        <v>2</v>
      </c>
      <c r="AY28" s="3">
        <f>IF($E28="〇",AX28*基本シート!$E$2,AX28*VLOOKUP(LEFT(AY$6,FIND("(",AY$6)-1),基本シート!$B$6:$C$29,2,FALSE))</f>
        <v>59.72</v>
      </c>
      <c r="AZ28" s="3">
        <v>0.79</v>
      </c>
      <c r="BA28" s="3">
        <f>IF($E28="〇",AZ28*基本シート!$E$2,AZ28*VLOOKUP(LEFT(BA$6,FIND("(",BA$6)-1),基本シート!$B$6:$C$29,2,FALSE))</f>
        <v>23.589400000000001</v>
      </c>
      <c r="BB28" s="3">
        <v>0.81</v>
      </c>
      <c r="BC28" s="3">
        <f>IF($E28="〇",BB28*基本シート!$E$2,BB28*VLOOKUP(LEFT(BC$6,FIND("(",BC$6)-1),基本シート!$B$6:$C$29,2,FALSE))</f>
        <v>24.186600000000002</v>
      </c>
      <c r="BD28" s="3">
        <f t="shared" si="7"/>
        <v>16.04</v>
      </c>
      <c r="BE28" s="3">
        <f t="shared" si="8"/>
        <v>512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0.17</v>
      </c>
      <c r="BN28" s="3">
        <v>0.84</v>
      </c>
      <c r="BO28" s="3">
        <v>2.92</v>
      </c>
      <c r="BP28" s="3">
        <v>4.12</v>
      </c>
      <c r="BQ28" s="3">
        <v>5.63</v>
      </c>
      <c r="BR28" s="3">
        <v>4.83</v>
      </c>
      <c r="BS28" s="3">
        <v>4.0599999999999996</v>
      </c>
      <c r="BT28" s="3">
        <v>1.59</v>
      </c>
      <c r="BU28" s="3">
        <v>1.02</v>
      </c>
      <c r="BV28" s="3">
        <v>7.0000000000000007E-2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0.2</v>
      </c>
      <c r="CW28" s="3">
        <f>CV28*基本シート!$C$3</f>
        <v>3.2</v>
      </c>
      <c r="CX28" s="3">
        <v>0.24</v>
      </c>
      <c r="CY28" s="3">
        <f>CX28*基本シート!$C$3</f>
        <v>3.84</v>
      </c>
      <c r="CZ28" s="3">
        <v>4.07</v>
      </c>
      <c r="DA28" s="3">
        <f>CZ28*基本シート!$C$3</f>
        <v>65.12</v>
      </c>
      <c r="DB28" s="3">
        <v>4.0199999999999996</v>
      </c>
      <c r="DC28" s="3">
        <f>DB28*基本シート!$C$3</f>
        <v>64.319999999999993</v>
      </c>
      <c r="DD28" s="3">
        <v>3.41</v>
      </c>
      <c r="DE28" s="3">
        <f>DD28*基本シート!$C$3</f>
        <v>54.56</v>
      </c>
      <c r="DF28" s="3">
        <v>0.43</v>
      </c>
      <c r="DG28" s="3">
        <f>DF28*基本シート!$C$3</f>
        <v>6.88</v>
      </c>
      <c r="DH28" s="3">
        <v>0.41</v>
      </c>
      <c r="DI28" s="3">
        <f>DH28*基本シート!$C$3</f>
        <v>6.56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12.81</v>
      </c>
      <c r="EA28" s="3">
        <f>ROUND(DZ28*基本シート!$C$3,0)</f>
        <v>205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0.03</v>
      </c>
      <c r="EI28" s="3">
        <v>0</v>
      </c>
      <c r="EJ28" s="3">
        <v>0.28000000000000003</v>
      </c>
      <c r="EK28" s="3">
        <v>2.06</v>
      </c>
      <c r="EL28" s="3">
        <v>3.2</v>
      </c>
      <c r="EM28" s="3">
        <v>0.91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0.02</v>
      </c>
      <c r="EZ28" s="3">
        <f t="shared" si="11"/>
        <v>6.7900000000000009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0.21</v>
      </c>
      <c r="FP28" s="3">
        <v>0.52</v>
      </c>
      <c r="FQ28" s="3">
        <v>2.13</v>
      </c>
      <c r="FR28" s="3">
        <v>1.74</v>
      </c>
      <c r="FS28" s="3">
        <v>0.85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5.46</v>
      </c>
      <c r="FZ28" s="3">
        <v>0.82</v>
      </c>
      <c r="GA28" s="3">
        <v>0.74</v>
      </c>
      <c r="GB28" s="3">
        <v>0.87</v>
      </c>
      <c r="GC28" s="3">
        <v>1.97</v>
      </c>
      <c r="GD28" s="3">
        <v>1.18</v>
      </c>
      <c r="GE28" s="3">
        <v>1.1200000000000001</v>
      </c>
      <c r="GF28" s="3">
        <v>0.88</v>
      </c>
      <c r="GG28" s="3">
        <v>1.8</v>
      </c>
      <c r="GH28" s="3">
        <v>1.19</v>
      </c>
      <c r="GI28" s="3">
        <v>0.66</v>
      </c>
      <c r="GJ28" s="3">
        <v>0.68</v>
      </c>
      <c r="GK28" s="3">
        <v>0.65</v>
      </c>
      <c r="GL28" s="3">
        <v>0.82</v>
      </c>
      <c r="GM28" s="3">
        <v>0.65</v>
      </c>
      <c r="GN28" s="3">
        <v>1.37</v>
      </c>
      <c r="GO28" s="3">
        <v>1.1299999999999999</v>
      </c>
      <c r="GP28" s="3">
        <v>2.2000000000000002</v>
      </c>
      <c r="GQ28" s="3">
        <v>1.73</v>
      </c>
      <c r="GR28" s="3">
        <v>1.04</v>
      </c>
      <c r="GS28" s="3">
        <v>1.1599999999999999</v>
      </c>
      <c r="GT28" s="3">
        <v>0.97</v>
      </c>
      <c r="GU28" s="3">
        <v>1.97</v>
      </c>
      <c r="GV28" s="3">
        <v>0.76</v>
      </c>
      <c r="GW28" s="3">
        <v>0.79</v>
      </c>
      <c r="GX28" s="3">
        <f t="shared" si="13"/>
        <v>27.15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340</v>
      </c>
      <c r="C29" s="6" t="str">
        <f>TEXT(VLOOKUP(LEFT(B29,FIND("月",B29)),基本シート!$E$6:$F$17,2,FALSE)&amp;B29,"aaaa")</f>
        <v>木曜日</v>
      </c>
      <c r="D29" s="6"/>
      <c r="E29" s="6" t="str">
        <f t="shared" si="9"/>
        <v/>
      </c>
      <c r="F29" s="6" t="s">
        <v>296</v>
      </c>
      <c r="G29" s="6" t="s">
        <v>298</v>
      </c>
      <c r="H29" s="3">
        <v>0.72</v>
      </c>
      <c r="I29" s="3">
        <f>IF($E29="〇",H29*基本シート!$E$2,H29*VLOOKUP(LEFT(I$6,FIND("(",I$6)-1),基本シート!$B$6:$C$29,2,FALSE))</f>
        <v>21.499199999999998</v>
      </c>
      <c r="J29" s="3">
        <v>0.66</v>
      </c>
      <c r="K29" s="3">
        <f>IF($E29="〇",J29*基本シート!$E$2,J29*VLOOKUP(LEFT(K$6,FIND("(",K$6)-1),基本シート!$B$6:$C$29,2,FALSE))</f>
        <v>19.707599999999999</v>
      </c>
      <c r="L29" s="3">
        <v>1.67</v>
      </c>
      <c r="M29" s="3">
        <f>IF($E29="〇",L29*基本シート!$E$2,L29*VLOOKUP(LEFT(M$6,FIND("(",M$6)-1),基本シート!$B$6:$C$29,2,FALSE))</f>
        <v>49.866199999999999</v>
      </c>
      <c r="N29" s="3">
        <v>1.01</v>
      </c>
      <c r="O29" s="3">
        <f>IF($E29="〇",N29*基本シート!$E$2,N29*VLOOKUP(LEFT(O$6,FIND("(",O$6)-1),基本シート!$B$6:$C$29,2,FALSE))</f>
        <v>30.1586</v>
      </c>
      <c r="P29" s="3">
        <v>1.17</v>
      </c>
      <c r="Q29" s="3">
        <f>IF($E29="〇",P29*基本シート!$E$2,P29*VLOOKUP(LEFT(Q$6,FIND("(",Q$6)-1),基本シート!$B$6:$C$29,2,FALSE))</f>
        <v>34.936199999999999</v>
      </c>
      <c r="R29" s="3">
        <v>0.88</v>
      </c>
      <c r="S29" s="3">
        <f>IF($E29="〇",R29*基本シート!$E$2,R29*VLOOKUP(LEFT(S$6,FIND("(",S$6)-1),基本シート!$B$6:$C$29,2,FALSE))</f>
        <v>26.276799999999998</v>
      </c>
      <c r="T29" s="3">
        <v>0.75</v>
      </c>
      <c r="U29" s="3">
        <f>IF($E29="〇",T29*基本シート!$E$2,T29*VLOOKUP(LEFT(U$6,FIND("(",U$6)-1),基本シート!$B$6:$C$29,2,FALSE))</f>
        <v>22.395</v>
      </c>
      <c r="V29" s="3">
        <v>1.56</v>
      </c>
      <c r="W29" s="3">
        <f>IF($E29="〇",V29*基本シート!$E$2,V29*VLOOKUP(LEFT(W$6,FIND("(",W$6)-1),基本シート!$B$6:$C$29,2,FALSE))</f>
        <v>57.501600000000003</v>
      </c>
      <c r="X29" s="3">
        <v>1.45</v>
      </c>
      <c r="Y29" s="3">
        <f>IF($E29="〇",X29*基本シート!$E$2,X29*VLOOKUP(LEFT(Y$6,FIND("(",Y$6)-1),基本シート!$B$6:$C$29,2,FALSE))</f>
        <v>53.446999999999996</v>
      </c>
      <c r="Z29" s="3">
        <v>0.06</v>
      </c>
      <c r="AA29" s="3">
        <f>IF($E29="〇",Z29*基本シート!$E$2,Z29*VLOOKUP(LEFT(AA$6,FIND("(",AA$6)-1),基本シート!$B$6:$C$29,2,FALSE))</f>
        <v>2.2115999999999998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0.01</v>
      </c>
      <c r="AG29" s="3">
        <f>IF($E29="〇",AF29*基本シート!$E$2,AF29*VLOOKUP(LEFT(AG$6,FIND("(",AG$6)-1),基本シート!$B$6:$C$29,2,FALSE))</f>
        <v>0.36859999999999998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0.67</v>
      </c>
      <c r="AM29" s="3">
        <f>IF($E29="〇",AL29*基本シート!$E$2,AL29*VLOOKUP(LEFT(AM$6,FIND("(",AM$6)-1),基本シート!$B$6:$C$29,2,FALSE))</f>
        <v>24.696200000000001</v>
      </c>
      <c r="AN29" s="3">
        <v>2.37</v>
      </c>
      <c r="AO29" s="3">
        <f>IF($E29="〇",AN29*基本シート!$E$2,AN29*VLOOKUP(LEFT(AO$6,FIND("(",AO$6)-1),基本シート!$B$6:$C$29,2,FALSE))</f>
        <v>87.358199999999997</v>
      </c>
      <c r="AP29" s="3">
        <v>1.24</v>
      </c>
      <c r="AQ29" s="3">
        <f>IF($E29="〇",AP29*基本シート!$E$2,AP29*VLOOKUP(LEFT(AQ$6,FIND("(",AQ$6)-1),基本シート!$B$6:$C$29,2,FALSE))</f>
        <v>45.706400000000002</v>
      </c>
      <c r="AR29" s="3">
        <v>1.31</v>
      </c>
      <c r="AS29" s="3">
        <f>IF($E29="〇",AR29*基本シート!$E$2,AR29*VLOOKUP(LEFT(AS$6,FIND("(",AS$6)-1),基本シート!$B$6:$C$29,2,FALSE))</f>
        <v>48.2866</v>
      </c>
      <c r="AT29" s="3">
        <v>1.1499999999999999</v>
      </c>
      <c r="AU29" s="3">
        <f>IF($E29="〇",AT29*基本シート!$E$2,AT29*VLOOKUP(LEFT(AU$6,FIND("(",AU$6)-1),基本シート!$B$6:$C$29,2,FALSE))</f>
        <v>42.388999999999996</v>
      </c>
      <c r="AV29" s="3">
        <v>0.93</v>
      </c>
      <c r="AW29" s="3">
        <f>IF($E29="〇",AV29*基本シート!$E$2,AV29*VLOOKUP(LEFT(AW$6,FIND("(",AW$6)-1),基本シート!$B$6:$C$29,2,FALSE))</f>
        <v>34.279800000000002</v>
      </c>
      <c r="AX29" s="3">
        <v>1.53</v>
      </c>
      <c r="AY29" s="3">
        <f>IF($E29="〇",AX29*基本シート!$E$2,AX29*VLOOKUP(LEFT(AY$6,FIND("(",AY$6)-1),基本シート!$B$6:$C$29,2,FALSE))</f>
        <v>45.6858</v>
      </c>
      <c r="AZ29" s="3">
        <v>0.97</v>
      </c>
      <c r="BA29" s="3">
        <f>IF($E29="〇",AZ29*基本シート!$E$2,AZ29*VLOOKUP(LEFT(BA$6,FIND("(",BA$6)-1),基本シート!$B$6:$C$29,2,FALSE))</f>
        <v>28.964199999999998</v>
      </c>
      <c r="BB29" s="3">
        <v>0.76</v>
      </c>
      <c r="BC29" s="3">
        <f>IF($E29="〇",BB29*基本シート!$E$2,BB29*VLOOKUP(LEFT(BC$6,FIND("(",BC$6)-1),基本シート!$B$6:$C$29,2,FALSE))</f>
        <v>22.6936</v>
      </c>
      <c r="BD29" s="3">
        <f t="shared" si="7"/>
        <v>20.87</v>
      </c>
      <c r="BE29" s="3">
        <f t="shared" si="8"/>
        <v>698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0.04</v>
      </c>
      <c r="BN29" s="3">
        <v>0.28999999999999998</v>
      </c>
      <c r="BO29" s="3">
        <v>1.43</v>
      </c>
      <c r="BP29" s="3">
        <v>3.28</v>
      </c>
      <c r="BQ29" s="3">
        <v>1.8</v>
      </c>
      <c r="BR29" s="3">
        <v>0.92</v>
      </c>
      <c r="BS29" s="3">
        <v>0.61</v>
      </c>
      <c r="BT29" s="3">
        <v>0.55000000000000004</v>
      </c>
      <c r="BU29" s="3">
        <v>0.18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0.3</v>
      </c>
      <c r="CY29" s="3">
        <f>CX29*基本シート!$C$3</f>
        <v>4.8</v>
      </c>
      <c r="CZ29" s="3">
        <v>0.01</v>
      </c>
      <c r="DA29" s="3">
        <f>CZ29*基本シート!$C$3</f>
        <v>0.16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0.01</v>
      </c>
      <c r="DG29" s="3">
        <f>DF29*基本シート!$C$3</f>
        <v>0.16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0.34</v>
      </c>
      <c r="EA29" s="3">
        <f>ROUND(DZ29*基本シート!$C$3,0)</f>
        <v>5</v>
      </c>
      <c r="EB29" s="3">
        <v>0.02</v>
      </c>
      <c r="EC29" s="3">
        <v>0.03</v>
      </c>
      <c r="ED29" s="3">
        <v>0.03</v>
      </c>
      <c r="EE29" s="3">
        <v>0.02</v>
      </c>
      <c r="EF29" s="3">
        <v>0.03</v>
      </c>
      <c r="EG29" s="3">
        <v>0.03</v>
      </c>
      <c r="EH29" s="3">
        <v>0.03</v>
      </c>
      <c r="EI29" s="3">
        <v>0.01</v>
      </c>
      <c r="EJ29" s="3">
        <v>0.01</v>
      </c>
      <c r="EK29" s="3">
        <v>0.83</v>
      </c>
      <c r="EL29" s="3">
        <v>2.33</v>
      </c>
      <c r="EM29" s="3">
        <v>1.07</v>
      </c>
      <c r="EN29" s="3">
        <v>0.26</v>
      </c>
      <c r="EO29" s="3">
        <v>0</v>
      </c>
      <c r="EP29" s="3">
        <v>0</v>
      </c>
      <c r="EQ29" s="3">
        <v>0</v>
      </c>
      <c r="ER29" s="3">
        <v>0.01</v>
      </c>
      <c r="ES29" s="3">
        <v>0.04</v>
      </c>
      <c r="ET29" s="3">
        <v>0.05</v>
      </c>
      <c r="EU29" s="3">
        <v>0.04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1"/>
        <v>4.9800000000000004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0.04</v>
      </c>
      <c r="FO29" s="3">
        <v>1.63</v>
      </c>
      <c r="FP29" s="3">
        <v>1.68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3.3499999999999996</v>
      </c>
      <c r="FZ29" s="3">
        <v>0.7</v>
      </c>
      <c r="GA29" s="3">
        <v>0.63</v>
      </c>
      <c r="GB29" s="3">
        <v>1.64</v>
      </c>
      <c r="GC29" s="3">
        <v>0.99</v>
      </c>
      <c r="GD29" s="3">
        <v>1.1399999999999999</v>
      </c>
      <c r="GE29" s="3">
        <v>0.85</v>
      </c>
      <c r="GF29" s="3">
        <v>0.72</v>
      </c>
      <c r="GG29" s="3">
        <v>1.59</v>
      </c>
      <c r="GH29" s="3">
        <v>1.73</v>
      </c>
      <c r="GI29" s="3">
        <v>0.66</v>
      </c>
      <c r="GJ29" s="3">
        <v>0.65</v>
      </c>
      <c r="GK29" s="3">
        <v>0.72</v>
      </c>
      <c r="GL29" s="3">
        <v>0.66</v>
      </c>
      <c r="GM29" s="3">
        <v>0.64</v>
      </c>
      <c r="GN29" s="3">
        <v>2.17</v>
      </c>
      <c r="GO29" s="3">
        <v>2.5299999999999998</v>
      </c>
      <c r="GP29" s="3">
        <v>2.36</v>
      </c>
      <c r="GQ29" s="3">
        <v>1.2</v>
      </c>
      <c r="GR29" s="3">
        <v>1.26</v>
      </c>
      <c r="GS29" s="3">
        <v>1.1100000000000001</v>
      </c>
      <c r="GT29" s="3">
        <v>0.9</v>
      </c>
      <c r="GU29" s="3">
        <v>1.49</v>
      </c>
      <c r="GV29" s="3">
        <v>0.93</v>
      </c>
      <c r="GW29" s="3">
        <v>0.73</v>
      </c>
      <c r="GX29" s="3">
        <f t="shared" si="13"/>
        <v>28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341</v>
      </c>
      <c r="C30" s="6" t="str">
        <f>TEXT(VLOOKUP(LEFT(B30,FIND("月",B30)),基本シート!$E$6:$F$17,2,FALSE)&amp;B30,"aaaa")</f>
        <v>金曜日</v>
      </c>
      <c r="D30" s="6"/>
      <c r="E30" s="6" t="str">
        <f t="shared" si="9"/>
        <v/>
      </c>
      <c r="F30" s="6" t="s">
        <v>298</v>
      </c>
      <c r="G30" s="6" t="s">
        <v>298</v>
      </c>
      <c r="H30" s="3">
        <v>0.75</v>
      </c>
      <c r="I30" s="3">
        <f>IF($E30="〇",H30*基本シート!$E$2,H30*VLOOKUP(LEFT(I$6,FIND("(",I$6)-1),基本シート!$B$6:$C$29,2,FALSE))</f>
        <v>22.395</v>
      </c>
      <c r="J30" s="3">
        <v>1.69</v>
      </c>
      <c r="K30" s="3">
        <f>IF($E30="〇",J30*基本シート!$E$2,J30*VLOOKUP(LEFT(K$6,FIND("(",K$6)-1),基本シート!$B$6:$C$29,2,FALSE))</f>
        <v>50.4634</v>
      </c>
      <c r="L30" s="3">
        <v>0.7</v>
      </c>
      <c r="M30" s="3">
        <f>IF($E30="〇",L30*基本シート!$E$2,L30*VLOOKUP(LEFT(M$6,FIND("(",M$6)-1),基本シート!$B$6:$C$29,2,FALSE))</f>
        <v>20.901999999999997</v>
      </c>
      <c r="N30" s="3">
        <v>1.07</v>
      </c>
      <c r="O30" s="3">
        <f>IF($E30="〇",N30*基本シート!$E$2,N30*VLOOKUP(LEFT(O$6,FIND("(",O$6)-1),基本シート!$B$6:$C$29,2,FALSE))</f>
        <v>31.950200000000002</v>
      </c>
      <c r="P30" s="3">
        <v>0.97</v>
      </c>
      <c r="Q30" s="3">
        <f>IF($E30="〇",P30*基本シート!$E$2,P30*VLOOKUP(LEFT(Q$6,FIND("(",Q$6)-1),基本シート!$B$6:$C$29,2,FALSE))</f>
        <v>28.964199999999998</v>
      </c>
      <c r="R30" s="3">
        <v>0.95</v>
      </c>
      <c r="S30" s="3">
        <f>IF($E30="〇",R30*基本シート!$E$2,R30*VLOOKUP(LEFT(S$6,FIND("(",S$6)-1),基本シート!$B$6:$C$29,2,FALSE))</f>
        <v>28.366999999999997</v>
      </c>
      <c r="T30" s="3">
        <v>2.44</v>
      </c>
      <c r="U30" s="3">
        <f>IF($E30="〇",T30*基本シート!$E$2,T30*VLOOKUP(LEFT(U$6,FIND("(",U$6)-1),基本シート!$B$6:$C$29,2,FALSE))</f>
        <v>72.858400000000003</v>
      </c>
      <c r="V30" s="3">
        <v>1.1499999999999999</v>
      </c>
      <c r="W30" s="3">
        <f>IF($E30="〇",V30*基本シート!$E$2,V30*VLOOKUP(LEFT(W$6,FIND("(",W$6)-1),基本シート!$B$6:$C$29,2,FALSE))</f>
        <v>42.388999999999996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0.01</v>
      </c>
      <c r="AC30" s="3">
        <f>IF($E30="〇",AB30*基本シート!$E$2,AB30*VLOOKUP(LEFT(AC$6,FIND("(",AC$6)-1),基本シート!$B$6:$C$29,2,FALSE))</f>
        <v>0.36859999999999998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0.36859999999999998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1.01</v>
      </c>
      <c r="AS30" s="3">
        <f>IF($E30="〇",AR30*基本シート!$E$2,AR30*VLOOKUP(LEFT(AS$6,FIND("(",AS$6)-1),基本シート!$B$6:$C$29,2,FALSE))</f>
        <v>37.2286</v>
      </c>
      <c r="AT30" s="3">
        <v>1.34</v>
      </c>
      <c r="AU30" s="3">
        <f>IF($E30="〇",AT30*基本シート!$E$2,AT30*VLOOKUP(LEFT(AU$6,FIND("(",AU$6)-1),基本シート!$B$6:$C$29,2,FALSE))</f>
        <v>49.392400000000002</v>
      </c>
      <c r="AV30" s="3">
        <v>0.95</v>
      </c>
      <c r="AW30" s="3">
        <f>IF($E30="〇",AV30*基本シート!$E$2,AV30*VLOOKUP(LEFT(AW$6,FIND("(",AW$6)-1),基本シート!$B$6:$C$29,2,FALSE))</f>
        <v>35.016999999999996</v>
      </c>
      <c r="AX30" s="3">
        <v>0.88</v>
      </c>
      <c r="AY30" s="3">
        <f>IF($E30="〇",AX30*基本シート!$E$2,AX30*VLOOKUP(LEFT(AY$6,FIND("(",AY$6)-1),基本シート!$B$6:$C$29,2,FALSE))</f>
        <v>26.276799999999998</v>
      </c>
      <c r="AZ30" s="3">
        <v>0.7</v>
      </c>
      <c r="BA30" s="3">
        <f>IF($E30="〇",AZ30*基本シート!$E$2,AZ30*VLOOKUP(LEFT(BA$6,FIND("(",BA$6)-1),基本シート!$B$6:$C$29,2,FALSE))</f>
        <v>20.901999999999997</v>
      </c>
      <c r="BB30" s="3">
        <v>0.88</v>
      </c>
      <c r="BC30" s="3">
        <f>IF($E30="〇",BB30*基本シート!$E$2,BB30*VLOOKUP(LEFT(BC$6,FIND("(",BC$6)-1),基本シート!$B$6:$C$29,2,FALSE))</f>
        <v>26.276799999999998</v>
      </c>
      <c r="BD30" s="3">
        <f t="shared" si="7"/>
        <v>15.51</v>
      </c>
      <c r="BE30" s="3">
        <f t="shared" si="8"/>
        <v>494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0.37</v>
      </c>
      <c r="BN30" s="3">
        <v>2.1</v>
      </c>
      <c r="BO30" s="3">
        <v>2.1</v>
      </c>
      <c r="BP30" s="3">
        <v>3.68</v>
      </c>
      <c r="BQ30" s="3">
        <v>2.1800000000000002</v>
      </c>
      <c r="BR30" s="3">
        <v>1.24</v>
      </c>
      <c r="BS30" s="3">
        <v>2.4900000000000002</v>
      </c>
      <c r="BT30" s="3">
        <v>3.44</v>
      </c>
      <c r="BU30" s="3">
        <v>1.88</v>
      </c>
      <c r="BV30" s="3">
        <v>0.14000000000000001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0.31</v>
      </c>
      <c r="CU30" s="3">
        <f>CT30*基本シート!$C$3</f>
        <v>4.96</v>
      </c>
      <c r="CV30" s="3">
        <v>0.19</v>
      </c>
      <c r="CW30" s="3">
        <f>CV30*基本シート!$C$3</f>
        <v>3.04</v>
      </c>
      <c r="CX30" s="3">
        <v>0.51</v>
      </c>
      <c r="CY30" s="3">
        <f>CX30*基本シート!$C$3</f>
        <v>8.16</v>
      </c>
      <c r="CZ30" s="3">
        <v>0.41</v>
      </c>
      <c r="DA30" s="3">
        <f>CZ30*基本シート!$C$3</f>
        <v>6.56</v>
      </c>
      <c r="DB30" s="3">
        <v>0.49</v>
      </c>
      <c r="DC30" s="3">
        <f>DB30*基本シート!$C$3</f>
        <v>7.84</v>
      </c>
      <c r="DD30" s="3">
        <v>0.83</v>
      </c>
      <c r="DE30" s="3">
        <f>DD30*基本シート!$C$3</f>
        <v>13.28</v>
      </c>
      <c r="DF30" s="3">
        <v>2.84</v>
      </c>
      <c r="DG30" s="3">
        <f>DF30*基本シート!$C$3</f>
        <v>45.44</v>
      </c>
      <c r="DH30" s="3">
        <v>1.05</v>
      </c>
      <c r="DI30" s="3">
        <f>DH30*基本シート!$C$3</f>
        <v>16.8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6.6499999999999995</v>
      </c>
      <c r="EA30" s="3">
        <f>ROUND(DZ30*基本シート!$C$3,0)</f>
        <v>106</v>
      </c>
      <c r="EB30" s="3">
        <v>0.04</v>
      </c>
      <c r="EC30" s="3">
        <v>0.03</v>
      </c>
      <c r="ED30" s="3">
        <v>0.04</v>
      </c>
      <c r="EE30" s="3">
        <v>0.05</v>
      </c>
      <c r="EF30" s="3">
        <v>0.04</v>
      </c>
      <c r="EG30" s="3">
        <v>0.04</v>
      </c>
      <c r="EH30" s="3">
        <v>0.03</v>
      </c>
      <c r="EI30" s="3">
        <v>0.02</v>
      </c>
      <c r="EJ30" s="3">
        <v>1.24</v>
      </c>
      <c r="EK30" s="3">
        <v>1.23</v>
      </c>
      <c r="EL30" s="3">
        <v>2.54</v>
      </c>
      <c r="EM30" s="3">
        <v>1.1000000000000001</v>
      </c>
      <c r="EN30" s="3">
        <v>0</v>
      </c>
      <c r="EO30" s="3">
        <v>0.23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11"/>
        <v>6.780000000000002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0.12</v>
      </c>
      <c r="FN30" s="3">
        <v>0</v>
      </c>
      <c r="FO30" s="3">
        <v>0</v>
      </c>
      <c r="FP30" s="3">
        <v>0.53</v>
      </c>
      <c r="FQ30" s="3">
        <v>2.46</v>
      </c>
      <c r="FR30" s="3">
        <v>2.19</v>
      </c>
      <c r="FS30" s="3">
        <v>0.08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5.38</v>
      </c>
      <c r="FZ30" s="3">
        <v>0.71</v>
      </c>
      <c r="GA30" s="3">
        <v>1.66</v>
      </c>
      <c r="GB30" s="3">
        <v>0.66</v>
      </c>
      <c r="GC30" s="3">
        <v>1.02</v>
      </c>
      <c r="GD30" s="3">
        <v>0.93</v>
      </c>
      <c r="GE30" s="3">
        <v>0.91</v>
      </c>
      <c r="GF30" s="3">
        <v>2.41</v>
      </c>
      <c r="GG30" s="3">
        <v>1.5</v>
      </c>
      <c r="GH30" s="3">
        <v>0.55000000000000004</v>
      </c>
      <c r="GI30" s="3">
        <v>0.68</v>
      </c>
      <c r="GJ30" s="3">
        <v>0.64</v>
      </c>
      <c r="GK30" s="3">
        <v>0.67</v>
      </c>
      <c r="GL30" s="3">
        <v>0.87</v>
      </c>
      <c r="GM30" s="3">
        <v>1.43</v>
      </c>
      <c r="GN30" s="3">
        <v>0.6</v>
      </c>
      <c r="GO30" s="3">
        <v>1.36</v>
      </c>
      <c r="GP30" s="3">
        <v>2.6</v>
      </c>
      <c r="GQ30" s="3">
        <v>2.19</v>
      </c>
      <c r="GR30" s="3">
        <v>1.0900000000000001</v>
      </c>
      <c r="GS30" s="3">
        <v>1.31</v>
      </c>
      <c r="GT30" s="3">
        <v>0.92</v>
      </c>
      <c r="GU30" s="3">
        <v>0.85</v>
      </c>
      <c r="GV30" s="3">
        <v>0.67</v>
      </c>
      <c r="GW30" s="3">
        <v>0.85</v>
      </c>
      <c r="GX30" s="3">
        <f t="shared" si="13"/>
        <v>27.080000000000009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342</v>
      </c>
      <c r="C31" s="6" t="str">
        <f>TEXT(VLOOKUP(LEFT(B31,FIND("月",B31)),基本シート!$E$6:$F$17,2,FALSE)&amp;B31,"aaaa")</f>
        <v>土曜日</v>
      </c>
      <c r="D31" s="6"/>
      <c r="E31" s="6" t="str">
        <f t="shared" si="9"/>
        <v>〇</v>
      </c>
      <c r="F31" s="6" t="s">
        <v>298</v>
      </c>
      <c r="G31" s="6" t="s">
        <v>298</v>
      </c>
      <c r="H31" s="3">
        <v>0.79</v>
      </c>
      <c r="I31" s="3">
        <f>IF($E31="〇",H31*基本シート!$E$2,H31*VLOOKUP(LEFT(I$6,FIND("(",I$6)-1),基本シート!$B$6:$C$29,2,FALSE))</f>
        <v>23.589400000000001</v>
      </c>
      <c r="J31" s="3">
        <v>0.99</v>
      </c>
      <c r="K31" s="3">
        <f>IF($E31="〇",J31*基本シート!$E$2,J31*VLOOKUP(LEFT(K$6,FIND("(",K$6)-1),基本シート!$B$6:$C$29,2,FALSE))</f>
        <v>29.561399999999999</v>
      </c>
      <c r="L31" s="3">
        <v>0.87</v>
      </c>
      <c r="M31" s="3">
        <f>IF($E31="〇",L31*基本シート!$E$2,L31*VLOOKUP(LEFT(M$6,FIND("(",M$6)-1),基本シート!$B$6:$C$29,2,FALSE))</f>
        <v>25.978200000000001</v>
      </c>
      <c r="N31" s="3">
        <v>1.1200000000000001</v>
      </c>
      <c r="O31" s="3">
        <f>IF($E31="〇",N31*基本シート!$E$2,N31*VLOOKUP(LEFT(O$6,FIND("(",O$6)-1),基本シート!$B$6:$C$29,2,FALSE))</f>
        <v>33.443200000000004</v>
      </c>
      <c r="P31" s="3">
        <v>1.08</v>
      </c>
      <c r="Q31" s="3">
        <f>IF($E31="〇",P31*基本シート!$E$2,P31*VLOOKUP(LEFT(Q$6,FIND("(",Q$6)-1),基本シート!$B$6:$C$29,2,FALSE))</f>
        <v>32.248800000000003</v>
      </c>
      <c r="R31" s="3">
        <v>1.31</v>
      </c>
      <c r="S31" s="3">
        <f>IF($E31="〇",R31*基本シート!$E$2,R31*VLOOKUP(LEFT(S$6,FIND("(",S$6)-1),基本シート!$B$6:$C$29,2,FALSE))</f>
        <v>39.116599999999998</v>
      </c>
      <c r="T31" s="3">
        <v>2.09</v>
      </c>
      <c r="U31" s="3">
        <f>IF($E31="〇",T31*基本シート!$E$2,T31*VLOOKUP(LEFT(U$6,FIND("(",U$6)-1),基本シート!$B$6:$C$29,2,FALSE))</f>
        <v>62.407399999999996</v>
      </c>
      <c r="V31" s="3">
        <v>0.85</v>
      </c>
      <c r="W31" s="3">
        <f>IF($E31="〇",V31*基本シート!$E$2,V31*VLOOKUP(LEFT(W$6,FIND("(",W$6)-1),基本シート!$B$6:$C$29,2,FALSE))</f>
        <v>25.381</v>
      </c>
      <c r="X31" s="3">
        <v>0.06</v>
      </c>
      <c r="Y31" s="3">
        <f>IF($E31="〇",X31*基本シート!$E$2,X31*VLOOKUP(LEFT(Y$6,FIND("(",Y$6)-1),基本シート!$B$6:$C$29,2,FALSE))</f>
        <v>1.7915999999999999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0.59719999999999995</v>
      </c>
      <c r="AP31" s="3">
        <v>0.74</v>
      </c>
      <c r="AQ31" s="3">
        <f>IF($E31="〇",AP31*基本シート!$E$2,AP31*VLOOKUP(LEFT(AQ$6,FIND("(",AQ$6)-1),基本シート!$B$6:$C$29,2,FALSE))</f>
        <v>22.096399999999999</v>
      </c>
      <c r="AR31" s="3">
        <v>3.6</v>
      </c>
      <c r="AS31" s="3">
        <f>IF($E31="〇",AR31*基本シート!$E$2,AR31*VLOOKUP(LEFT(AS$6,FIND("(",AS$6)-1),基本シート!$B$6:$C$29,2,FALSE))</f>
        <v>107.496</v>
      </c>
      <c r="AT31" s="3">
        <v>2.31</v>
      </c>
      <c r="AU31" s="3">
        <f>IF($E31="〇",AT31*基本シート!$E$2,AT31*VLOOKUP(LEFT(AU$6,FIND("(",AU$6)-1),基本シート!$B$6:$C$29,2,FALSE))</f>
        <v>68.976600000000005</v>
      </c>
      <c r="AV31" s="3">
        <v>0.91</v>
      </c>
      <c r="AW31" s="3">
        <f>IF($E31="〇",AV31*基本シート!$E$2,AV31*VLOOKUP(LEFT(AW$6,FIND("(",AW$6)-1),基本シート!$B$6:$C$29,2,FALSE))</f>
        <v>27.172599999999999</v>
      </c>
      <c r="AX31" s="3">
        <v>0.91</v>
      </c>
      <c r="AY31" s="3">
        <f>IF($E31="〇",AX31*基本シート!$E$2,AX31*VLOOKUP(LEFT(AY$6,FIND("(",AY$6)-1),基本シート!$B$6:$C$29,2,FALSE))</f>
        <v>27.172599999999999</v>
      </c>
      <c r="AZ31" s="3">
        <v>0.87</v>
      </c>
      <c r="BA31" s="3">
        <f>IF($E31="〇",AZ31*基本シート!$E$2,AZ31*VLOOKUP(LEFT(BA$6,FIND("(",BA$6)-1),基本シート!$B$6:$C$29,2,FALSE))</f>
        <v>25.978200000000001</v>
      </c>
      <c r="BB31" s="3">
        <v>0.83</v>
      </c>
      <c r="BC31" s="3">
        <f>IF($E31="〇",BB31*基本シート!$E$2,BB31*VLOOKUP(LEFT(BC$6,FIND("(",BC$6)-1),基本シート!$B$6:$C$29,2,FALSE))</f>
        <v>24.783799999999999</v>
      </c>
      <c r="BD31" s="3">
        <f t="shared" si="7"/>
        <v>19.349999999999998</v>
      </c>
      <c r="BE31" s="3">
        <f t="shared" si="8"/>
        <v>578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0.34</v>
      </c>
      <c r="BN31" s="3">
        <v>2.39</v>
      </c>
      <c r="BO31" s="3">
        <v>4.75</v>
      </c>
      <c r="BP31" s="3">
        <v>5.67</v>
      </c>
      <c r="BQ31" s="3">
        <v>4.84</v>
      </c>
      <c r="BR31" s="3">
        <v>4.71</v>
      </c>
      <c r="BS31" s="3">
        <v>5.1100000000000003</v>
      </c>
      <c r="BT31" s="3">
        <v>3.44</v>
      </c>
      <c r="BU31" s="3">
        <v>1.1100000000000001</v>
      </c>
      <c r="BV31" s="3">
        <v>0.16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0.03</v>
      </c>
      <c r="CU31" s="3">
        <f>CT31*基本シート!$C$3</f>
        <v>0.48</v>
      </c>
      <c r="CV31" s="3">
        <v>1.01</v>
      </c>
      <c r="CW31" s="3">
        <f>CV31*基本シート!$C$3</f>
        <v>16.16</v>
      </c>
      <c r="CX31" s="3">
        <v>2.16</v>
      </c>
      <c r="CY31" s="3">
        <f>CX31*基本シート!$C$3</f>
        <v>34.56</v>
      </c>
      <c r="CZ31" s="3">
        <v>3.4</v>
      </c>
      <c r="DA31" s="3">
        <f>CZ31*基本シート!$C$3</f>
        <v>54.4</v>
      </c>
      <c r="DB31" s="3">
        <v>4.09</v>
      </c>
      <c r="DC31" s="3">
        <f>DB31*基本シート!$C$3</f>
        <v>65.44</v>
      </c>
      <c r="DD31" s="3">
        <v>4.4800000000000004</v>
      </c>
      <c r="DE31" s="3">
        <f>DD31*基本シート!$C$3</f>
        <v>71.680000000000007</v>
      </c>
      <c r="DF31" s="3">
        <v>2.85</v>
      </c>
      <c r="DG31" s="3">
        <f>DF31*基本シート!$C$3</f>
        <v>45.6</v>
      </c>
      <c r="DH31" s="3">
        <v>0.48</v>
      </c>
      <c r="DI31" s="3">
        <f>DH31*基本シート!$C$3</f>
        <v>7.68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18.520000000000003</v>
      </c>
      <c r="EA31" s="3">
        <f>ROUND(DZ31*基本シート!$C$3,0)</f>
        <v>296</v>
      </c>
      <c r="EB31" s="3">
        <v>0.03</v>
      </c>
      <c r="EC31" s="3">
        <v>0.03</v>
      </c>
      <c r="ED31" s="3">
        <v>0.04</v>
      </c>
      <c r="EE31" s="3">
        <v>0.03</v>
      </c>
      <c r="EF31" s="3">
        <v>0.04</v>
      </c>
      <c r="EG31" s="3">
        <v>0.04</v>
      </c>
      <c r="EH31" s="3">
        <v>0.03</v>
      </c>
      <c r="EI31" s="3">
        <v>0.01</v>
      </c>
      <c r="EJ31" s="3">
        <v>1.1200000000000001</v>
      </c>
      <c r="EK31" s="3">
        <v>2.73</v>
      </c>
      <c r="EL31" s="3">
        <v>2.6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0.04</v>
      </c>
      <c r="EV31" s="3">
        <v>0.04</v>
      </c>
      <c r="EW31" s="3">
        <v>0.04</v>
      </c>
      <c r="EX31" s="3">
        <v>0.03</v>
      </c>
      <c r="EY31" s="3">
        <v>0.04</v>
      </c>
      <c r="EZ31" s="3">
        <f t="shared" si="11"/>
        <v>6.92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0.01</v>
      </c>
      <c r="FM31" s="3">
        <v>0</v>
      </c>
      <c r="FN31" s="3">
        <v>0</v>
      </c>
      <c r="FO31" s="3">
        <v>0.01</v>
      </c>
      <c r="FP31" s="3">
        <v>0.77</v>
      </c>
      <c r="FQ31" s="3">
        <v>2.2400000000000002</v>
      </c>
      <c r="FR31" s="3">
        <v>2.0699999999999998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5.0999999999999996</v>
      </c>
      <c r="FZ31" s="3">
        <v>0.76</v>
      </c>
      <c r="GA31" s="3">
        <v>0.96</v>
      </c>
      <c r="GB31" s="3">
        <v>0.83</v>
      </c>
      <c r="GC31" s="3">
        <v>1.0900000000000001</v>
      </c>
      <c r="GD31" s="3">
        <v>1.04</v>
      </c>
      <c r="GE31" s="3">
        <v>1.27</v>
      </c>
      <c r="GF31" s="3">
        <v>2.06</v>
      </c>
      <c r="GG31" s="3">
        <v>1.18</v>
      </c>
      <c r="GH31" s="3">
        <v>1.3</v>
      </c>
      <c r="GI31" s="3">
        <v>1.01</v>
      </c>
      <c r="GJ31" s="3">
        <v>0.91</v>
      </c>
      <c r="GK31" s="3">
        <v>1.45</v>
      </c>
      <c r="GL31" s="3">
        <v>0.62</v>
      </c>
      <c r="GM31" s="3">
        <v>0.63</v>
      </c>
      <c r="GN31" s="3">
        <v>0.6</v>
      </c>
      <c r="GO31" s="3">
        <v>1.4</v>
      </c>
      <c r="GP31" s="3">
        <v>2.41</v>
      </c>
      <c r="GQ31" s="3">
        <v>2.8</v>
      </c>
      <c r="GR31" s="3">
        <v>3.57</v>
      </c>
      <c r="GS31" s="3">
        <v>2.27</v>
      </c>
      <c r="GT31" s="3">
        <v>0.87</v>
      </c>
      <c r="GU31" s="3">
        <v>0.87</v>
      </c>
      <c r="GV31" s="3">
        <v>0.84</v>
      </c>
      <c r="GW31" s="3">
        <v>0.79</v>
      </c>
      <c r="GX31" s="3">
        <f t="shared" si="13"/>
        <v>31.53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343</v>
      </c>
      <c r="C32" s="6" t="str">
        <f>TEXT(VLOOKUP(LEFT(B32,FIND("月",B32)),基本シート!$E$6:$F$17,2,FALSE)&amp;B32,"aaaa")</f>
        <v>日曜日</v>
      </c>
      <c r="D32" s="6"/>
      <c r="E32" s="6" t="str">
        <f t="shared" si="9"/>
        <v>〇</v>
      </c>
      <c r="F32" s="6" t="s">
        <v>365</v>
      </c>
      <c r="G32" s="6" t="s">
        <v>298</v>
      </c>
      <c r="H32" s="3">
        <v>0.89</v>
      </c>
      <c r="I32" s="3">
        <f>IF($E32="〇",H32*基本シート!$E$2,H32*VLOOKUP(LEFT(I$6,FIND("(",I$6)-1),基本シート!$B$6:$C$29,2,FALSE))</f>
        <v>26.575399999999998</v>
      </c>
      <c r="J32" s="3">
        <v>0.79</v>
      </c>
      <c r="K32" s="3">
        <f>IF($E32="〇",J32*基本シート!$E$2,J32*VLOOKUP(LEFT(K$6,FIND("(",K$6)-1),基本シート!$B$6:$C$29,2,FALSE))</f>
        <v>23.589400000000001</v>
      </c>
      <c r="L32" s="3">
        <v>1.17</v>
      </c>
      <c r="M32" s="3">
        <f>IF($E32="〇",L32*基本シート!$E$2,L32*VLOOKUP(LEFT(M$6,FIND("(",M$6)-1),基本シート!$B$6:$C$29,2,FALSE))</f>
        <v>34.936199999999999</v>
      </c>
      <c r="N32" s="3">
        <v>0.97</v>
      </c>
      <c r="O32" s="3">
        <f>IF($E32="〇",N32*基本シート!$E$2,N32*VLOOKUP(LEFT(O$6,FIND("(",O$6)-1),基本シート!$B$6:$C$29,2,FALSE))</f>
        <v>28.964199999999998</v>
      </c>
      <c r="P32" s="3">
        <v>0.67</v>
      </c>
      <c r="Q32" s="3">
        <f>IF($E32="〇",P32*基本シート!$E$2,P32*VLOOKUP(LEFT(Q$6,FIND("(",Q$6)-1),基本シート!$B$6:$C$29,2,FALSE))</f>
        <v>20.0062</v>
      </c>
      <c r="R32" s="3">
        <v>0.99</v>
      </c>
      <c r="S32" s="3">
        <f>IF($E32="〇",R32*基本シート!$E$2,R32*VLOOKUP(LEFT(S$6,FIND("(",S$6)-1),基本シート!$B$6:$C$29,2,FALSE))</f>
        <v>29.561399999999999</v>
      </c>
      <c r="T32" s="3">
        <v>0.71</v>
      </c>
      <c r="U32" s="3">
        <f>IF($E32="〇",T32*基本シート!$E$2,T32*VLOOKUP(LEFT(U$6,FIND("(",U$6)-1),基本シート!$B$6:$C$29,2,FALSE))</f>
        <v>21.200599999999998</v>
      </c>
      <c r="V32" s="3">
        <v>0.85</v>
      </c>
      <c r="W32" s="3">
        <f>IF($E32="〇",V32*基本シート!$E$2,V32*VLOOKUP(LEFT(W$6,FIND("(",W$6)-1),基本シート!$B$6:$C$29,2,FALSE))</f>
        <v>25.381</v>
      </c>
      <c r="X32" s="3">
        <v>0.78</v>
      </c>
      <c r="Y32" s="3">
        <f>IF($E32="〇",X32*基本シート!$E$2,X32*VLOOKUP(LEFT(Y$6,FIND("(",Y$6)-1),基本シート!$B$6:$C$29,2,FALSE))</f>
        <v>23.290800000000001</v>
      </c>
      <c r="Z32" s="3">
        <v>0.6</v>
      </c>
      <c r="AA32" s="3">
        <f>IF($E32="〇",Z32*基本シート!$E$2,Z32*VLOOKUP(LEFT(AA$6,FIND("(",AA$6)-1),基本シート!$B$6:$C$29,2,FALSE))</f>
        <v>17.916</v>
      </c>
      <c r="AB32" s="3">
        <v>0.14000000000000001</v>
      </c>
      <c r="AC32" s="3">
        <f>IF($E32="〇",AB32*基本シート!$E$2,AB32*VLOOKUP(LEFT(AC$6,FIND("(",AC$6)-1),基本シート!$B$6:$C$29,2,FALSE))</f>
        <v>4.1804000000000006</v>
      </c>
      <c r="AD32" s="3">
        <v>0.02</v>
      </c>
      <c r="AE32" s="3">
        <f>IF($E32="〇",AD32*基本シート!$E$2,AD32*VLOOKUP(LEFT(AE$6,FIND("(",AE$6)-1),基本シート!$B$6:$C$29,2,FALSE))</f>
        <v>0.59719999999999995</v>
      </c>
      <c r="AF32" s="3">
        <v>0.02</v>
      </c>
      <c r="AG32" s="3">
        <f>IF($E32="〇",AF32*基本シート!$E$2,AF32*VLOOKUP(LEFT(AG$6,FIND("(",AG$6)-1),基本シート!$B$6:$C$29,2,FALSE))</f>
        <v>0.59719999999999995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0.29859999999999998</v>
      </c>
      <c r="AP32" s="3">
        <v>2.2400000000000002</v>
      </c>
      <c r="AQ32" s="3">
        <f>IF($E32="〇",AP32*基本シート!$E$2,AP32*VLOOKUP(LEFT(AQ$6,FIND("(",AQ$6)-1),基本シート!$B$6:$C$29,2,FALSE))</f>
        <v>66.886400000000009</v>
      </c>
      <c r="AR32" s="3">
        <v>3.86</v>
      </c>
      <c r="AS32" s="3">
        <f>IF($E32="〇",AR32*基本シート!$E$2,AR32*VLOOKUP(LEFT(AS$6,FIND("(",AS$6)-1),基本シート!$B$6:$C$29,2,FALSE))</f>
        <v>115.25959999999999</v>
      </c>
      <c r="AT32" s="3">
        <v>2.09</v>
      </c>
      <c r="AU32" s="3">
        <f>IF($E32="〇",AT32*基本シート!$E$2,AT32*VLOOKUP(LEFT(AU$6,FIND("(",AU$6)-1),基本シート!$B$6:$C$29,2,FALSE))</f>
        <v>62.407399999999996</v>
      </c>
      <c r="AV32" s="3">
        <v>1.33</v>
      </c>
      <c r="AW32" s="3">
        <f>IF($E32="〇",AV32*基本シート!$E$2,AV32*VLOOKUP(LEFT(AW$6,FIND("(",AW$6)-1),基本シート!$B$6:$C$29,2,FALSE))</f>
        <v>39.713799999999999</v>
      </c>
      <c r="AX32" s="3">
        <v>1.01</v>
      </c>
      <c r="AY32" s="3">
        <f>IF($E32="〇",AX32*基本シート!$E$2,AX32*VLOOKUP(LEFT(AY$6,FIND("(",AY$6)-1),基本シート!$B$6:$C$29,2,FALSE))</f>
        <v>30.1586</v>
      </c>
      <c r="AZ32" s="3">
        <v>0.76</v>
      </c>
      <c r="BA32" s="3">
        <f>IF($E32="〇",AZ32*基本シート!$E$2,AZ32*VLOOKUP(LEFT(BA$6,FIND("(",BA$6)-1),基本シート!$B$6:$C$29,2,FALSE))</f>
        <v>22.6936</v>
      </c>
      <c r="BB32" s="3">
        <v>0.85</v>
      </c>
      <c r="BC32" s="3">
        <f>IF($E32="〇",BB32*基本シート!$E$2,BB32*VLOOKUP(LEFT(BC$6,FIND("(",BC$6)-1),基本シート!$B$6:$C$29,2,FALSE))</f>
        <v>25.381</v>
      </c>
      <c r="BD32" s="3">
        <f t="shared" si="7"/>
        <v>20.75</v>
      </c>
      <c r="BE32" s="3">
        <f t="shared" si="8"/>
        <v>620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0.1</v>
      </c>
      <c r="BP32" s="3">
        <v>0.67</v>
      </c>
      <c r="BQ32" s="3">
        <v>2.14</v>
      </c>
      <c r="BR32" s="3">
        <v>3.51</v>
      </c>
      <c r="BS32" s="3">
        <v>4.88</v>
      </c>
      <c r="BT32" s="3">
        <v>2.12</v>
      </c>
      <c r="BU32" s="3">
        <v>0.71</v>
      </c>
      <c r="BV32" s="3">
        <v>0.18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0.13</v>
      </c>
      <c r="DA32" s="3">
        <f>CZ32*基本シート!$C$3</f>
        <v>2.08</v>
      </c>
      <c r="DB32" s="3">
        <v>0.31</v>
      </c>
      <c r="DC32" s="3">
        <f>DB32*基本シート!$C$3</f>
        <v>4.96</v>
      </c>
      <c r="DD32" s="3">
        <v>1.31</v>
      </c>
      <c r="DE32" s="3">
        <f>DD32*基本シート!$C$3</f>
        <v>20.96</v>
      </c>
      <c r="DF32" s="3">
        <v>0.55000000000000004</v>
      </c>
      <c r="DG32" s="3">
        <f>DF32*基本シート!$C$3</f>
        <v>8.8000000000000007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2.3199999999999994</v>
      </c>
      <c r="EA32" s="3">
        <f>ROUND(DZ32*基本シート!$C$3,0)</f>
        <v>37</v>
      </c>
      <c r="EB32" s="3">
        <v>0.04</v>
      </c>
      <c r="EC32" s="3">
        <v>0.04</v>
      </c>
      <c r="ED32" s="3">
        <v>0.04</v>
      </c>
      <c r="EE32" s="3">
        <v>0.04</v>
      </c>
      <c r="EF32" s="3">
        <v>0.03</v>
      </c>
      <c r="EG32" s="3">
        <v>0.04</v>
      </c>
      <c r="EH32" s="3">
        <v>0.04</v>
      </c>
      <c r="EI32" s="3">
        <v>0.03</v>
      </c>
      <c r="EJ32" s="3">
        <v>0.01</v>
      </c>
      <c r="EK32" s="3">
        <v>0.01</v>
      </c>
      <c r="EL32" s="3">
        <v>0.2</v>
      </c>
      <c r="EM32" s="3">
        <v>0.74</v>
      </c>
      <c r="EN32" s="3">
        <v>2.35</v>
      </c>
      <c r="EO32" s="3">
        <v>2.89</v>
      </c>
      <c r="EP32" s="3">
        <v>0</v>
      </c>
      <c r="EQ32" s="3">
        <v>0</v>
      </c>
      <c r="ER32" s="3">
        <v>0</v>
      </c>
      <c r="ES32" s="3">
        <v>0</v>
      </c>
      <c r="ET32" s="3">
        <v>0.04</v>
      </c>
      <c r="EU32" s="3">
        <v>0.04</v>
      </c>
      <c r="EV32" s="3">
        <v>0.04</v>
      </c>
      <c r="EW32" s="3">
        <v>0.04</v>
      </c>
      <c r="EX32" s="3">
        <v>0.03</v>
      </c>
      <c r="EY32" s="3">
        <v>0.04</v>
      </c>
      <c r="EZ32" s="3">
        <f t="shared" si="11"/>
        <v>6.73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0.39</v>
      </c>
      <c r="FP32" s="3">
        <v>1.83</v>
      </c>
      <c r="FQ32" s="3">
        <v>2.08</v>
      </c>
      <c r="FR32" s="3">
        <v>0.84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5.1400000000000006</v>
      </c>
      <c r="FZ32" s="3">
        <v>0.85</v>
      </c>
      <c r="GA32" s="3">
        <v>0.75</v>
      </c>
      <c r="GB32" s="3">
        <v>1.1299999999999999</v>
      </c>
      <c r="GC32" s="3">
        <v>0.93</v>
      </c>
      <c r="GD32" s="3">
        <v>0.64</v>
      </c>
      <c r="GE32" s="3">
        <v>0.95</v>
      </c>
      <c r="GF32" s="3">
        <v>0.67</v>
      </c>
      <c r="GG32" s="3">
        <v>0.82</v>
      </c>
      <c r="GH32" s="3">
        <v>0.78</v>
      </c>
      <c r="GI32" s="3">
        <v>0.69</v>
      </c>
      <c r="GJ32" s="3">
        <v>0.61</v>
      </c>
      <c r="GK32" s="3">
        <v>1.29</v>
      </c>
      <c r="GL32" s="3">
        <v>0.87</v>
      </c>
      <c r="GM32" s="3">
        <v>0.68</v>
      </c>
      <c r="GN32" s="3">
        <v>1.96</v>
      </c>
      <c r="GO32" s="3">
        <v>2.5299999999999998</v>
      </c>
      <c r="GP32" s="3">
        <v>2.2599999999999998</v>
      </c>
      <c r="GQ32" s="3">
        <v>3.08</v>
      </c>
      <c r="GR32" s="3">
        <v>3.82</v>
      </c>
      <c r="GS32" s="3">
        <v>2.0499999999999998</v>
      </c>
      <c r="GT32" s="3">
        <v>1.29</v>
      </c>
      <c r="GU32" s="3">
        <v>0.97</v>
      </c>
      <c r="GV32" s="3">
        <v>0.73</v>
      </c>
      <c r="GW32" s="3">
        <v>0.81</v>
      </c>
      <c r="GX32" s="3">
        <f t="shared" si="13"/>
        <v>31.159999999999993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344</v>
      </c>
      <c r="C33" s="6" t="str">
        <f>TEXT(VLOOKUP(LEFT(B33,FIND("月",B33)),基本シート!$E$6:$F$17,2,FALSE)&amp;B33,"aaaa")</f>
        <v>月曜日</v>
      </c>
      <c r="D33" s="6"/>
      <c r="E33" s="6" t="str">
        <f t="shared" si="9"/>
        <v/>
      </c>
      <c r="F33" s="6" t="s">
        <v>298</v>
      </c>
      <c r="G33" s="6" t="s">
        <v>298</v>
      </c>
      <c r="H33" s="3">
        <v>0.83</v>
      </c>
      <c r="I33" s="3">
        <f>IF($E33="〇",H33*基本シート!$E$2,H33*VLOOKUP(LEFT(I$6,FIND("(",I$6)-1),基本シート!$B$6:$C$29,2,FALSE))</f>
        <v>24.783799999999999</v>
      </c>
      <c r="J33" s="3">
        <v>1.1299999999999999</v>
      </c>
      <c r="K33" s="3">
        <f>IF($E33="〇",J33*基本シート!$E$2,J33*VLOOKUP(LEFT(K$6,FIND("(",K$6)-1),基本シート!$B$6:$C$29,2,FALSE))</f>
        <v>33.741799999999998</v>
      </c>
      <c r="L33" s="3">
        <v>1.05</v>
      </c>
      <c r="M33" s="3">
        <f>IF($E33="〇",L33*基本シート!$E$2,L33*VLOOKUP(LEFT(M$6,FIND("(",M$6)-1),基本シート!$B$6:$C$29,2,FALSE))</f>
        <v>31.353000000000002</v>
      </c>
      <c r="N33" s="3">
        <v>0.95</v>
      </c>
      <c r="O33" s="3">
        <f>IF($E33="〇",N33*基本シート!$E$2,N33*VLOOKUP(LEFT(O$6,FIND("(",O$6)-1),基本シート!$B$6:$C$29,2,FALSE))</f>
        <v>28.366999999999997</v>
      </c>
      <c r="P33" s="3">
        <v>1.27</v>
      </c>
      <c r="Q33" s="3">
        <f>IF($E33="〇",P33*基本シート!$E$2,P33*VLOOKUP(LEFT(Q$6,FIND("(",Q$6)-1),基本シート!$B$6:$C$29,2,FALSE))</f>
        <v>37.922199999999997</v>
      </c>
      <c r="R33" s="3">
        <v>1.1100000000000001</v>
      </c>
      <c r="S33" s="3">
        <f>IF($E33="〇",R33*基本シート!$E$2,R33*VLOOKUP(LEFT(S$6,FIND("(",S$6)-1),基本シート!$B$6:$C$29,2,FALSE))</f>
        <v>33.144600000000004</v>
      </c>
      <c r="T33" s="3">
        <v>1.43</v>
      </c>
      <c r="U33" s="3">
        <f>IF($E33="〇",T33*基本シート!$E$2,T33*VLOOKUP(LEFT(U$6,FIND("(",U$6)-1),基本シート!$B$6:$C$29,2,FALSE))</f>
        <v>42.699799999999996</v>
      </c>
      <c r="V33" s="3">
        <v>0.6</v>
      </c>
      <c r="W33" s="3">
        <f>IF($E33="〇",V33*基本シート!$E$2,V33*VLOOKUP(LEFT(W$6,FIND("(",W$6)-1),基本シート!$B$6:$C$29,2,FALSE))</f>
        <v>22.116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1.31</v>
      </c>
      <c r="AS33" s="3">
        <f>IF($E33="〇",AR33*基本シート!$E$2,AR33*VLOOKUP(LEFT(AS$6,FIND("(",AS$6)-1),基本シート!$B$6:$C$29,2,FALSE))</f>
        <v>48.2866</v>
      </c>
      <c r="AT33" s="3">
        <v>1.21</v>
      </c>
      <c r="AU33" s="3">
        <f>IF($E33="〇",AT33*基本シート!$E$2,AT33*VLOOKUP(LEFT(AU$6,FIND("(",AU$6)-1),基本シート!$B$6:$C$29,2,FALSE))</f>
        <v>44.6006</v>
      </c>
      <c r="AV33" s="3">
        <v>1.34</v>
      </c>
      <c r="AW33" s="3">
        <f>IF($E33="〇",AV33*基本シート!$E$2,AV33*VLOOKUP(LEFT(AW$6,FIND("(",AW$6)-1),基本シート!$B$6:$C$29,2,FALSE))</f>
        <v>49.392400000000002</v>
      </c>
      <c r="AX33" s="3">
        <v>1.52</v>
      </c>
      <c r="AY33" s="3">
        <f>IF($E33="〇",AX33*基本シート!$E$2,AX33*VLOOKUP(LEFT(AY$6,FIND("(",AY$6)-1),基本シート!$B$6:$C$29,2,FALSE))</f>
        <v>45.3872</v>
      </c>
      <c r="AZ33" s="3">
        <v>1.19</v>
      </c>
      <c r="BA33" s="3">
        <f>IF($E33="〇",AZ33*基本シート!$E$2,AZ33*VLOOKUP(LEFT(BA$6,FIND("(",BA$6)-1),基本シート!$B$6:$C$29,2,FALSE))</f>
        <v>35.5334</v>
      </c>
      <c r="BB33" s="3">
        <v>0.96</v>
      </c>
      <c r="BC33" s="3">
        <f>IF($E33="〇",BB33*基本シート!$E$2,BB33*VLOOKUP(LEFT(BC$6,FIND("(",BC$6)-1),基本シート!$B$6:$C$29,2,FALSE))</f>
        <v>28.665599999999998</v>
      </c>
      <c r="BD33" s="3">
        <f t="shared" si="7"/>
        <v>15.91</v>
      </c>
      <c r="BE33" s="3">
        <f t="shared" si="8"/>
        <v>506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0.55000000000000004</v>
      </c>
      <c r="BN33" s="3">
        <v>2.76</v>
      </c>
      <c r="BO33" s="3">
        <v>4.7699999999999996</v>
      </c>
      <c r="BP33" s="3">
        <v>5.68</v>
      </c>
      <c r="BQ33" s="3">
        <v>6.02</v>
      </c>
      <c r="BR33" s="3">
        <v>6.17</v>
      </c>
      <c r="BS33" s="3">
        <v>5.36</v>
      </c>
      <c r="BT33" s="3">
        <v>3.65</v>
      </c>
      <c r="BU33" s="3">
        <v>1.91</v>
      </c>
      <c r="BV33" s="3">
        <v>0.18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</v>
      </c>
      <c r="CU33" s="3">
        <f>CT33*基本シート!$C$3</f>
        <v>4.8</v>
      </c>
      <c r="CV33" s="3">
        <v>0.79</v>
      </c>
      <c r="CW33" s="3">
        <f>CV33*基本シート!$C$3</f>
        <v>12.64</v>
      </c>
      <c r="CX33" s="3">
        <v>3.38</v>
      </c>
      <c r="CY33" s="3">
        <f>CX33*基本シート!$C$3</f>
        <v>54.08</v>
      </c>
      <c r="CZ33" s="3">
        <v>5.34</v>
      </c>
      <c r="DA33" s="3">
        <f>CZ33*基本シート!$C$3</f>
        <v>85.44</v>
      </c>
      <c r="DB33" s="3">
        <v>5.44</v>
      </c>
      <c r="DC33" s="3">
        <f>DB33*基本シート!$C$3</f>
        <v>87.04</v>
      </c>
      <c r="DD33" s="3">
        <v>4.68</v>
      </c>
      <c r="DE33" s="3">
        <f>DD33*基本シート!$C$3</f>
        <v>74.88</v>
      </c>
      <c r="DF33" s="3">
        <v>2.99</v>
      </c>
      <c r="DG33" s="3">
        <f>DF33*基本シート!$C$3</f>
        <v>47.84</v>
      </c>
      <c r="DH33" s="3">
        <v>1.29</v>
      </c>
      <c r="DI33" s="3">
        <f>DH33*基本シート!$C$3</f>
        <v>20.64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24.220000000000002</v>
      </c>
      <c r="EA33" s="3">
        <f>ROUND(DZ33*基本シート!$C$3,0)</f>
        <v>388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0.03</v>
      </c>
      <c r="EI33" s="3">
        <v>0.08</v>
      </c>
      <c r="EJ33" s="3">
        <v>1.54</v>
      </c>
      <c r="EK33" s="3">
        <v>2.99</v>
      </c>
      <c r="EL33" s="3">
        <v>1.57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0.02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11"/>
        <v>6.5900000000000016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2.2000000000000002</v>
      </c>
      <c r="FR33" s="3">
        <v>2.61</v>
      </c>
      <c r="FS33" s="3">
        <v>0.35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5.16</v>
      </c>
      <c r="FZ33" s="3">
        <v>0.79</v>
      </c>
      <c r="GA33" s="3">
        <v>1.0900000000000001</v>
      </c>
      <c r="GB33" s="3">
        <v>1.01</v>
      </c>
      <c r="GC33" s="3">
        <v>0.91</v>
      </c>
      <c r="GD33" s="3">
        <v>1.23</v>
      </c>
      <c r="GE33" s="3">
        <v>1.07</v>
      </c>
      <c r="GF33" s="3">
        <v>1.4</v>
      </c>
      <c r="GG33" s="3">
        <v>1.07</v>
      </c>
      <c r="GH33" s="3">
        <v>0.92</v>
      </c>
      <c r="GI33" s="3">
        <v>0.99</v>
      </c>
      <c r="GJ33" s="3">
        <v>0.73</v>
      </c>
      <c r="GK33" s="3">
        <v>0.68</v>
      </c>
      <c r="GL33" s="3">
        <v>0.73</v>
      </c>
      <c r="GM33" s="3">
        <v>0.68</v>
      </c>
      <c r="GN33" s="3">
        <v>0.66</v>
      </c>
      <c r="GO33" s="3">
        <v>0.62</v>
      </c>
      <c r="GP33" s="3">
        <v>2.37</v>
      </c>
      <c r="GQ33" s="3">
        <v>2.62</v>
      </c>
      <c r="GR33" s="3">
        <v>1.66</v>
      </c>
      <c r="GS33" s="3">
        <v>1.19</v>
      </c>
      <c r="GT33" s="3">
        <v>1.31</v>
      </c>
      <c r="GU33" s="3">
        <v>1.49</v>
      </c>
      <c r="GV33" s="3">
        <v>1.1599999999999999</v>
      </c>
      <c r="GW33" s="3">
        <v>0.93</v>
      </c>
      <c r="GX33" s="3">
        <f t="shared" si="13"/>
        <v>27.31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345</v>
      </c>
      <c r="C34" s="6" t="str">
        <f>TEXT(VLOOKUP(LEFT(B34,FIND("月",B34)),基本シート!$E$6:$F$17,2,FALSE)&amp;B34,"aaaa")</f>
        <v>火曜日</v>
      </c>
      <c r="D34" s="6"/>
      <c r="E34" s="6" t="str">
        <f t="shared" si="9"/>
        <v/>
      </c>
      <c r="F34" s="6" t="s">
        <v>296</v>
      </c>
      <c r="G34" s="6" t="s">
        <v>298</v>
      </c>
      <c r="H34" s="3">
        <v>1.1399999999999999</v>
      </c>
      <c r="I34" s="3">
        <f>IF($E34="〇",H34*基本シート!$E$2,H34*VLOOKUP(LEFT(I$6,FIND("(",I$6)-1),基本シート!$B$6:$C$29,2,FALSE))</f>
        <v>34.040399999999998</v>
      </c>
      <c r="J34" s="3">
        <v>1.33</v>
      </c>
      <c r="K34" s="3">
        <f>IF($E34="〇",J34*基本シート!$E$2,J34*VLOOKUP(LEFT(K$6,FIND("(",K$6)-1),基本シート!$B$6:$C$29,2,FALSE))</f>
        <v>39.713799999999999</v>
      </c>
      <c r="L34" s="3">
        <v>1.94</v>
      </c>
      <c r="M34" s="3">
        <f>IF($E34="〇",L34*基本シート!$E$2,L34*VLOOKUP(LEFT(M$6,FIND("(",M$6)-1),基本シート!$B$6:$C$29,2,FALSE))</f>
        <v>57.928399999999996</v>
      </c>
      <c r="N34" s="3">
        <v>1.05</v>
      </c>
      <c r="O34" s="3">
        <f>IF($E34="〇",N34*基本シート!$E$2,N34*VLOOKUP(LEFT(O$6,FIND("(",O$6)-1),基本シート!$B$6:$C$29,2,FALSE))</f>
        <v>31.353000000000002</v>
      </c>
      <c r="P34" s="3">
        <v>1.28</v>
      </c>
      <c r="Q34" s="3">
        <f>IF($E34="〇",P34*基本シート!$E$2,P34*VLOOKUP(LEFT(Q$6,FIND("(",Q$6)-1),基本シート!$B$6:$C$29,2,FALSE))</f>
        <v>38.220799999999997</v>
      </c>
      <c r="R34" s="3">
        <v>1.1000000000000001</v>
      </c>
      <c r="S34" s="3">
        <f>IF($E34="〇",R34*基本シート!$E$2,R34*VLOOKUP(LEFT(S$6,FIND("(",S$6)-1),基本シート!$B$6:$C$29,2,FALSE))</f>
        <v>32.846000000000004</v>
      </c>
      <c r="T34" s="3">
        <v>2.38</v>
      </c>
      <c r="U34" s="3">
        <f>IF($E34="〇",T34*基本シート!$E$2,T34*VLOOKUP(LEFT(U$6,FIND("(",U$6)-1),基本シート!$B$6:$C$29,2,FALSE))</f>
        <v>71.066800000000001</v>
      </c>
      <c r="V34" s="3">
        <v>1.88</v>
      </c>
      <c r="W34" s="3">
        <f>IF($E34="〇",V34*基本シート!$E$2,V34*VLOOKUP(LEFT(W$6,FIND("(",W$6)-1),基本シート!$B$6:$C$29,2,FALSE))</f>
        <v>69.29679999999999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0.01</v>
      </c>
      <c r="AC34" s="3">
        <f>IF($E34="〇",AB34*基本シート!$E$2,AB34*VLOOKUP(LEFT(AC$6,FIND("(",AC$6)-1),基本シート!$B$6:$C$29,2,FALSE))</f>
        <v>0.36859999999999998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0.73</v>
      </c>
      <c r="AQ34" s="3">
        <f>IF($E34="〇",AP34*基本シート!$E$2,AP34*VLOOKUP(LEFT(AQ$6,FIND("(",AQ$6)-1),基本シート!$B$6:$C$29,2,FALSE))</f>
        <v>26.907799999999998</v>
      </c>
      <c r="AR34" s="3">
        <v>2.72</v>
      </c>
      <c r="AS34" s="3">
        <f>IF($E34="〇",AR34*基本シート!$E$2,AR34*VLOOKUP(LEFT(AS$6,FIND("(",AS$6)-1),基本シート!$B$6:$C$29,2,FALSE))</f>
        <v>100.25920000000001</v>
      </c>
      <c r="AT34" s="3">
        <v>2.59</v>
      </c>
      <c r="AU34" s="3">
        <f>IF($E34="〇",AT34*基本シート!$E$2,AT34*VLOOKUP(LEFT(AU$6,FIND("(",AU$6)-1),基本シート!$B$6:$C$29,2,FALSE))</f>
        <v>95.467399999999998</v>
      </c>
      <c r="AV34" s="3">
        <v>1.31</v>
      </c>
      <c r="AW34" s="3">
        <f>IF($E34="〇",AV34*基本シート!$E$2,AV34*VLOOKUP(LEFT(AW$6,FIND("(",AW$6)-1),基本シート!$B$6:$C$29,2,FALSE))</f>
        <v>48.2866</v>
      </c>
      <c r="AX34" s="3">
        <v>1.1100000000000001</v>
      </c>
      <c r="AY34" s="3">
        <f>IF($E34="〇",AX34*基本シート!$E$2,AX34*VLOOKUP(LEFT(AY$6,FIND("(",AY$6)-1),基本シート!$B$6:$C$29,2,FALSE))</f>
        <v>33.144600000000004</v>
      </c>
      <c r="AZ34" s="3">
        <v>0.78</v>
      </c>
      <c r="BA34" s="3">
        <f>IF($E34="〇",AZ34*基本シート!$E$2,AZ34*VLOOKUP(LEFT(BA$6,FIND("(",BA$6)-1),基本シート!$B$6:$C$29,2,FALSE))</f>
        <v>23.290800000000001</v>
      </c>
      <c r="BB34" s="3">
        <v>0.79</v>
      </c>
      <c r="BC34" s="3">
        <f>IF($E34="〇",BB34*基本シート!$E$2,BB34*VLOOKUP(LEFT(BC$6,FIND("(",BC$6)-1),基本シート!$B$6:$C$29,2,FALSE))</f>
        <v>23.589400000000001</v>
      </c>
      <c r="BD34" s="3">
        <f t="shared" si="7"/>
        <v>22.149999999999995</v>
      </c>
      <c r="BE34" s="3">
        <f t="shared" si="8"/>
        <v>726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0.46</v>
      </c>
      <c r="BN34" s="3">
        <v>2.67</v>
      </c>
      <c r="BO34" s="3">
        <v>4.83</v>
      </c>
      <c r="BP34" s="3">
        <v>2.34</v>
      </c>
      <c r="BQ34" s="3">
        <v>2.57</v>
      </c>
      <c r="BR34" s="3">
        <v>2.4300000000000002</v>
      </c>
      <c r="BS34" s="3">
        <v>1.57</v>
      </c>
      <c r="BT34" s="3">
        <v>0.69</v>
      </c>
      <c r="BU34" s="3">
        <v>0.54</v>
      </c>
      <c r="BV34" s="3">
        <v>0.19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0.35</v>
      </c>
      <c r="CU34" s="3">
        <f>CT34*基本シート!$C$3</f>
        <v>5.6</v>
      </c>
      <c r="CV34" s="3">
        <v>1.64</v>
      </c>
      <c r="CW34" s="3">
        <f>CV34*基本シート!$C$3</f>
        <v>26.24</v>
      </c>
      <c r="CX34" s="3">
        <v>0.04</v>
      </c>
      <c r="CY34" s="3">
        <f>CX34*基本シート!$C$3</f>
        <v>0.64</v>
      </c>
      <c r="CZ34" s="3">
        <v>0.5</v>
      </c>
      <c r="DA34" s="3">
        <f>CZ34*基本シート!$C$3</f>
        <v>8</v>
      </c>
      <c r="DB34" s="3">
        <v>0.88</v>
      </c>
      <c r="DC34" s="3">
        <f>DB34*基本シート!$C$3</f>
        <v>14.08</v>
      </c>
      <c r="DD34" s="3">
        <v>0.88</v>
      </c>
      <c r="DE34" s="3">
        <f>DD34*基本シート!$C$3</f>
        <v>14.08</v>
      </c>
      <c r="DF34" s="3">
        <v>0.16</v>
      </c>
      <c r="DG34" s="3">
        <f>DF34*基本シート!$C$3</f>
        <v>2.56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4.46</v>
      </c>
      <c r="EA34" s="3">
        <f>ROUND(DZ34*基本シート!$C$3,0)</f>
        <v>71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0.04</v>
      </c>
      <c r="EH34" s="3">
        <v>0.03</v>
      </c>
      <c r="EI34" s="3">
        <v>0.01</v>
      </c>
      <c r="EJ34" s="3">
        <v>1.4</v>
      </c>
      <c r="EK34" s="3">
        <v>2.19</v>
      </c>
      <c r="EL34" s="3">
        <v>1.54</v>
      </c>
      <c r="EM34" s="3">
        <v>1.2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0.03</v>
      </c>
      <c r="EZ34" s="3">
        <f t="shared" si="11"/>
        <v>6.7400000000000011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0.14000000000000001</v>
      </c>
      <c r="FN34" s="3">
        <v>0.01</v>
      </c>
      <c r="FO34" s="3">
        <v>0.19</v>
      </c>
      <c r="FP34" s="3">
        <v>0.69</v>
      </c>
      <c r="FQ34" s="3">
        <v>2.33</v>
      </c>
      <c r="FR34" s="3">
        <v>1.77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5.1300000000000008</v>
      </c>
      <c r="FZ34" s="3">
        <v>1.1100000000000001</v>
      </c>
      <c r="GA34" s="3">
        <v>1.3</v>
      </c>
      <c r="GB34" s="3">
        <v>1.91</v>
      </c>
      <c r="GC34" s="3">
        <v>1.02</v>
      </c>
      <c r="GD34" s="3">
        <v>1.25</v>
      </c>
      <c r="GE34" s="3">
        <v>1.06</v>
      </c>
      <c r="GF34" s="3">
        <v>2.35</v>
      </c>
      <c r="GG34" s="3">
        <v>2.33</v>
      </c>
      <c r="GH34" s="3">
        <v>0.92</v>
      </c>
      <c r="GI34" s="3">
        <v>1</v>
      </c>
      <c r="GJ34" s="3">
        <v>0.77</v>
      </c>
      <c r="GK34" s="3">
        <v>0.87</v>
      </c>
      <c r="GL34" s="3">
        <v>1.69</v>
      </c>
      <c r="GM34" s="3">
        <v>0.7</v>
      </c>
      <c r="GN34" s="3">
        <v>0.72</v>
      </c>
      <c r="GO34" s="3">
        <v>1.23</v>
      </c>
      <c r="GP34" s="3">
        <v>2.52</v>
      </c>
      <c r="GQ34" s="3">
        <v>2.5</v>
      </c>
      <c r="GR34" s="3">
        <v>2.69</v>
      </c>
      <c r="GS34" s="3">
        <v>2.56</v>
      </c>
      <c r="GT34" s="3">
        <v>1.28</v>
      </c>
      <c r="GU34" s="3">
        <v>1.08</v>
      </c>
      <c r="GV34" s="3">
        <v>0.75</v>
      </c>
      <c r="GW34" s="3">
        <v>0.76</v>
      </c>
      <c r="GX34" s="3">
        <f t="shared" si="13"/>
        <v>34.369999999999997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346</v>
      </c>
      <c r="C35" s="6" t="str">
        <f>TEXT(VLOOKUP(LEFT(B35,FIND("月",B35)),基本シート!$E$6:$F$17,2,FALSE)&amp;B35,"aaaa")</f>
        <v>水曜日</v>
      </c>
      <c r="D35" s="6"/>
      <c r="E35" s="6" t="str">
        <f t="shared" si="9"/>
        <v/>
      </c>
      <c r="F35" s="6" t="s">
        <v>365</v>
      </c>
      <c r="G35" s="6" t="s">
        <v>298</v>
      </c>
      <c r="H35" s="3">
        <v>0.74</v>
      </c>
      <c r="I35" s="3">
        <f>IF($E35="〇",H35*基本シート!$E$2,H35*VLOOKUP(LEFT(I$6,FIND("(",I$6)-1),基本シート!$B$6:$C$29,2,FALSE))</f>
        <v>22.096399999999999</v>
      </c>
      <c r="J35" s="3">
        <v>0.94</v>
      </c>
      <c r="K35" s="3">
        <f>IF($E35="〇",J35*基本シート!$E$2,J35*VLOOKUP(LEFT(K$6,FIND("(",K$6)-1),基本シート!$B$6:$C$29,2,FALSE))</f>
        <v>28.068399999999997</v>
      </c>
      <c r="L35" s="3">
        <v>0.94</v>
      </c>
      <c r="M35" s="3">
        <f>IF($E35="〇",L35*基本シート!$E$2,L35*VLOOKUP(LEFT(M$6,FIND("(",M$6)-1),基本シート!$B$6:$C$29,2,FALSE))</f>
        <v>28.068399999999997</v>
      </c>
      <c r="N35" s="3">
        <v>0.66</v>
      </c>
      <c r="O35" s="3">
        <f>IF($E35="〇",N35*基本シート!$E$2,N35*VLOOKUP(LEFT(O$6,FIND("(",O$6)-1),基本シート!$B$6:$C$29,2,FALSE))</f>
        <v>19.707599999999999</v>
      </c>
      <c r="P35" s="3">
        <v>1.0900000000000001</v>
      </c>
      <c r="Q35" s="3">
        <f>IF($E35="〇",P35*基本シート!$E$2,P35*VLOOKUP(LEFT(Q$6,FIND("(",Q$6)-1),基本シート!$B$6:$C$29,2,FALSE))</f>
        <v>32.547400000000003</v>
      </c>
      <c r="R35" s="3">
        <v>0.81</v>
      </c>
      <c r="S35" s="3">
        <f>IF($E35="〇",R35*基本シート!$E$2,R35*VLOOKUP(LEFT(S$6,FIND("(",S$6)-1),基本シート!$B$6:$C$29,2,FALSE))</f>
        <v>24.186600000000002</v>
      </c>
      <c r="T35" s="3">
        <v>1.27</v>
      </c>
      <c r="U35" s="3">
        <f>IF($E35="〇",T35*基本シート!$E$2,T35*VLOOKUP(LEFT(U$6,FIND("(",U$6)-1),基本シート!$B$6:$C$29,2,FALSE))</f>
        <v>37.922199999999997</v>
      </c>
      <c r="V35" s="3">
        <v>1.07</v>
      </c>
      <c r="W35" s="3">
        <f>IF($E35="〇",V35*基本シート!$E$2,V35*VLOOKUP(LEFT(W$6,FIND("(",W$6)-1),基本シート!$B$6:$C$29,2,FALSE))</f>
        <v>39.440200000000004</v>
      </c>
      <c r="X35" s="3">
        <v>0.63</v>
      </c>
      <c r="Y35" s="3">
        <f>IF($E35="〇",X35*基本シート!$E$2,X35*VLOOKUP(LEFT(Y$6,FIND("(",Y$6)-1),基本シート!$B$6:$C$29,2,FALSE))</f>
        <v>23.221799999999998</v>
      </c>
      <c r="Z35" s="3">
        <v>0.7</v>
      </c>
      <c r="AA35" s="3">
        <f>IF($E35="〇",Z35*基本シート!$E$2,Z35*VLOOKUP(LEFT(AA$6,FIND("(",AA$6)-1),基本シート!$B$6:$C$29,2,FALSE))</f>
        <v>25.802</v>
      </c>
      <c r="AB35" s="3">
        <v>0.75</v>
      </c>
      <c r="AC35" s="3">
        <f>IF($E35="〇",AB35*基本シート!$E$2,AB35*VLOOKUP(LEFT(AC$6,FIND("(",AC$6)-1),基本シート!$B$6:$C$29,2,FALSE))</f>
        <v>27.645</v>
      </c>
      <c r="AD35" s="3">
        <v>0.66</v>
      </c>
      <c r="AE35" s="3">
        <f>IF($E35="〇",AD35*基本シート!$E$2,AD35*VLOOKUP(LEFT(AE$6,FIND("(",AE$6)-1),基本シート!$B$6:$C$29,2,FALSE))</f>
        <v>24.3276</v>
      </c>
      <c r="AF35" s="3">
        <v>0.99</v>
      </c>
      <c r="AG35" s="3">
        <f>IF($E35="〇",AF35*基本シート!$E$2,AF35*VLOOKUP(LEFT(AG$6,FIND("(",AG$6)-1),基本シート!$B$6:$C$29,2,FALSE))</f>
        <v>36.491399999999999</v>
      </c>
      <c r="AH35" s="3">
        <v>0.57999999999999996</v>
      </c>
      <c r="AI35" s="3">
        <f>IF($E35="〇",AH35*基本シート!$E$2,AH35*VLOOKUP(LEFT(AI$6,FIND("(",AI$6)-1),基本シート!$B$6:$C$29,2,FALSE))</f>
        <v>21.378799999999998</v>
      </c>
      <c r="AJ35" s="3">
        <v>1.21</v>
      </c>
      <c r="AK35" s="3">
        <f>IF($E35="〇",AJ35*基本シート!$E$2,AJ35*VLOOKUP(LEFT(AK$6,FIND("(",AK$6)-1),基本シート!$B$6:$C$29,2,FALSE))</f>
        <v>44.6006</v>
      </c>
      <c r="AL35" s="3">
        <v>2.79</v>
      </c>
      <c r="AM35" s="3">
        <f>IF($E35="〇",AL35*基本シート!$E$2,AL35*VLOOKUP(LEFT(AM$6,FIND("(",AM$6)-1),基本シート!$B$6:$C$29,2,FALSE))</f>
        <v>102.8394</v>
      </c>
      <c r="AN35" s="3">
        <v>2.84</v>
      </c>
      <c r="AO35" s="3">
        <f>IF($E35="〇",AN35*基本シート!$E$2,AN35*VLOOKUP(LEFT(AO$6,FIND("(",AO$6)-1),基本シート!$B$6:$C$29,2,FALSE))</f>
        <v>104.68239999999999</v>
      </c>
      <c r="AP35" s="3">
        <v>2.57</v>
      </c>
      <c r="AQ35" s="3">
        <f>IF($E35="〇",AP35*基本シート!$E$2,AP35*VLOOKUP(LEFT(AQ$6,FIND("(",AQ$6)-1),基本シート!$B$6:$C$29,2,FALSE))</f>
        <v>94.730199999999996</v>
      </c>
      <c r="AR35" s="3">
        <v>1.44</v>
      </c>
      <c r="AS35" s="3">
        <f>IF($E35="〇",AR35*基本シート!$E$2,AR35*VLOOKUP(LEFT(AS$6,FIND("(",AS$6)-1),基本シート!$B$6:$C$29,2,FALSE))</f>
        <v>53.078399999999995</v>
      </c>
      <c r="AT35" s="3">
        <v>1.61</v>
      </c>
      <c r="AU35" s="3">
        <f>IF($E35="〇",AT35*基本シート!$E$2,AT35*VLOOKUP(LEFT(AU$6,FIND("(",AU$6)-1),基本シート!$B$6:$C$29,2,FALSE))</f>
        <v>59.3446</v>
      </c>
      <c r="AV35" s="3">
        <v>1.28</v>
      </c>
      <c r="AW35" s="3">
        <f>IF($E35="〇",AV35*基本シート!$E$2,AV35*VLOOKUP(LEFT(AW$6,FIND("(",AW$6)-1),基本シート!$B$6:$C$29,2,FALSE))</f>
        <v>47.180799999999998</v>
      </c>
      <c r="AX35" s="3">
        <v>1.49</v>
      </c>
      <c r="AY35" s="3">
        <f>IF($E35="〇",AX35*基本シート!$E$2,AX35*VLOOKUP(LEFT(AY$6,FIND("(",AY$6)-1),基本シート!$B$6:$C$29,2,FALSE))</f>
        <v>44.491399999999999</v>
      </c>
      <c r="AZ35" s="3">
        <v>1.19</v>
      </c>
      <c r="BA35" s="3">
        <f>IF($E35="〇",AZ35*基本シート!$E$2,AZ35*VLOOKUP(LEFT(BA$6,FIND("(",BA$6)-1),基本シート!$B$6:$C$29,2,FALSE))</f>
        <v>35.5334</v>
      </c>
      <c r="BB35" s="3">
        <v>1.29</v>
      </c>
      <c r="BC35" s="3">
        <f>IF($E35="〇",BB35*基本シート!$E$2,BB35*VLOOKUP(LEFT(BC$6,FIND("(",BC$6)-1),基本シート!$B$6:$C$29,2,FALSE))</f>
        <v>38.519399999999997</v>
      </c>
      <c r="BD35" s="3">
        <f t="shared" si="7"/>
        <v>29.54</v>
      </c>
      <c r="BE35" s="3">
        <f t="shared" si="8"/>
        <v>1016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</v>
      </c>
      <c r="BR35" s="3">
        <v>0.01</v>
      </c>
      <c r="BS35" s="3">
        <v>0.01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>
        <v>0.03</v>
      </c>
      <c r="EC35" s="3">
        <v>0.03</v>
      </c>
      <c r="ED35" s="3">
        <v>0.02</v>
      </c>
      <c r="EE35" s="3">
        <v>0.03</v>
      </c>
      <c r="EF35" s="3">
        <v>0.02</v>
      </c>
      <c r="EG35" s="3">
        <v>0.03</v>
      </c>
      <c r="EH35" s="3">
        <v>0.03</v>
      </c>
      <c r="EI35" s="3">
        <v>0.02</v>
      </c>
      <c r="EJ35" s="3">
        <v>0.04</v>
      </c>
      <c r="EK35" s="3">
        <v>0.03</v>
      </c>
      <c r="EL35" s="3">
        <v>0.02</v>
      </c>
      <c r="EM35" s="3">
        <v>0.02</v>
      </c>
      <c r="EN35" s="3">
        <v>0.01</v>
      </c>
      <c r="EO35" s="3">
        <v>0.01</v>
      </c>
      <c r="EP35" s="3">
        <v>0.01</v>
      </c>
      <c r="EQ35" s="3">
        <v>0.04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0.03</v>
      </c>
      <c r="EY35" s="3">
        <v>0.04</v>
      </c>
      <c r="EZ35" s="3">
        <f t="shared" si="11"/>
        <v>0.70000000000000018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0</v>
      </c>
      <c r="FZ35" s="3">
        <v>0.71</v>
      </c>
      <c r="GA35" s="3">
        <v>0.91</v>
      </c>
      <c r="GB35" s="3">
        <v>0.92</v>
      </c>
      <c r="GC35" s="3">
        <v>0.63</v>
      </c>
      <c r="GD35" s="3">
        <v>1.07</v>
      </c>
      <c r="GE35" s="3">
        <v>0.78</v>
      </c>
      <c r="GF35" s="3">
        <v>1.24</v>
      </c>
      <c r="GG35" s="3">
        <v>1.05</v>
      </c>
      <c r="GH35" s="3">
        <v>0.59</v>
      </c>
      <c r="GI35" s="3">
        <v>0.67</v>
      </c>
      <c r="GJ35" s="3">
        <v>0.73</v>
      </c>
      <c r="GK35" s="3">
        <v>0.64</v>
      </c>
      <c r="GL35" s="3">
        <v>0.99</v>
      </c>
      <c r="GM35" s="3">
        <v>0.57999999999999996</v>
      </c>
      <c r="GN35" s="3">
        <v>1.2</v>
      </c>
      <c r="GO35" s="3">
        <v>2.75</v>
      </c>
      <c r="GP35" s="3">
        <v>2.8</v>
      </c>
      <c r="GQ35" s="3">
        <v>2.5299999999999998</v>
      </c>
      <c r="GR35" s="3">
        <v>1.4</v>
      </c>
      <c r="GS35" s="3">
        <v>1.57</v>
      </c>
      <c r="GT35" s="3">
        <v>1.24</v>
      </c>
      <c r="GU35" s="3">
        <v>1.45</v>
      </c>
      <c r="GV35" s="3">
        <v>1.1599999999999999</v>
      </c>
      <c r="GW35" s="3">
        <v>1.25</v>
      </c>
      <c r="GX35" s="3">
        <f t="shared" si="13"/>
        <v>28.86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347</v>
      </c>
      <c r="C36" s="6" t="str">
        <f>TEXT(VLOOKUP(LEFT(B36,FIND("月",B36)),基本シート!$E$6:$F$17,2,FALSE)&amp;B36,"aaaa")</f>
        <v>木曜日</v>
      </c>
      <c r="D36" s="6"/>
      <c r="E36" s="6" t="str">
        <f t="shared" si="9"/>
        <v/>
      </c>
      <c r="F36" s="6" t="s">
        <v>296</v>
      </c>
      <c r="G36" s="6" t="s">
        <v>366</v>
      </c>
      <c r="H36" s="3">
        <v>1.92</v>
      </c>
      <c r="I36" s="3">
        <f>IF($E36="〇",H36*基本シート!$E$2,H36*VLOOKUP(LEFT(I$6,FIND("(",I$6)-1),基本シート!$B$6:$C$29,2,FALSE))</f>
        <v>57.331199999999995</v>
      </c>
      <c r="J36" s="3">
        <v>1.07</v>
      </c>
      <c r="K36" s="3">
        <f>IF($E36="〇",J36*基本シート!$E$2,J36*VLOOKUP(LEFT(K$6,FIND("(",K$6)-1),基本シート!$B$6:$C$29,2,FALSE))</f>
        <v>31.950200000000002</v>
      </c>
      <c r="L36" s="3">
        <v>1.17</v>
      </c>
      <c r="M36" s="3">
        <f>IF($E36="〇",L36*基本シート!$E$2,L36*VLOOKUP(LEFT(M$6,FIND("(",M$6)-1),基本シート!$B$6:$C$29,2,FALSE))</f>
        <v>34.936199999999999</v>
      </c>
      <c r="N36" s="3">
        <v>1.23</v>
      </c>
      <c r="O36" s="3">
        <f>IF($E36="〇",N36*基本シート!$E$2,N36*VLOOKUP(LEFT(O$6,FIND("(",O$6)-1),基本シート!$B$6:$C$29,2,FALSE))</f>
        <v>36.727800000000002</v>
      </c>
      <c r="P36" s="3">
        <v>1.91</v>
      </c>
      <c r="Q36" s="3">
        <f>IF($E36="〇",P36*基本シート!$E$2,P36*VLOOKUP(LEFT(Q$6,FIND("(",Q$6)-1),基本シート!$B$6:$C$29,2,FALSE))</f>
        <v>57.032599999999995</v>
      </c>
      <c r="R36" s="3">
        <v>1.49</v>
      </c>
      <c r="S36" s="3">
        <f>IF($E36="〇",R36*基本シート!$E$2,R36*VLOOKUP(LEFT(S$6,FIND("(",S$6)-1),基本シート!$B$6:$C$29,2,FALSE))</f>
        <v>44.491399999999999</v>
      </c>
      <c r="T36" s="3">
        <v>1.1599999999999999</v>
      </c>
      <c r="U36" s="3">
        <f>IF($E36="〇",T36*基本シート!$E$2,T36*VLOOKUP(LEFT(U$6,FIND("(",U$6)-1),基本シート!$B$6:$C$29,2,FALSE))</f>
        <v>34.637599999999999</v>
      </c>
      <c r="V36" s="3">
        <v>2.71</v>
      </c>
      <c r="W36" s="3">
        <f>IF($E36="〇",V36*基本シート!$E$2,V36*VLOOKUP(LEFT(W$6,FIND("(",W$6)-1),基本シート!$B$6:$C$29,2,FALSE))</f>
        <v>99.890599999999992</v>
      </c>
      <c r="X36" s="3">
        <v>1.32</v>
      </c>
      <c r="Y36" s="3">
        <f>IF($E36="〇",X36*基本シート!$E$2,X36*VLOOKUP(LEFT(Y$6,FIND("(",Y$6)-1),基本シート!$B$6:$C$29,2,FALSE))</f>
        <v>48.655200000000001</v>
      </c>
      <c r="Z36" s="3">
        <v>0.64</v>
      </c>
      <c r="AA36" s="3">
        <f>IF($E36="〇",Z36*基本シート!$E$2,Z36*VLOOKUP(LEFT(AA$6,FIND("(",AA$6)-1),基本シート!$B$6:$C$29,2,FALSE))</f>
        <v>23.590399999999999</v>
      </c>
      <c r="AB36" s="3">
        <v>0.71</v>
      </c>
      <c r="AC36" s="3">
        <f>IF($E36="〇",AB36*基本シート!$E$2,AB36*VLOOKUP(LEFT(AC$6,FIND("(",AC$6)-1),基本シート!$B$6:$C$29,2,FALSE))</f>
        <v>26.170599999999997</v>
      </c>
      <c r="AD36" s="3">
        <v>0.65</v>
      </c>
      <c r="AE36" s="3">
        <f>IF($E36="〇",AD36*基本シート!$E$2,AD36*VLOOKUP(LEFT(AE$6,FIND("(",AE$6)-1),基本シート!$B$6:$C$29,2,FALSE))</f>
        <v>23.959</v>
      </c>
      <c r="AF36" s="3">
        <v>0.72</v>
      </c>
      <c r="AG36" s="3">
        <f>IF($E36="〇",AF36*基本シート!$E$2,AF36*VLOOKUP(LEFT(AG$6,FIND("(",AG$6)-1),基本シート!$B$6:$C$29,2,FALSE))</f>
        <v>26.539199999999997</v>
      </c>
      <c r="AH36" s="3">
        <v>0.72</v>
      </c>
      <c r="AI36" s="3">
        <f>IF($E36="〇",AH36*基本シート!$E$2,AH36*VLOOKUP(LEFT(AI$6,FIND("(",AI$6)-1),基本シート!$B$6:$C$29,2,FALSE))</f>
        <v>26.539199999999997</v>
      </c>
      <c r="AJ36" s="3">
        <v>1.41</v>
      </c>
      <c r="AK36" s="3">
        <f>IF($E36="〇",AJ36*基本シート!$E$2,AJ36*VLOOKUP(LEFT(AK$6,FIND("(",AK$6)-1),基本シート!$B$6:$C$29,2,FALSE))</f>
        <v>51.972599999999993</v>
      </c>
      <c r="AL36" s="3">
        <v>2.8</v>
      </c>
      <c r="AM36" s="3">
        <f>IF($E36="〇",AL36*基本シート!$E$2,AL36*VLOOKUP(LEFT(AM$6,FIND("(",AM$6)-1),基本シート!$B$6:$C$29,2,FALSE))</f>
        <v>103.208</v>
      </c>
      <c r="AN36" s="3">
        <v>2.72</v>
      </c>
      <c r="AO36" s="3">
        <f>IF($E36="〇",AN36*基本シート!$E$2,AN36*VLOOKUP(LEFT(AO$6,FIND("(",AO$6)-1),基本シート!$B$6:$C$29,2,FALSE))</f>
        <v>100.25920000000001</v>
      </c>
      <c r="AP36" s="3">
        <v>1.86</v>
      </c>
      <c r="AQ36" s="3">
        <f>IF($E36="〇",AP36*基本シート!$E$2,AP36*VLOOKUP(LEFT(AQ$6,FIND("(",AQ$6)-1),基本シート!$B$6:$C$29,2,FALSE))</f>
        <v>68.559600000000003</v>
      </c>
      <c r="AR36" s="3">
        <v>1.7</v>
      </c>
      <c r="AS36" s="3">
        <f>IF($E36="〇",AR36*基本シート!$E$2,AR36*VLOOKUP(LEFT(AS$6,FIND("(",AS$6)-1),基本シート!$B$6:$C$29,2,FALSE))</f>
        <v>62.661999999999999</v>
      </c>
      <c r="AT36" s="3">
        <v>1.48</v>
      </c>
      <c r="AU36" s="3">
        <f>IF($E36="〇",AT36*基本シート!$E$2,AT36*VLOOKUP(LEFT(AU$6,FIND("(",AU$6)-1),基本シート!$B$6:$C$29,2,FALSE))</f>
        <v>54.552799999999998</v>
      </c>
      <c r="AV36" s="3">
        <v>1.29</v>
      </c>
      <c r="AW36" s="3">
        <f>IF($E36="〇",AV36*基本シート!$E$2,AV36*VLOOKUP(LEFT(AW$6,FIND("(",AW$6)-1),基本シート!$B$6:$C$29,2,FALSE))</f>
        <v>47.549399999999999</v>
      </c>
      <c r="AX36" s="3">
        <v>1.34</v>
      </c>
      <c r="AY36" s="3">
        <f>IF($E36="〇",AX36*基本シート!$E$2,AX36*VLOOKUP(LEFT(AY$6,FIND("(",AY$6)-1),基本シート!$B$6:$C$29,2,FALSE))</f>
        <v>40.0124</v>
      </c>
      <c r="AZ36" s="3">
        <v>1.42</v>
      </c>
      <c r="BA36" s="3">
        <f>IF($E36="〇",AZ36*基本シート!$E$2,AZ36*VLOOKUP(LEFT(BA$6,FIND("(",BA$6)-1),基本シート!$B$6:$C$29,2,FALSE))</f>
        <v>42.401199999999996</v>
      </c>
      <c r="BB36" s="3">
        <v>1.1000000000000001</v>
      </c>
      <c r="BC36" s="3">
        <f>IF($E36="〇",BB36*基本シート!$E$2,BB36*VLOOKUP(LEFT(BC$6,FIND("(",BC$6)-1),基本シート!$B$6:$C$29,2,FALSE))</f>
        <v>32.846000000000004</v>
      </c>
      <c r="BD36" s="3">
        <f t="shared" si="7"/>
        <v>34.540000000000006</v>
      </c>
      <c r="BE36" s="3">
        <f t="shared" si="8"/>
        <v>1176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0.02</v>
      </c>
      <c r="BP36" s="3">
        <v>0.04</v>
      </c>
      <c r="BQ36" s="3">
        <v>0.02</v>
      </c>
      <c r="BR36" s="3">
        <v>0.01</v>
      </c>
      <c r="BS36" s="3">
        <v>0.05</v>
      </c>
      <c r="BT36" s="3">
        <v>0.03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0.03</v>
      </c>
      <c r="EF36" s="3">
        <v>0.04</v>
      </c>
      <c r="EG36" s="3">
        <v>0.04</v>
      </c>
      <c r="EH36" s="3">
        <v>0.04</v>
      </c>
      <c r="EI36" s="3">
        <v>0.03</v>
      </c>
      <c r="EJ36" s="3">
        <v>0.02</v>
      </c>
      <c r="EK36" s="3">
        <v>0.01</v>
      </c>
      <c r="EL36" s="3">
        <v>0.01</v>
      </c>
      <c r="EM36" s="3">
        <v>0.02</v>
      </c>
      <c r="EN36" s="3">
        <v>0.01</v>
      </c>
      <c r="EO36" s="3">
        <v>0.01</v>
      </c>
      <c r="EP36" s="3">
        <v>0.01</v>
      </c>
      <c r="EQ36" s="3">
        <v>0.01</v>
      </c>
      <c r="ER36" s="3">
        <v>0.03</v>
      </c>
      <c r="ES36" s="3">
        <v>0.04</v>
      </c>
      <c r="ET36" s="3">
        <v>0.04</v>
      </c>
      <c r="EU36" s="3">
        <v>0.04</v>
      </c>
      <c r="EV36" s="3">
        <v>0.04</v>
      </c>
      <c r="EW36" s="3">
        <v>0.03</v>
      </c>
      <c r="EX36" s="3">
        <v>0.04</v>
      </c>
      <c r="EY36" s="3">
        <v>0.04</v>
      </c>
      <c r="EZ36" s="3">
        <f t="shared" si="11"/>
        <v>0.70000000000000029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0</v>
      </c>
      <c r="FZ36" s="3">
        <v>1.88</v>
      </c>
      <c r="GA36" s="3">
        <v>1.03</v>
      </c>
      <c r="GB36" s="3">
        <v>1.1299999999999999</v>
      </c>
      <c r="GC36" s="3">
        <v>1.2</v>
      </c>
      <c r="GD36" s="3">
        <v>1.87</v>
      </c>
      <c r="GE36" s="3">
        <v>1.45</v>
      </c>
      <c r="GF36" s="3">
        <v>1.1200000000000001</v>
      </c>
      <c r="GG36" s="3">
        <v>2.68</v>
      </c>
      <c r="GH36" s="3">
        <v>1.3</v>
      </c>
      <c r="GI36" s="3">
        <v>0.65</v>
      </c>
      <c r="GJ36" s="3">
        <v>0.74</v>
      </c>
      <c r="GK36" s="3">
        <v>0.65</v>
      </c>
      <c r="GL36" s="3">
        <v>0.72</v>
      </c>
      <c r="GM36" s="3">
        <v>0.76</v>
      </c>
      <c r="GN36" s="3">
        <v>1.43</v>
      </c>
      <c r="GO36" s="3">
        <v>2.79</v>
      </c>
      <c r="GP36" s="3">
        <v>2.69</v>
      </c>
      <c r="GQ36" s="3">
        <v>1.82</v>
      </c>
      <c r="GR36" s="3">
        <v>1.66</v>
      </c>
      <c r="GS36" s="3">
        <v>1.44</v>
      </c>
      <c r="GT36" s="3">
        <v>1.25</v>
      </c>
      <c r="GU36" s="3">
        <v>1.31</v>
      </c>
      <c r="GV36" s="3">
        <v>1.38</v>
      </c>
      <c r="GW36" s="3">
        <v>1.06</v>
      </c>
      <c r="GX36" s="3">
        <f t="shared" si="13"/>
        <v>34.010000000000005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364</v>
      </c>
      <c r="C37" s="6" t="str">
        <f>TEXT(VLOOKUP(LEFT(B37,FIND("月",B37)),基本シート!$E$6:$F$17,2,FALSE)&amp;B37,"aaaa")</f>
        <v>金曜日</v>
      </c>
      <c r="D37" s="6"/>
      <c r="E37" s="6"/>
      <c r="F37" s="6" t="s">
        <v>296</v>
      </c>
      <c r="G37" s="6" t="s">
        <v>298</v>
      </c>
      <c r="H37" s="3">
        <v>1.08</v>
      </c>
      <c r="I37" s="3">
        <f>IF($E37="〇",H37*基本シート!$E$2,H37*VLOOKUP(LEFT(I$6,FIND("(",I$6)-1),基本シート!$B$6:$C$29,2,FALSE))</f>
        <v>32.248800000000003</v>
      </c>
      <c r="J37" s="3">
        <v>2.15</v>
      </c>
      <c r="K37" s="3">
        <f>IF($E37="〇",J37*基本シート!$E$2,J37*VLOOKUP(LEFT(K$6,FIND("(",K$6)-1),基本シート!$B$6:$C$29,2,FALSE))</f>
        <v>64.198999999999998</v>
      </c>
      <c r="L37" s="3">
        <v>0.8</v>
      </c>
      <c r="M37" s="3">
        <f>IF($E37="〇",L37*基本シート!$E$2,L37*VLOOKUP(LEFT(M$6,FIND("(",M$6)-1),基本シート!$B$6:$C$29,2,FALSE))</f>
        <v>23.888000000000002</v>
      </c>
      <c r="N37" s="3">
        <v>1.1499999999999999</v>
      </c>
      <c r="O37" s="3">
        <f>IF($E37="〇",N37*基本シート!$E$2,N37*VLOOKUP(LEFT(O$6,FIND("(",O$6)-1),基本シート!$B$6:$C$29,2,FALSE))</f>
        <v>34.338999999999999</v>
      </c>
      <c r="P37" s="3">
        <v>1.1100000000000001</v>
      </c>
      <c r="Q37" s="3">
        <f>IF($E37="〇",P37*基本シート!$E$2,P37*VLOOKUP(LEFT(Q$6,FIND("(",Q$6)-1),基本シート!$B$6:$C$29,2,FALSE))</f>
        <v>33.144600000000004</v>
      </c>
      <c r="R37" s="3">
        <v>1.07</v>
      </c>
      <c r="S37" s="3">
        <f>IF($E37="〇",R37*基本シート!$E$2,R37*VLOOKUP(LEFT(S$6,FIND("(",S$6)-1),基本シート!$B$6:$C$29,2,FALSE))</f>
        <v>31.950200000000002</v>
      </c>
      <c r="T37" s="3">
        <v>2.74</v>
      </c>
      <c r="U37" s="3">
        <f>IF($E37="〇",T37*基本シート!$E$2,T37*VLOOKUP(LEFT(U$6,FIND("(",U$6)-1),基本シート!$B$6:$C$29,2,FALSE))</f>
        <v>81.816400000000002</v>
      </c>
      <c r="V37" s="3">
        <v>1.48</v>
      </c>
      <c r="W37" s="3">
        <f>IF($E37="〇",V37*基本シート!$E$2,V37*VLOOKUP(LEFT(W$6,FIND("(",W$6)-1),基本シート!$B$6:$C$29,2,FALSE))</f>
        <v>54.552799999999998</v>
      </c>
      <c r="X37" s="3">
        <v>0.66</v>
      </c>
      <c r="Y37" s="3">
        <f>IF($E37="〇",X37*基本シート!$E$2,X37*VLOOKUP(LEFT(Y$6,FIND("(",Y$6)-1),基本シート!$B$6:$C$29,2,FALSE))</f>
        <v>24.3276</v>
      </c>
      <c r="Z37" s="3">
        <v>0.73</v>
      </c>
      <c r="AA37" s="3">
        <f>IF($E37="〇",Z37*基本シート!$E$2,Z37*VLOOKUP(LEFT(AA$6,FIND("(",AA$6)-1),基本シート!$B$6:$C$29,2,FALSE))</f>
        <v>26.907799999999998</v>
      </c>
      <c r="AB37" s="3">
        <v>0.75</v>
      </c>
      <c r="AC37" s="3">
        <f>IF($E37="〇",AB37*基本シート!$E$2,AB37*VLOOKUP(LEFT(AC$6,FIND("(",AC$6)-1),基本シート!$B$6:$C$29,2,FALSE))</f>
        <v>27.645</v>
      </c>
      <c r="AD37" s="3">
        <v>0.6</v>
      </c>
      <c r="AE37" s="3">
        <f>IF($E37="〇",AD37*基本シート!$E$2,AD37*VLOOKUP(LEFT(AE$6,FIND("(",AE$6)-1),基本シート!$B$6:$C$29,2,FALSE))</f>
        <v>22.116</v>
      </c>
      <c r="AF37" s="3">
        <v>0.71</v>
      </c>
      <c r="AG37" s="3">
        <f>IF($E37="〇",AF37*基本シート!$E$2,AF37*VLOOKUP(LEFT(AG$6,FIND("(",AG$6)-1),基本シート!$B$6:$C$29,2,FALSE))</f>
        <v>26.170599999999997</v>
      </c>
      <c r="AH37" s="3">
        <v>0.75</v>
      </c>
      <c r="AI37" s="3">
        <f>IF($E37="〇",AH37*基本シート!$E$2,AH37*VLOOKUP(LEFT(AI$6,FIND("(",AI$6)-1),基本シート!$B$6:$C$29,2,FALSE))</f>
        <v>27.645</v>
      </c>
      <c r="AJ37" s="3">
        <v>1.07</v>
      </c>
      <c r="AK37" s="3">
        <f>IF($E37="〇",AJ37*基本シート!$E$2,AJ37*VLOOKUP(LEFT(AK$6,FIND("(",AK$6)-1),基本シート!$B$6:$C$29,2,FALSE))</f>
        <v>39.440200000000004</v>
      </c>
      <c r="AL37" s="3">
        <v>2.89</v>
      </c>
      <c r="AM37" s="3">
        <f>IF($E37="〇",AL37*基本シート!$E$2,AL37*VLOOKUP(LEFT(AM$6,FIND("(",AM$6)-1),基本シート!$B$6:$C$29,2,FALSE))</f>
        <v>106.5254</v>
      </c>
      <c r="AN37" s="3">
        <v>2.71</v>
      </c>
      <c r="AO37" s="3">
        <f>IF($E37="〇",AN37*基本シート!$E$2,AN37*VLOOKUP(LEFT(AO$6,FIND("(",AO$6)-1),基本シート!$B$6:$C$29,2,FALSE))</f>
        <v>99.890599999999992</v>
      </c>
      <c r="AP37" s="3">
        <v>1.95</v>
      </c>
      <c r="AQ37" s="3">
        <f>IF($E37="〇",AP37*基本シート!$E$2,AP37*VLOOKUP(LEFT(AQ$6,FIND("(",AQ$6)-1),基本シート!$B$6:$C$29,2,FALSE))</f>
        <v>71.876999999999995</v>
      </c>
      <c r="AR37" s="3">
        <v>1.64</v>
      </c>
      <c r="AS37" s="3">
        <f>IF($E37="〇",AR37*基本シート!$E$2,AR37*VLOOKUP(LEFT(AS$6,FIND("(",AS$6)-1),基本シート!$B$6:$C$29,2,FALSE))</f>
        <v>60.450399999999995</v>
      </c>
      <c r="AT37" s="3">
        <v>1.35</v>
      </c>
      <c r="AU37" s="3">
        <f>IF($E37="〇",AT37*基本シート!$E$2,AT37*VLOOKUP(LEFT(AU$6,FIND("(",AU$6)-1),基本シート!$B$6:$C$29,2,FALSE))</f>
        <v>49.761000000000003</v>
      </c>
      <c r="AV37" s="3">
        <v>1.17</v>
      </c>
      <c r="AW37" s="3">
        <f>IF($E37="〇",AV37*基本シート!$E$2,AV37*VLOOKUP(LEFT(AW$6,FIND("(",AW$6)-1),基本シート!$B$6:$C$29,2,FALSE))</f>
        <v>43.126199999999997</v>
      </c>
      <c r="AX37" s="3">
        <v>1.1200000000000001</v>
      </c>
      <c r="AY37" s="3">
        <f>IF($E37="〇",AX37*基本シート!$E$2,AX37*VLOOKUP(LEFT(AY$6,FIND("(",AY$6)-1),基本シート!$B$6:$C$29,2,FALSE))</f>
        <v>33.443200000000004</v>
      </c>
      <c r="AZ37" s="3">
        <v>1.1100000000000001</v>
      </c>
      <c r="BA37" s="3">
        <f>IF($E37="〇",AZ37*基本シート!$E$2,AZ37*VLOOKUP(LEFT(BA$6,FIND("(",BA$6)-1),基本シート!$B$6:$C$29,2,FALSE))</f>
        <v>33.144600000000004</v>
      </c>
      <c r="BB37" s="3">
        <v>1.19</v>
      </c>
      <c r="BC37" s="3">
        <f>IF($E37="〇",BB37*基本シート!$E$2,BB37*VLOOKUP(LEFT(BC$6,FIND("(",BC$6)-1),基本シート!$B$6:$C$29,2,FALSE))</f>
        <v>35.5334</v>
      </c>
      <c r="BD37" s="3">
        <f t="shared" si="7"/>
        <v>31.980000000000004</v>
      </c>
      <c r="BE37" s="3">
        <f t="shared" si="8"/>
        <v>1084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0.01</v>
      </c>
      <c r="BO37" s="3">
        <v>0.11</v>
      </c>
      <c r="BP37" s="3">
        <v>7.0000000000000007E-2</v>
      </c>
      <c r="BQ37" s="3">
        <v>0.08</v>
      </c>
      <c r="BR37" s="3">
        <v>0.05</v>
      </c>
      <c r="BS37" s="3">
        <v>0.06</v>
      </c>
      <c r="BT37" s="3">
        <v>0.06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</v>
      </c>
      <c r="DA37" s="3">
        <f>CZ37*基本シート!$C$3</f>
        <v>0</v>
      </c>
      <c r="DB37" s="3">
        <v>0</v>
      </c>
      <c r="DC37" s="3">
        <f>DB37*基本シート!$C$3</f>
        <v>0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4"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>
        <v>0.03</v>
      </c>
      <c r="EC37" s="3">
        <v>0.03</v>
      </c>
      <c r="ED37" s="3">
        <v>0.04</v>
      </c>
      <c r="EE37" s="3">
        <v>0.03</v>
      </c>
      <c r="EF37" s="3">
        <v>0.04</v>
      </c>
      <c r="EG37" s="3">
        <v>0.04</v>
      </c>
      <c r="EH37" s="3">
        <v>0.04</v>
      </c>
      <c r="EI37" s="3">
        <v>0.03</v>
      </c>
      <c r="EJ37" s="3">
        <v>0.01</v>
      </c>
      <c r="EK37" s="3">
        <v>0</v>
      </c>
      <c r="EL37" s="3">
        <v>0.01</v>
      </c>
      <c r="EM37" s="3">
        <v>0.01</v>
      </c>
      <c r="EN37" s="3">
        <v>0.01</v>
      </c>
      <c r="EO37" s="3">
        <v>0.01</v>
      </c>
      <c r="EP37" s="3">
        <v>0.01</v>
      </c>
      <c r="EQ37" s="3">
        <v>0.02</v>
      </c>
      <c r="ER37" s="3">
        <v>0.04</v>
      </c>
      <c r="ES37" s="3">
        <v>0.04</v>
      </c>
      <c r="ET37" s="3">
        <v>0.04</v>
      </c>
      <c r="EU37" s="3">
        <v>0.04</v>
      </c>
      <c r="EV37" s="3">
        <v>0.04</v>
      </c>
      <c r="EW37" s="3">
        <v>0.04</v>
      </c>
      <c r="EX37" s="3">
        <v>0.04</v>
      </c>
      <c r="EY37" s="3">
        <v>0.04</v>
      </c>
      <c r="EZ37" s="3">
        <f t="shared" si="11"/>
        <v>0.68000000000000016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f t="shared" si="12"/>
        <v>0</v>
      </c>
      <c r="FZ37" s="3">
        <v>1.05</v>
      </c>
      <c r="GA37" s="3">
        <v>2.12</v>
      </c>
      <c r="GB37" s="3">
        <v>0.76</v>
      </c>
      <c r="GC37" s="3">
        <v>1.1200000000000001</v>
      </c>
      <c r="GD37" s="3">
        <v>1.07</v>
      </c>
      <c r="GE37" s="3">
        <v>1.03</v>
      </c>
      <c r="GF37" s="3">
        <v>2.7</v>
      </c>
      <c r="GG37" s="3">
        <v>1.45</v>
      </c>
      <c r="GH37" s="3">
        <v>0.66</v>
      </c>
      <c r="GI37" s="3">
        <v>0.84</v>
      </c>
      <c r="GJ37" s="3">
        <v>0.81</v>
      </c>
      <c r="GK37" s="3">
        <v>0.67</v>
      </c>
      <c r="GL37" s="3">
        <v>0.75</v>
      </c>
      <c r="GM37" s="3">
        <v>0.8</v>
      </c>
      <c r="GN37" s="3">
        <v>1.1200000000000001</v>
      </c>
      <c r="GO37" s="3">
        <v>2.9</v>
      </c>
      <c r="GP37" s="3">
        <v>2.67</v>
      </c>
      <c r="GQ37" s="3">
        <v>1.91</v>
      </c>
      <c r="GR37" s="3">
        <v>1.6</v>
      </c>
      <c r="GS37" s="3">
        <v>1.31</v>
      </c>
      <c r="GT37" s="3">
        <v>1.1299999999999999</v>
      </c>
      <c r="GU37" s="3">
        <v>1.08</v>
      </c>
      <c r="GV37" s="3">
        <v>1.07</v>
      </c>
      <c r="GW37" s="3">
        <v>1.1499999999999999</v>
      </c>
      <c r="GX37" s="3">
        <f t="shared" si="13"/>
        <v>31.770000000000003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5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30.07</v>
      </c>
      <c r="I38" s="3">
        <f t="shared" ref="I38:M38" si="16">SUM(I7:I36)</f>
        <v>897.89019999999994</v>
      </c>
      <c r="J38" s="3">
        <f t="shared" si="16"/>
        <v>34.57</v>
      </c>
      <c r="K38" s="3">
        <f t="shared" si="16"/>
        <v>1032.2602000000002</v>
      </c>
      <c r="L38" s="3">
        <f t="shared" si="16"/>
        <v>33.160000000000004</v>
      </c>
      <c r="M38" s="3">
        <f t="shared" si="16"/>
        <v>990.15760000000012</v>
      </c>
      <c r="N38" s="3">
        <f>SUM(N7:N37)</f>
        <v>34.949999999999996</v>
      </c>
      <c r="O38" s="3">
        <f t="shared" ref="O38:BZ38" si="17">SUM(O7:O37)</f>
        <v>1043.6069999999997</v>
      </c>
      <c r="P38" s="3">
        <f t="shared" si="17"/>
        <v>38.630000000000003</v>
      </c>
      <c r="Q38" s="3">
        <f t="shared" si="17"/>
        <v>1153.4917999999998</v>
      </c>
      <c r="R38" s="3">
        <f t="shared" si="17"/>
        <v>40.45000000000001</v>
      </c>
      <c r="S38" s="3">
        <f t="shared" si="17"/>
        <v>1207.8370000000002</v>
      </c>
      <c r="T38" s="3">
        <f t="shared" si="17"/>
        <v>42.010000000000012</v>
      </c>
      <c r="U38" s="3">
        <f t="shared" si="17"/>
        <v>1254.4186</v>
      </c>
      <c r="V38" s="3">
        <f t="shared" si="17"/>
        <v>38.989999999999995</v>
      </c>
      <c r="W38" s="3">
        <f t="shared" si="17"/>
        <v>1352.5414000000001</v>
      </c>
      <c r="X38" s="3">
        <f t="shared" si="17"/>
        <v>20.720000000000002</v>
      </c>
      <c r="Y38" s="3">
        <f t="shared" si="17"/>
        <v>720.26920000000007</v>
      </c>
      <c r="Z38" s="3">
        <f t="shared" si="17"/>
        <v>10.039999999999999</v>
      </c>
      <c r="AA38" s="3">
        <f t="shared" si="17"/>
        <v>347.67440000000005</v>
      </c>
      <c r="AB38" s="3">
        <f t="shared" si="17"/>
        <v>8.19</v>
      </c>
      <c r="AC38" s="3">
        <f t="shared" si="17"/>
        <v>292.29339999999996</v>
      </c>
      <c r="AD38" s="3">
        <f t="shared" si="17"/>
        <v>8.0300000000000011</v>
      </c>
      <c r="AE38" s="3">
        <f t="shared" si="17"/>
        <v>278.97579999999994</v>
      </c>
      <c r="AF38" s="3">
        <f t="shared" si="17"/>
        <v>6.9899999999999993</v>
      </c>
      <c r="AG38" s="3">
        <f t="shared" si="17"/>
        <v>251.42139999999995</v>
      </c>
      <c r="AH38" s="3">
        <f t="shared" si="17"/>
        <v>5.7399999999999993</v>
      </c>
      <c r="AI38" s="3">
        <f t="shared" si="17"/>
        <v>207.0264</v>
      </c>
      <c r="AJ38" s="3">
        <f t="shared" si="17"/>
        <v>8.1300000000000008</v>
      </c>
      <c r="AK38" s="3">
        <f t="shared" si="17"/>
        <v>295.8218</v>
      </c>
      <c r="AL38" s="3">
        <f t="shared" si="17"/>
        <v>22.27</v>
      </c>
      <c r="AM38" s="3">
        <f t="shared" si="17"/>
        <v>802.53219999999999</v>
      </c>
      <c r="AN38" s="3">
        <f t="shared" si="17"/>
        <v>26.19</v>
      </c>
      <c r="AO38" s="3">
        <f t="shared" si="17"/>
        <v>946.39339999999993</v>
      </c>
      <c r="AP38" s="3">
        <f t="shared" si="17"/>
        <v>43.29</v>
      </c>
      <c r="AQ38" s="3">
        <f t="shared" si="17"/>
        <v>1503.6894</v>
      </c>
      <c r="AR38" s="3">
        <f t="shared" si="17"/>
        <v>65.330000000000013</v>
      </c>
      <c r="AS38" s="3">
        <f t="shared" si="17"/>
        <v>2217.9438</v>
      </c>
      <c r="AT38" s="3">
        <f t="shared" si="17"/>
        <v>59.019999999999996</v>
      </c>
      <c r="AU38" s="3">
        <f t="shared" si="17"/>
        <v>2024.2771999999995</v>
      </c>
      <c r="AV38" s="3">
        <f t="shared" si="17"/>
        <v>38.750000000000007</v>
      </c>
      <c r="AW38" s="3">
        <f t="shared" si="17"/>
        <v>1352.1650000000002</v>
      </c>
      <c r="AX38" s="3">
        <f t="shared" si="17"/>
        <v>40.64</v>
      </c>
      <c r="AY38" s="3">
        <f t="shared" si="17"/>
        <v>1213.5103999999999</v>
      </c>
      <c r="AZ38" s="3">
        <f t="shared" si="17"/>
        <v>33.520000000000003</v>
      </c>
      <c r="BA38" s="3">
        <f t="shared" si="17"/>
        <v>1000.9071999999999</v>
      </c>
      <c r="BB38" s="3">
        <f t="shared" si="17"/>
        <v>37.699999999999996</v>
      </c>
      <c r="BC38" s="3">
        <f t="shared" si="17"/>
        <v>1125.7219999999998</v>
      </c>
      <c r="BD38" s="3">
        <f t="shared" si="17"/>
        <v>731.41</v>
      </c>
      <c r="BE38" s="3">
        <f t="shared" si="17"/>
        <v>23631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</v>
      </c>
      <c r="BK38" s="3">
        <f t="shared" si="17"/>
        <v>0</v>
      </c>
      <c r="BL38" s="3">
        <f t="shared" si="17"/>
        <v>0</v>
      </c>
      <c r="BM38" s="3">
        <f t="shared" si="17"/>
        <v>3.79</v>
      </c>
      <c r="BN38" s="3">
        <f t="shared" si="17"/>
        <v>26.37</v>
      </c>
      <c r="BO38" s="3">
        <f t="shared" si="17"/>
        <v>59.940000000000005</v>
      </c>
      <c r="BP38" s="3">
        <f t="shared" si="17"/>
        <v>90.65000000000002</v>
      </c>
      <c r="BQ38" s="3">
        <f t="shared" si="17"/>
        <v>99.569999999999979</v>
      </c>
      <c r="BR38" s="3">
        <f t="shared" si="17"/>
        <v>89.600000000000023</v>
      </c>
      <c r="BS38" s="3">
        <f t="shared" si="17"/>
        <v>84.859999999999985</v>
      </c>
      <c r="BT38" s="3">
        <f t="shared" si="17"/>
        <v>53.659999999999989</v>
      </c>
      <c r="BU38" s="3">
        <f t="shared" si="17"/>
        <v>19.45</v>
      </c>
      <c r="BV38" s="3">
        <f t="shared" si="17"/>
        <v>1.8699999999999999</v>
      </c>
      <c r="BW38" s="3">
        <f t="shared" si="17"/>
        <v>0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ref="CA38:CF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ref="CG38:EL38" si="19">SUM(CG7:CG37)</f>
        <v>0</v>
      </c>
      <c r="CH38" s="3">
        <f t="shared" si="19"/>
        <v>0</v>
      </c>
      <c r="CI38" s="3">
        <f t="shared" si="19"/>
        <v>0</v>
      </c>
      <c r="CJ38" s="3">
        <f t="shared" si="19"/>
        <v>0</v>
      </c>
      <c r="CK38" s="3">
        <f t="shared" si="19"/>
        <v>0</v>
      </c>
      <c r="CL38" s="3">
        <f t="shared" si="19"/>
        <v>0</v>
      </c>
      <c r="CM38" s="3">
        <f t="shared" si="19"/>
        <v>0</v>
      </c>
      <c r="CN38" s="3">
        <f t="shared" si="19"/>
        <v>0</v>
      </c>
      <c r="CO38" s="3">
        <f t="shared" si="19"/>
        <v>0</v>
      </c>
      <c r="CP38" s="3">
        <f t="shared" si="19"/>
        <v>0</v>
      </c>
      <c r="CQ38" s="3">
        <f t="shared" si="19"/>
        <v>0</v>
      </c>
      <c r="CR38" s="3">
        <f t="shared" si="19"/>
        <v>0</v>
      </c>
      <c r="CS38" s="3">
        <f t="shared" si="19"/>
        <v>0</v>
      </c>
      <c r="CT38" s="3">
        <f t="shared" si="19"/>
        <v>1.69</v>
      </c>
      <c r="CU38" s="3">
        <f t="shared" si="19"/>
        <v>27.04</v>
      </c>
      <c r="CV38" s="3">
        <f t="shared" si="19"/>
        <v>8.74</v>
      </c>
      <c r="CW38" s="3">
        <f t="shared" si="19"/>
        <v>139.84</v>
      </c>
      <c r="CX38" s="3">
        <f t="shared" si="19"/>
        <v>21.359999999999996</v>
      </c>
      <c r="CY38" s="3">
        <f t="shared" si="19"/>
        <v>341.75999999999993</v>
      </c>
      <c r="CZ38" s="3">
        <f t="shared" si="19"/>
        <v>47.680000000000007</v>
      </c>
      <c r="DA38" s="3">
        <f t="shared" si="19"/>
        <v>762.88000000000011</v>
      </c>
      <c r="DB38" s="3">
        <f t="shared" si="19"/>
        <v>55.4</v>
      </c>
      <c r="DC38" s="3">
        <f t="shared" si="19"/>
        <v>886.4</v>
      </c>
      <c r="DD38" s="3">
        <f t="shared" si="19"/>
        <v>53.449999999999989</v>
      </c>
      <c r="DE38" s="3">
        <f t="shared" si="19"/>
        <v>855.19999999999982</v>
      </c>
      <c r="DF38" s="3">
        <f t="shared" si="19"/>
        <v>32.520000000000003</v>
      </c>
      <c r="DG38" s="3">
        <f t="shared" si="19"/>
        <v>520.32000000000005</v>
      </c>
      <c r="DH38" s="3">
        <f t="shared" si="19"/>
        <v>6.04</v>
      </c>
      <c r="DI38" s="3">
        <f t="shared" si="19"/>
        <v>96.64</v>
      </c>
      <c r="DJ38" s="3">
        <f t="shared" si="19"/>
        <v>0.15</v>
      </c>
      <c r="DK38" s="3">
        <f t="shared" si="19"/>
        <v>2.4</v>
      </c>
      <c r="DL38" s="3">
        <f t="shared" si="19"/>
        <v>0.05</v>
      </c>
      <c r="DM38" s="3">
        <f t="shared" si="19"/>
        <v>0.8</v>
      </c>
      <c r="DN38" s="3">
        <f t="shared" si="19"/>
        <v>0.01</v>
      </c>
      <c r="DO38" s="3">
        <f t="shared" si="19"/>
        <v>0.16</v>
      </c>
      <c r="DP38" s="3">
        <f t="shared" si="19"/>
        <v>0</v>
      </c>
      <c r="DQ38" s="3">
        <f t="shared" si="19"/>
        <v>0</v>
      </c>
      <c r="DR38" s="3">
        <f t="shared" si="19"/>
        <v>0</v>
      </c>
      <c r="DS38" s="3">
        <f t="shared" si="19"/>
        <v>0</v>
      </c>
      <c r="DT38" s="3">
        <f t="shared" si="19"/>
        <v>0</v>
      </c>
      <c r="DU38" s="3">
        <f t="shared" si="19"/>
        <v>0</v>
      </c>
      <c r="DV38" s="3">
        <f t="shared" si="19"/>
        <v>0</v>
      </c>
      <c r="DW38" s="3">
        <f t="shared" si="19"/>
        <v>0</v>
      </c>
      <c r="DX38" s="3">
        <f t="shared" si="19"/>
        <v>0</v>
      </c>
      <c r="DY38" s="3">
        <f t="shared" si="19"/>
        <v>0</v>
      </c>
      <c r="DZ38" s="3">
        <f t="shared" si="19"/>
        <v>227.09000000000003</v>
      </c>
      <c r="EA38" s="3">
        <f t="shared" si="19"/>
        <v>3631</v>
      </c>
      <c r="EB38" s="3">
        <f t="shared" si="19"/>
        <v>1.0400000000000005</v>
      </c>
      <c r="EC38" s="3">
        <f t="shared" si="19"/>
        <v>1.1000000000000003</v>
      </c>
      <c r="ED38" s="3">
        <f t="shared" si="19"/>
        <v>1.1400000000000003</v>
      </c>
      <c r="EE38" s="3">
        <f t="shared" si="19"/>
        <v>1.1000000000000003</v>
      </c>
      <c r="EF38" s="3">
        <f t="shared" si="19"/>
        <v>1.1300000000000003</v>
      </c>
      <c r="EG38" s="3">
        <f t="shared" si="19"/>
        <v>1.1500000000000006</v>
      </c>
      <c r="EH38" s="3">
        <f t="shared" si="19"/>
        <v>1.1200000000000003</v>
      </c>
      <c r="EI38" s="3">
        <f t="shared" si="19"/>
        <v>0.50000000000000011</v>
      </c>
      <c r="EJ38" s="3">
        <f t="shared" si="19"/>
        <v>10.569999999999997</v>
      </c>
      <c r="EK38" s="3">
        <f t="shared" si="19"/>
        <v>30.580000000000005</v>
      </c>
      <c r="EL38" s="3">
        <f t="shared" si="19"/>
        <v>48.170000000000009</v>
      </c>
      <c r="EM38" s="3">
        <f t="shared" ref="EM38:GX38" si="20">SUM(EM7:EM37)</f>
        <v>30.280000000000005</v>
      </c>
      <c r="EN38" s="3">
        <f t="shared" si="20"/>
        <v>12.749999999999996</v>
      </c>
      <c r="EO38" s="3">
        <f t="shared" si="20"/>
        <v>11.229999999999999</v>
      </c>
      <c r="EP38" s="3">
        <f t="shared" si="20"/>
        <v>1.08</v>
      </c>
      <c r="EQ38" s="3">
        <f t="shared" si="20"/>
        <v>0.12</v>
      </c>
      <c r="ER38" s="3">
        <f t="shared" si="20"/>
        <v>0.26</v>
      </c>
      <c r="ES38" s="3">
        <f t="shared" si="20"/>
        <v>0.37999999999999995</v>
      </c>
      <c r="ET38" s="3">
        <f t="shared" si="20"/>
        <v>0.90000000000000058</v>
      </c>
      <c r="EU38" s="3">
        <f t="shared" si="20"/>
        <v>1.1100000000000003</v>
      </c>
      <c r="EV38" s="3">
        <f t="shared" si="20"/>
        <v>1.0900000000000005</v>
      </c>
      <c r="EW38" s="3">
        <f t="shared" si="20"/>
        <v>1.1000000000000005</v>
      </c>
      <c r="EX38" s="3">
        <f t="shared" si="20"/>
        <v>1.1100000000000005</v>
      </c>
      <c r="EY38" s="3">
        <f t="shared" si="20"/>
        <v>1.1100000000000003</v>
      </c>
      <c r="EZ38" s="3">
        <f t="shared" si="20"/>
        <v>160.12000000000003</v>
      </c>
      <c r="FA38" s="3">
        <f t="shared" si="20"/>
        <v>0</v>
      </c>
      <c r="FB38" s="3">
        <f t="shared" si="20"/>
        <v>0</v>
      </c>
      <c r="FC38" s="3">
        <f t="shared" si="20"/>
        <v>0</v>
      </c>
      <c r="FD38" s="3">
        <f t="shared" si="20"/>
        <v>0</v>
      </c>
      <c r="FE38" s="3">
        <f t="shared" si="20"/>
        <v>0</v>
      </c>
      <c r="FF38" s="3">
        <f t="shared" si="20"/>
        <v>0</v>
      </c>
      <c r="FG38" s="3">
        <f t="shared" si="20"/>
        <v>0</v>
      </c>
      <c r="FH38" s="3">
        <f t="shared" si="20"/>
        <v>0</v>
      </c>
      <c r="FI38" s="3">
        <f t="shared" si="20"/>
        <v>0</v>
      </c>
      <c r="FJ38" s="3">
        <f t="shared" si="20"/>
        <v>0.06</v>
      </c>
      <c r="FK38" s="3">
        <f t="shared" si="20"/>
        <v>0</v>
      </c>
      <c r="FL38" s="3">
        <f t="shared" si="20"/>
        <v>0.02</v>
      </c>
      <c r="FM38" s="3">
        <f t="shared" si="20"/>
        <v>0.27</v>
      </c>
      <c r="FN38" s="3">
        <f t="shared" si="20"/>
        <v>6.9999999999999993E-2</v>
      </c>
      <c r="FO38" s="3">
        <f t="shared" si="20"/>
        <v>3.7499999999999996</v>
      </c>
      <c r="FP38" s="3">
        <f t="shared" si="20"/>
        <v>30.23</v>
      </c>
      <c r="FQ38" s="3">
        <f t="shared" si="20"/>
        <v>53.250000000000007</v>
      </c>
      <c r="FR38" s="3">
        <f t="shared" si="20"/>
        <v>28.83</v>
      </c>
      <c r="FS38" s="3">
        <f t="shared" si="20"/>
        <v>1.3199999999999998</v>
      </c>
      <c r="FT38" s="3">
        <f t="shared" si="20"/>
        <v>0</v>
      </c>
      <c r="FU38" s="3">
        <f t="shared" si="20"/>
        <v>0</v>
      </c>
      <c r="FV38" s="3">
        <f t="shared" si="20"/>
        <v>0</v>
      </c>
      <c r="FW38" s="3">
        <f t="shared" si="20"/>
        <v>0</v>
      </c>
      <c r="FX38" s="3">
        <f t="shared" si="20"/>
        <v>0</v>
      </c>
      <c r="FY38" s="3">
        <f t="shared" si="20"/>
        <v>117.79999999999997</v>
      </c>
      <c r="FZ38" s="3">
        <f t="shared" si="20"/>
        <v>30.11</v>
      </c>
      <c r="GA38" s="3">
        <f t="shared" si="20"/>
        <v>35.619999999999997</v>
      </c>
      <c r="GB38" s="3">
        <f t="shared" si="20"/>
        <v>32.820000000000007</v>
      </c>
      <c r="GC38" s="3">
        <f t="shared" si="20"/>
        <v>33.849999999999987</v>
      </c>
      <c r="GD38" s="3">
        <f t="shared" si="20"/>
        <v>37.5</v>
      </c>
      <c r="GE38" s="3">
        <f t="shared" si="20"/>
        <v>39.300000000000011</v>
      </c>
      <c r="GF38" s="3">
        <f t="shared" si="20"/>
        <v>40.889999999999993</v>
      </c>
      <c r="GG38" s="3">
        <f t="shared" si="20"/>
        <v>42.280000000000008</v>
      </c>
      <c r="GH38" s="3">
        <f t="shared" si="20"/>
        <v>34.83</v>
      </c>
      <c r="GI38" s="3">
        <f t="shared" si="20"/>
        <v>30.72000000000001</v>
      </c>
      <c r="GJ38" s="3">
        <f t="shared" si="20"/>
        <v>29.31</v>
      </c>
      <c r="GK38" s="3">
        <f t="shared" si="20"/>
        <v>29.659999999999997</v>
      </c>
      <c r="GL38" s="3">
        <f t="shared" si="20"/>
        <v>28.71</v>
      </c>
      <c r="GM38" s="3">
        <f t="shared" si="20"/>
        <v>25.99</v>
      </c>
      <c r="GN38" s="3">
        <f t="shared" si="20"/>
        <v>31.940000000000008</v>
      </c>
      <c r="GO38" s="3">
        <f t="shared" si="20"/>
        <v>65.790000000000006</v>
      </c>
      <c r="GP38" s="3">
        <f t="shared" si="20"/>
        <v>80.90000000000002</v>
      </c>
      <c r="GQ38" s="3">
        <f t="shared" si="20"/>
        <v>71.69</v>
      </c>
      <c r="GR38" s="3">
        <f t="shared" si="20"/>
        <v>65.739999999999995</v>
      </c>
      <c r="GS38" s="3">
        <f t="shared" si="20"/>
        <v>57.910000000000011</v>
      </c>
      <c r="GT38" s="3">
        <f t="shared" si="20"/>
        <v>37.660000000000004</v>
      </c>
      <c r="GU38" s="3">
        <f t="shared" si="20"/>
        <v>39.54</v>
      </c>
      <c r="GV38" s="3">
        <f t="shared" si="20"/>
        <v>32.409999999999997</v>
      </c>
      <c r="GW38" s="3">
        <f t="shared" si="20"/>
        <v>36.589999999999996</v>
      </c>
      <c r="GX38" s="3">
        <f t="shared" si="20"/>
        <v>991.75999999999988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67" priority="92" percent="1" rank="10"/>
  </conditionalFormatting>
  <conditionalFormatting sqref="AZ7 H7 J7 L7 N7 P7 R7 T7 V7 X7 Z7 AB7 AD7 AF7 AH7 AJ7 AL7 AN7 AP7 AR7 AT7 AV7 AX7">
    <cfRule type="top10" dxfId="366" priority="91" percent="1" rank="10"/>
  </conditionalFormatting>
  <conditionalFormatting sqref="FA7:FX7 FZ7:GW7">
    <cfRule type="top10" dxfId="365" priority="90" percent="1" rank="10"/>
  </conditionalFormatting>
  <conditionalFormatting sqref="H8 J8 L8 N8 P8 R8 T8 V8 X8 Z8 AB8 AD8 AF8 AH8 AJ8 AL8 AN8 AP8 AR8 AT8 AV8 AX8 AZ8 BB8">
    <cfRule type="top10" dxfId="364" priority="89" percent="1" rank="10"/>
  </conditionalFormatting>
  <conditionalFormatting sqref="H9 J9 L9 N9 P9 R9 T9 V9 X9 Z9 AB9 AD9 AF9 AH9 AJ9 AL9 AN9 AP9 AR9 AT9 AV9 AZ9 AX9 BB9">
    <cfRule type="top10" dxfId="363" priority="88" percent="1" rank="10"/>
  </conditionalFormatting>
  <conditionalFormatting sqref="J10 H10 L10 N10 P10 R10 T10 V10 X10 Z10 AB10 AD10 AF10 AH10 AJ10 AL10 AN10 AP10 AR10 AT10 AV10 AX10 AZ10 BB10">
    <cfRule type="top10" dxfId="362" priority="87" percent="1" rank="10"/>
  </conditionalFormatting>
  <conditionalFormatting sqref="BB11 AZ11 AX11 AV11 AT11 AR11 AP11 AN11 AL11 AJ11 AH11 AF11 AD11 AB11 Z11 X11 V11 T11 R11 P11 N11 L11 J11 H11">
    <cfRule type="top10" dxfId="361" priority="86" percent="1" rank="10"/>
  </conditionalFormatting>
  <conditionalFormatting sqref="BB12 AZ12 AX12 AV12 AT12 AR12 AP12 AN12 AL12 AJ12 AH12 AF12 AD12 AB12 Z12 X12 V12 T12 R12 P12 N12 L12 J12 H12">
    <cfRule type="top10" dxfId="360" priority="85" percent="1" rank="10"/>
  </conditionalFormatting>
  <conditionalFormatting sqref="H13 J13 L13 N13 P13 R13 T13 V13 X13 Z13 AB13 AD13 AF13 AH13 AJ13 AL13 AN13 AP13 AR13 AT13 AV13 AX13 AZ13 BB13">
    <cfRule type="top10" dxfId="359" priority="84" percent="1" rank="10"/>
  </conditionalFormatting>
  <conditionalFormatting sqref="BB14 AZ14 AX14 AV14 AT14 AR14 AP14 AL14 AN14 AJ14 AH14 AF14 AD14 AB14 Z14 X14 V14 T14 R14 P14 N14 L14 J14 H14">
    <cfRule type="top10" dxfId="358" priority="83" percent="1" rank="10"/>
  </conditionalFormatting>
  <conditionalFormatting sqref="H15 J15 L15 N15 P15 R15 T15 V15 X15 Z15 AB15 AD15 AF15 AH15 AJ15 AL15 AN15 AP15 AR15 AT15 AV15 AX15 AZ15 BB15">
    <cfRule type="top10" dxfId="357" priority="82" percent="1" rank="10"/>
  </conditionalFormatting>
  <conditionalFormatting sqref="BB16 AZ16 AX16 AV16 AT16 AR16 AP16 AN16 AL16 AJ16 AH16 AF16 AD16 AB16 Z16 X16 V16 T16 R16 P16 N16 L16 J16 H16">
    <cfRule type="top10" dxfId="356" priority="81" percent="1" rank="10"/>
  </conditionalFormatting>
  <conditionalFormatting sqref="H17 J17 L17 N17 P17 R17 T17 V17 X17 Z17 AB17 AD17 AF17 AH17 AJ17 AL17 AN17 AP17 AR17 AT17 AV17 AX17 AZ17 BB17">
    <cfRule type="top10" dxfId="355" priority="80" percent="1" rank="10"/>
  </conditionalFormatting>
  <conditionalFormatting sqref="H18 J18 L18 N18 P18 R18 T18 V18 X18 Z18 AB18 AD18 AF18 AH18 AJ18 AL18 AN18 AP18 AR18 AT18 AV18 AX18 AZ18 BB18">
    <cfRule type="top10" dxfId="354" priority="79" percent="1" rank="10"/>
  </conditionalFormatting>
  <conditionalFormatting sqref="BB19 AZ19 AX19 AV19 AT19 AR19 AP19 AN19 AL19 AJ19 AH19 AF19 AD19 AB19 Z19 X19 V19 T19 R19 P19 N19 L19 J19 H19">
    <cfRule type="top10" dxfId="353" priority="78" percent="1" rank="10"/>
  </conditionalFormatting>
  <conditionalFormatting sqref="H20 J20 N20 L20 P20 R20 T20 X20 V20 Z20 AB20 AD20 AF20 AH20 AJ20 AL20 AN20 AP20 AR20 AT20 AV20 AX20 AZ20 BB20">
    <cfRule type="top10" dxfId="352" priority="77" percent="1" rank="10"/>
  </conditionalFormatting>
  <conditionalFormatting sqref="BB21 AZ21 AX21 AV21 AT21 AR21 AP21 AN21 AL21 AJ21 AH21 AF21 AD21 AB21 Z21 X21 V21 T21 R21 P21 N21 L21 J21 H21">
    <cfRule type="top10" dxfId="351" priority="76" percent="1" rank="10"/>
  </conditionalFormatting>
  <conditionalFormatting sqref="H22 J22 L22 N22 P22 R22 T22 V22 X22 Z22 AB22 AD22 AF22 AH22 AJ22 AL22 AN22 AP22 AR22 AT22 AV22 AX22 AZ22 BB22">
    <cfRule type="top10" dxfId="350" priority="75" percent="1" rank="10"/>
  </conditionalFormatting>
  <conditionalFormatting sqref="BB23 AZ23 AX23 AV23 AT23 AR23 AP23 AN23 AL23 AJ23 AH23 AF23 AD23 AB23 Z23 X23 V23 T23 R23 P23 N23 L23 J23 H23">
    <cfRule type="top10" dxfId="349" priority="74" percent="1" rank="10"/>
  </conditionalFormatting>
  <conditionalFormatting sqref="H24 J24 L24 N24 P24 R24 T24 V24 X24 Z24 AB24 AD24 AF24 AH24 AJ24 AL24 AN24 AP24 AR24 AT24 AV24 AX24 AZ24 BB24">
    <cfRule type="top10" dxfId="348" priority="73" percent="1" rank="10"/>
  </conditionalFormatting>
  <conditionalFormatting sqref="BB25 AZ25 AX25 AV25 AT25 AR25 AP25 AN25 AL25 AJ25 AH25 AF25 AD25 AB25 Z25 X25 V25 T25 R25 P25 N25 L25 J25 H25">
    <cfRule type="top10" dxfId="347" priority="72" percent="1" rank="10"/>
  </conditionalFormatting>
  <conditionalFormatting sqref="BB26 AZ26 AX26 AV26 AT26 AR26 AP26 AN26 AL26 AJ26 AH26 AF26 AD26 AB26 Z26 X26 V26 T26 R26 P26 N26 L26 J26 H26">
    <cfRule type="top10" dxfId="346" priority="71" percent="1" rank="10"/>
  </conditionalFormatting>
  <conditionalFormatting sqref="H27 J27 L27 N27 P27 R27 T27 V27 X27 Z27 AB27 AD27 AF27 AH27 AJ27 AL27 AN27 AP27 AR27 AT27 AV27 AX27 AZ27 BB27">
    <cfRule type="top10" dxfId="345" priority="70" percent="1" rank="10"/>
  </conditionalFormatting>
  <conditionalFormatting sqref="BB28 AZ28 AX28 AV28 AT28 AR28 AP28 AN28 AL28 AJ28 AH28 AF28 AD28 AB28 Z28 X28 V28 T28 R28 P28 N28 L28 J28 H28">
    <cfRule type="top10" dxfId="344" priority="69" percent="1" rank="10"/>
  </conditionalFormatting>
  <conditionalFormatting sqref="BB29 AZ29 AX29 AV29 AT29 AR29 AP29 AN29 AL29 AJ29 AH29 AF29 AD29 AB29 Z29 X29 V29 T29 R29 P29 N29 L29 J29 H29">
    <cfRule type="top10" dxfId="343" priority="68" percent="1" rank="10"/>
  </conditionalFormatting>
  <conditionalFormatting sqref="H30 J30 L30 N30 P30 R30 T30 V30 X30 Z30 AB30 AD30 AF30 AH30 AJ30 AL30 AN30 AP30 AR30 AT30 AV30 AX30 AZ30 BB30">
    <cfRule type="top10" dxfId="342" priority="67" percent="1" rank="10"/>
  </conditionalFormatting>
  <conditionalFormatting sqref="BB31 AZ31 AX31 AV31 AT31 AR31 AP31 AN31 AL31 AJ31 AH31 AF31 AD31 AB31 Z31 X31 V31 T31 R31 P31 N31 L31 J31 H31">
    <cfRule type="top10" dxfId="341" priority="66" percent="1" rank="10"/>
  </conditionalFormatting>
  <conditionalFormatting sqref="H32 J32 L32 N32 P32 R32 T32 V32 X32 Z32 AB32 AD32 AF32 AH32 AJ32 AL32 AN32 AP32 AR32 AT32 AV32 AX32 AZ32 BB32">
    <cfRule type="top10" dxfId="340" priority="65" percent="1" rank="10"/>
  </conditionalFormatting>
  <conditionalFormatting sqref="BB33 AZ33 AX33 AV33 AT33 AR33 AP33 AN33 AL33 AJ33 AH33 AF33 AD33 AB33 Z33 X33 V33 T33 R33 P33 N33 L33 J33 H33">
    <cfRule type="top10" dxfId="339" priority="64" percent="1" rank="10"/>
  </conditionalFormatting>
  <conditionalFormatting sqref="H34 J34 L34 N34 P34 R34 T34 V34 X34 Z34 AB34 AD34 AF34 AH34 AJ34 AL34 AN34 AP34 AR34 AT34 AV34 AX34 AZ34 BB34">
    <cfRule type="top10" dxfId="338" priority="63" percent="1" rank="10"/>
  </conditionalFormatting>
  <conditionalFormatting sqref="BB35 AZ35 AV35 AX35 AT35 AR35 AP35 AN35 AL35 AJ35 AH35 AF35 AD35 AB35 Z35 X35 V35 T35 R35 P35 N35 L35 J35 H35">
    <cfRule type="top10" dxfId="33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6" priority="61" percent="1" rank="10"/>
  </conditionalFormatting>
  <conditionalFormatting sqref="BD7:BD37">
    <cfRule type="top10" dxfId="335" priority="60" percent="1" rank="10"/>
  </conditionalFormatting>
  <conditionalFormatting sqref="BC8 BA8 AY8 AW8 AU8 AS8 AQ8 AO8 AM8 AK8 AI8 AG8 AE8 AC8 AA8 Y8 W8 U8 S8 Q8 O8 M8 K8 I8">
    <cfRule type="top10" dxfId="334" priority="59" percent="1" rank="10"/>
  </conditionalFormatting>
  <conditionalFormatting sqref="I9 K9 M9 O9 Q9 S9 U9 W9 Y9 AA9 AC9 AE9 AG9 AI9 AK9 AM9 AO9 AQ9 AS9 AU9 AW9 AY9 BA9 BC9">
    <cfRule type="top10" dxfId="333" priority="58" percent="1" rank="10"/>
  </conditionalFormatting>
  <conditionalFormatting sqref="I10 K10 M10 Q10 O10 S10 W10 U10 Y10 AA10 AC10 AE10 AG10 AI10 AK10 AM10 AO10 AQ10 AS10 AU10 AW10 AY10 BA10 BC10">
    <cfRule type="top10" dxfId="332" priority="57" percent="1" rank="10"/>
  </conditionalFormatting>
  <conditionalFormatting sqref="BC11 BA11 AY11 AW11 AU11 AS11 AQ11 AO11 AM11 AK11 AI11 AG11 AE11 AC11 AA11 Y11 W11 U11 S11 Q11 O11 M11 K11 I11">
    <cfRule type="top10" dxfId="331" priority="56" percent="1" rank="10"/>
  </conditionalFormatting>
  <conditionalFormatting sqref="I12 K12 M12 O12 Q12 S12 U12 Y12 W12 AA12 AC12 AE12 AG12 AI12 AK12 AM12 AO12 AQ12 AS12 AU12 AW12 AY12 BA12 BC12">
    <cfRule type="top10" dxfId="330" priority="55" percent="1" rank="10"/>
  </conditionalFormatting>
  <conditionalFormatting sqref="BC13 BA13 AY13 AW13 AU13 AS13 AQ13 AO13 AM13 AK13 AI13 AG13 AE13 AC13 AA13 Y13 W13 U13 S13 Q13 O13 M13 K13 I13">
    <cfRule type="top10" dxfId="329" priority="54" percent="1" rank="10"/>
  </conditionalFormatting>
  <conditionalFormatting sqref="BC14 BA14 AY14 AW14 AU14 AS14 AQ14 AO14 AM14 AK14 AI14 AG14 AE14 AC14 AA14 Y14 W14 U14 S14 Q14 O14 M14 K14 I14">
    <cfRule type="top10" dxfId="328" priority="53" percent="1" rank="10"/>
  </conditionalFormatting>
  <conditionalFormatting sqref="I15 K15 M15 O15 Q15 S15 U15 W15 Y15 AA15 AC15 AE15 AG15 AI15 AK15 AM15 AO15 AQ15 AS15 AU15 AW15 AY15 BA15 BC15">
    <cfRule type="top10" dxfId="327" priority="52" percent="1" rank="10"/>
  </conditionalFormatting>
  <conditionalFormatting sqref="BC16 BA16 AY16 AW16 AU16 AS16 AQ16 AO16 AM16 AK16 AI16 AG16 AE16 AC16 AA16 Y16 W16 U16 S16 Q16 O16 M16 K16 I16">
    <cfRule type="top10" dxfId="326" priority="51" percent="1" rank="10"/>
  </conditionalFormatting>
  <conditionalFormatting sqref="I17 K17 M17 O17 Q17 U17 S17 W17 Y17 AA17 AC17 AE17 AG17 AI17 AK17 AM17 AO17 AQ17 AS17 AU17 AW17 AY17 BA17 BC17">
    <cfRule type="top10" dxfId="325" priority="50" percent="1" rank="10"/>
  </conditionalFormatting>
  <conditionalFormatting sqref="BC18 BA18 AY18 AW18 AU18 AS18 AQ18 AO18 AM18 AK18 AI18 AG18 AE18 AC18 AA18 Y18 W18 U18 S18 Q18 O18 M18 K18 I18">
    <cfRule type="top10" dxfId="324" priority="49" percent="1" rank="10"/>
  </conditionalFormatting>
  <conditionalFormatting sqref="I19 K19 M19 O19 Q19 S19 U19 W19 Y19 AA19 AC19 AE19 AG19 AI19 AK19 AM19 AO19 AQ19 AS19 AU19 AW19 AY19 BA19 BC19">
    <cfRule type="top10" dxfId="323" priority="48" percent="1" rank="10"/>
  </conditionalFormatting>
  <conditionalFormatting sqref="BC20 BA20 AY20 AW20 AU20 AS20 AQ20 AO20 AM20 AK20 AI20 AG20 AE20 AC20 AA20 W20 Y20 U20 S20 Q20 O20 M20 K20 I20">
    <cfRule type="top10" dxfId="322" priority="47" percent="1" rank="10"/>
  </conditionalFormatting>
  <conditionalFormatting sqref="I21 K21 M21 O21 Q21 S21 U21 W21 Y21 AA21 AC21 AE21 AG21 AI21 AK21 AM21 AO21 AQ21 AS21 AU21 AW21 AY21 BA21 BC21">
    <cfRule type="top10" dxfId="321" priority="46" percent="1" rank="10"/>
  </conditionalFormatting>
  <conditionalFormatting sqref="BC22 BA22 AY22 AW22 AU22 AS22 AQ22 AO22 AM22 AK22 AI22 AG22 AE22 AC22 AA22 Y22 W22 U22 S22 Q22 O22 M22 K22 I22">
    <cfRule type="top10" dxfId="320" priority="45" percent="1" rank="10"/>
  </conditionalFormatting>
  <conditionalFormatting sqref="I23 K23 O23 M23 Q23 S23 U23 W23 Y23 AA23 AC23 AE23 AG23 AI23 AK23 AM23 AO23 AQ23 AS23 AU23 AW23 AY23 BA23 BC23">
    <cfRule type="top10" dxfId="319" priority="44" percent="1" rank="10"/>
  </conditionalFormatting>
  <conditionalFormatting sqref="BC24 BA24 AY24 AW24 AU24 AS24 AQ24 AO24 AM24 AK24 AI24 AG24 AE24 AC24 AA24 Y24 W24 U24 S24 Q24 O24 M24 K24 I24">
    <cfRule type="top10" dxfId="318" priority="43" percent="1" rank="10"/>
  </conditionalFormatting>
  <conditionalFormatting sqref="I25 K25 M25 O25 Q25 S25 U25 W25 Y25 AA25 AC25 AE25 AG25 AI25 AK25 AM25 AO25 AQ25 AS25 AU25 AW25 AY25 BA25 BC25">
    <cfRule type="top10" dxfId="317" priority="42" percent="1" rank="10"/>
  </conditionalFormatting>
  <conditionalFormatting sqref="BC26 BA26 AY26 AW26 AU26 AS26 AQ26 AO26 AM26 AK26 AI26 AG26 AE26 AC26 AA26 Y26 W26 U26 S26 Q26 O26 M26 K26 I26">
    <cfRule type="top10" dxfId="316" priority="41" percent="1" rank="10"/>
  </conditionalFormatting>
  <conditionalFormatting sqref="I27 K27 M27 O27 Q27 S27 U27 W27 Y27 AA27 AC27 AE27 AG27 AI27 AK27 AM27 AO27 AQ27 AS27 AU27 AW27 AY27 BA27 BC27">
    <cfRule type="top10" dxfId="315" priority="40" percent="1" rank="10"/>
  </conditionalFormatting>
  <conditionalFormatting sqref="BC28 BA28 AY28 AW28 AU28 AS28 AQ28 AO28 AM28 AK28 AI28 AG28 AE28 AC28 AA28 Y28 W28 U28 S28 Q28 O28 M28 K28 I28">
    <cfRule type="top10" dxfId="314" priority="39" percent="1" rank="10"/>
  </conditionalFormatting>
  <conditionalFormatting sqref="I29 K29 M29 Q29 O29 S29 U29 Y29 W29 AA29 AC29 AE29 AG29 AI29 AK29 AM29 AO29 AQ29 AS29 AU29 AW29 AY29 BA29 BC29">
    <cfRule type="top10" dxfId="313" priority="38" percent="1" rank="10"/>
  </conditionalFormatting>
  <conditionalFormatting sqref="BC30 BA30 AY30 AW30 AU30 AS30 AQ30 AO30 AM30 AK30 AI30 AE30 AG30 AC30 AA30 Y30 W30 U30 S30 Q30 O30 M30 K30 I30">
    <cfRule type="top10" dxfId="312" priority="37" percent="1" rank="10"/>
  </conditionalFormatting>
  <conditionalFormatting sqref="I31 K31 M31 O31 Q31 S31 W31 U31 Y31 AC31 AA31 AE31 AG31 AI31 AK31 AM31 AO31 AQ31 AS31 AU31 AW31 AY31 BA31 BC31">
    <cfRule type="top10" dxfId="311" priority="36" percent="1" rank="10"/>
  </conditionalFormatting>
  <conditionalFormatting sqref="BC32 BA32 AY32 AW32 AU32 AS32 AQ32 AO32 AM32 AK32 AI32 AG32 AE32 AC32 AA32 Y32 W32 U32 S32 Q32 O32 M32 K32 I32">
    <cfRule type="top10" dxfId="310" priority="35" percent="1" rank="10"/>
  </conditionalFormatting>
  <conditionalFormatting sqref="I33 K33 M33 O33 Q33 S33 U33 W33 Y33 AA33 AC33 AE33 AG33 AI33 AK33 AM33 AQ33 AO33 AS33 AU33 AW33 AY33 BA33 BC33">
    <cfRule type="top10" dxfId="309" priority="34" percent="1" rank="10"/>
  </conditionalFormatting>
  <conditionalFormatting sqref="BC34 BA34 AY34 AW34 AU34 AS34 AQ34 AO34 AM34 AK34 AI34 AG34 AE34 AC34 AA34 Y34 W34 U34 S34 Q34 O34 M34 K34 I34">
    <cfRule type="top10" dxfId="308" priority="33" percent="1" rank="10"/>
  </conditionalFormatting>
  <conditionalFormatting sqref="I35 K35 M35 O35 Q35 S35 U35 W35 Y35 AA35 AC35 AE35 AG35 AI35 AK35 AM35 AO35 AQ35 AS35 AU35 AW35 AY35 BA35 BC35">
    <cfRule type="top10" dxfId="30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6" priority="31" percent="1" rank="10"/>
  </conditionalFormatting>
  <conditionalFormatting sqref="FZ8:GW8">
    <cfRule type="top10" dxfId="305" priority="30" percent="1" rank="10"/>
  </conditionalFormatting>
  <conditionalFormatting sqref="FZ9:GW9">
    <cfRule type="top10" dxfId="304" priority="29" percent="1" rank="10"/>
  </conditionalFormatting>
  <conditionalFormatting sqref="FZ10:GW10">
    <cfRule type="top10" dxfId="303" priority="28" percent="1" rank="10"/>
  </conditionalFormatting>
  <conditionalFormatting sqref="FZ11:GW11">
    <cfRule type="top10" dxfId="302" priority="27" percent="1" rank="10"/>
  </conditionalFormatting>
  <conditionalFormatting sqref="FZ12:GW12">
    <cfRule type="top10" dxfId="301" priority="26" percent="1" rank="10"/>
  </conditionalFormatting>
  <conditionalFormatting sqref="FZ13:GW13">
    <cfRule type="top10" dxfId="300" priority="25" percent="1" rank="10"/>
  </conditionalFormatting>
  <conditionalFormatting sqref="GX7:GX37">
    <cfRule type="top10" dxfId="299" priority="24" percent="1" rank="10"/>
  </conditionalFormatting>
  <conditionalFormatting sqref="FZ14:GW14">
    <cfRule type="top10" dxfId="298" priority="23" percent="1" rank="10"/>
  </conditionalFormatting>
  <conditionalFormatting sqref="FZ15:GW15">
    <cfRule type="top10" dxfId="297" priority="22" percent="1" rank="10"/>
  </conditionalFormatting>
  <conditionalFormatting sqref="FZ16:GW16">
    <cfRule type="top10" dxfId="296" priority="21" percent="1" rank="10"/>
  </conditionalFormatting>
  <conditionalFormatting sqref="FZ17:GW17">
    <cfRule type="top10" dxfId="295" priority="20" percent="1" rank="10"/>
  </conditionalFormatting>
  <conditionalFormatting sqref="FZ18:GW18">
    <cfRule type="top10" dxfId="294" priority="19" percent="1" rank="10"/>
  </conditionalFormatting>
  <conditionalFormatting sqref="FZ19:GW19">
    <cfRule type="top10" dxfId="293" priority="18" percent="1" rank="10"/>
  </conditionalFormatting>
  <conditionalFormatting sqref="FZ20:GW20">
    <cfRule type="top10" dxfId="292" priority="17" percent="1" rank="10"/>
  </conditionalFormatting>
  <conditionalFormatting sqref="FZ21:GW21">
    <cfRule type="top10" dxfId="291" priority="16" percent="1" rank="10"/>
  </conditionalFormatting>
  <conditionalFormatting sqref="FZ22:GW22">
    <cfRule type="top10" dxfId="290" priority="15" percent="1" rank="10"/>
  </conditionalFormatting>
  <conditionalFormatting sqref="FZ23:GW23">
    <cfRule type="top10" dxfId="289" priority="14" percent="1" rank="10"/>
  </conditionalFormatting>
  <conditionalFormatting sqref="FZ24:GW24">
    <cfRule type="top10" dxfId="288" priority="13" percent="1" rank="10"/>
  </conditionalFormatting>
  <conditionalFormatting sqref="FZ25:GW25">
    <cfRule type="top10" dxfId="287" priority="12" percent="1" rank="10"/>
  </conditionalFormatting>
  <conditionalFormatting sqref="FZ26:GW26">
    <cfRule type="top10" dxfId="286" priority="11" percent="1" rank="10"/>
  </conditionalFormatting>
  <conditionalFormatting sqref="FZ27:GW27">
    <cfRule type="top10" dxfId="285" priority="10" percent="1" rank="10"/>
  </conditionalFormatting>
  <conditionalFormatting sqref="FZ28:GW28">
    <cfRule type="top10" dxfId="284" priority="9" percent="1" rank="10"/>
  </conditionalFormatting>
  <conditionalFormatting sqref="FZ29:GW29">
    <cfRule type="top10" dxfId="283" priority="8" percent="1" rank="10"/>
  </conditionalFormatting>
  <conditionalFormatting sqref="FZ30:GW30">
    <cfRule type="top10" dxfId="282" priority="7" percent="1" rank="10"/>
  </conditionalFormatting>
  <conditionalFormatting sqref="FZ31:GW31">
    <cfRule type="top10" dxfId="281" priority="6" percent="1" rank="10"/>
  </conditionalFormatting>
  <conditionalFormatting sqref="FZ32:GW32">
    <cfRule type="top10" dxfId="280" priority="5" percent="1" rank="10"/>
  </conditionalFormatting>
  <conditionalFormatting sqref="FZ33:GW33">
    <cfRule type="top10" dxfId="279" priority="4" percent="1" rank="10"/>
  </conditionalFormatting>
  <conditionalFormatting sqref="FZ34:GW34">
    <cfRule type="top10" dxfId="278" priority="3" percent="1" rank="10"/>
  </conditionalFormatting>
  <conditionalFormatting sqref="FZ35:GW35">
    <cfRule type="top10" dxfId="277" priority="2" percent="1" rank="10"/>
  </conditionalFormatting>
  <conditionalFormatting sqref="FZ36:GW37">
    <cfRule type="top10" dxfId="276" priority="1" percent="1" rank="10"/>
  </conditionalFormatting>
  <dataValidations count="1">
    <dataValidation type="list" allowBlank="1" showInputMessage="1" showErrorMessage="1" sqref="A1" xr:uid="{0C609FAE-FA3D-48CD-BA7B-1A0C6A5555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1EC72-F96E-44E8-BE93-C59F3CC9495F}">
  <sheetPr codeName="Sheet13"/>
  <dimension ref="A1:HV38"/>
  <sheetViews>
    <sheetView topLeftCell="HF26" workbookViewId="0">
      <selection activeCell="HK35" sqref="HK35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248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367</v>
      </c>
      <c r="C7" s="6" t="str">
        <f>TEXT(VLOOKUP(LEFT(B7,FIND("月",B7)),基本シート!$E$6:$F$17,2,FALSE)&amp;B7,"aaaa")</f>
        <v>土曜日</v>
      </c>
      <c r="D7" s="6"/>
      <c r="E7" s="6" t="str">
        <f>IF(OR(C7="土曜日",C7="日曜日",D7="〇"),"〇","")</f>
        <v>〇</v>
      </c>
      <c r="F7" s="6"/>
      <c r="G7" s="6"/>
      <c r="H7" s="3">
        <v>1.08</v>
      </c>
      <c r="I7" s="3">
        <f>IF($E7="〇",H7*基本シート!$E$2,H7*VLOOKUP(LEFT(I$6,FIND("(",I$6)-1),基本シート!$B$6:$C$29,2,FALSE))</f>
        <v>32.248800000000003</v>
      </c>
      <c r="J7" s="3">
        <v>1.07</v>
      </c>
      <c r="K7" s="3">
        <f>IF($E7="〇",J7*基本シート!$E$2,J7*VLOOKUP(LEFT(K$6,FIND("(",K$6)-1),基本シート!$B$6:$C$29,2,FALSE))</f>
        <v>31.950200000000002</v>
      </c>
      <c r="L7" s="3">
        <v>1</v>
      </c>
      <c r="M7" s="3">
        <f>IF($E7="〇",L7*基本シート!$E$2,L7*VLOOKUP(LEFT(M$6,FIND("(",M$6)-1),基本シート!$B$6:$C$29,2,FALSE))</f>
        <v>29.86</v>
      </c>
      <c r="N7" s="3">
        <v>1.04</v>
      </c>
      <c r="O7" s="3">
        <f>IF($E7="〇",N7*基本シート!$E$2,N7*VLOOKUP(LEFT(O$6,FIND("(",O$6)-1),基本シート!$B$6:$C$29,2,FALSE))</f>
        <v>31.054400000000001</v>
      </c>
      <c r="P7" s="3">
        <v>1.1399999999999999</v>
      </c>
      <c r="Q7" s="3">
        <f>IF($E7="〇",P7*基本シート!$E$2,P7*VLOOKUP(LEFT(Q$6,FIND("(",Q$6)-1),基本シート!$B$6:$C$29,2,FALSE))</f>
        <v>34.040399999999998</v>
      </c>
      <c r="R7" s="3">
        <v>1.1299999999999999</v>
      </c>
      <c r="S7" s="3">
        <f>IF($E7="〇",R7*基本シート!$E$2,R7*VLOOKUP(LEFT(S$6,FIND("(",S$6)-1),基本シート!$B$6:$C$29,2,FALSE))</f>
        <v>33.741799999999998</v>
      </c>
      <c r="T7" s="3">
        <v>1.84</v>
      </c>
      <c r="U7" s="3">
        <f>IF($E7="〇",T7*基本シート!$E$2,T7*VLOOKUP(LEFT(U$6,FIND("(",U$6)-1),基本シート!$B$6:$C$29,2,FALSE))</f>
        <v>54.942399999999999</v>
      </c>
      <c r="V7" s="3">
        <v>1.64</v>
      </c>
      <c r="W7" s="3">
        <f>IF($E7="〇",V7*基本シート!$E$2,V7*VLOOKUP(LEFT(W$6,FIND("(",W$6)-1),基本シート!$B$6:$C$29,2,FALSE))</f>
        <v>48.970399999999998</v>
      </c>
      <c r="X7" s="3">
        <v>0.97</v>
      </c>
      <c r="Y7" s="3">
        <f>IF($E7="〇",X7*基本シート!$E$2,X7*VLOOKUP(LEFT(Y$6,FIND("(",Y$6)-1),基本シート!$B$6:$C$29,2,FALSE))</f>
        <v>28.964199999999998</v>
      </c>
      <c r="Z7" s="3">
        <v>0.75</v>
      </c>
      <c r="AA7" s="3">
        <f>IF($E7="〇",Z7*基本シート!$E$2,Z7*VLOOKUP(LEFT(AA$6,FIND("(",AA$6)-1),基本シート!$B$6:$C$29,2,FALSE))</f>
        <v>22.395</v>
      </c>
      <c r="AB7" s="3">
        <v>0.9</v>
      </c>
      <c r="AC7" s="3">
        <f>IF($E7="〇",AB7*基本シート!$E$2,AB7*VLOOKUP(LEFT(AC$6,FIND("(",AC$6)-1),基本シート!$B$6:$C$29,2,FALSE))</f>
        <v>26.873999999999999</v>
      </c>
      <c r="AD7" s="3">
        <v>1.97</v>
      </c>
      <c r="AE7" s="3">
        <f>IF($E7="〇",AD7*基本シート!$E$2,AD7*VLOOKUP(LEFT(AE$6,FIND("(",AE$6)-1),基本シート!$B$6:$C$29,2,FALSE))</f>
        <v>58.824199999999998</v>
      </c>
      <c r="AF7" s="3">
        <v>1.73</v>
      </c>
      <c r="AG7" s="3">
        <f>IF($E7="〇",AF7*基本シート!$E$2,AF7*VLOOKUP(LEFT(AG$6,FIND("(",AG$6)-1),基本シート!$B$6:$C$29,2,FALSE))</f>
        <v>51.657800000000002</v>
      </c>
      <c r="AH7" s="3">
        <v>0.99</v>
      </c>
      <c r="AI7" s="3">
        <f>IF($E7="〇",AH7*基本シート!$E$2,AH7*VLOOKUP(LEFT(AI$6,FIND("(",AI$6)-1),基本シート!$B$6:$C$29,2,FALSE))</f>
        <v>29.561399999999999</v>
      </c>
      <c r="AJ7" s="3">
        <v>1.1100000000000001</v>
      </c>
      <c r="AK7" s="3">
        <f>IF($E7="〇",AJ7*基本シート!$E$2,AJ7*VLOOKUP(LEFT(AK$6,FIND("(",AK$6)-1),基本シート!$B$6:$C$29,2,FALSE))</f>
        <v>33.144600000000004</v>
      </c>
      <c r="AL7" s="3">
        <v>3.01</v>
      </c>
      <c r="AM7" s="3">
        <f>IF($E7="〇",AL7*基本シート!$E$2,AL7*VLOOKUP(LEFT(AM$6,FIND("(",AM$6)-1),基本シート!$B$6:$C$29,2,FALSE))</f>
        <v>89.878599999999992</v>
      </c>
      <c r="AN7" s="3">
        <v>2.99</v>
      </c>
      <c r="AO7" s="3">
        <f>IF($E7="〇",AN7*基本シート!$E$2,AN7*VLOOKUP(LEFT(AO$6,FIND("(",AO$6)-1),基本シート!$B$6:$C$29,2,FALSE))</f>
        <v>89.281400000000005</v>
      </c>
      <c r="AP7" s="3">
        <v>3.3</v>
      </c>
      <c r="AQ7" s="3">
        <f>IF($E7="〇",AP7*基本シート!$E$2,AP7*VLOOKUP(LEFT(AQ$6,FIND("(",AQ$6)-1),基本シート!$B$6:$C$29,2,FALSE))</f>
        <v>98.537999999999997</v>
      </c>
      <c r="AR7" s="3">
        <v>3.39</v>
      </c>
      <c r="AS7" s="3">
        <f>IF($E7="〇",AR7*基本シート!$E$2,AR7*VLOOKUP(LEFT(AS$6,FIND("(",AS$6)-1),基本シート!$B$6:$C$29,2,FALSE))</f>
        <v>101.22540000000001</v>
      </c>
      <c r="AT7" s="3">
        <v>2.56</v>
      </c>
      <c r="AU7" s="3">
        <f>IF($E7="〇",AT7*基本シート!$E$2,AT7*VLOOKUP(LEFT(AU$6,FIND("(",AU$6)-1),基本シート!$B$6:$C$29,2,FALSE))</f>
        <v>76.441599999999994</v>
      </c>
      <c r="AV7" s="3">
        <v>1.1599999999999999</v>
      </c>
      <c r="AW7" s="3">
        <f>IF($E7="〇",AV7*基本シート!$E$2,AV7*VLOOKUP(LEFT(AW$6,FIND("(",AW$6)-1),基本シート!$B$6:$C$29,2,FALSE))</f>
        <v>34.637599999999999</v>
      </c>
      <c r="AX7" s="3">
        <v>1.1100000000000001</v>
      </c>
      <c r="AY7" s="3">
        <f>IF($E7="〇",AX7*基本シート!$E$2,AX7*VLOOKUP(LEFT(AY$6,FIND("(",AY$6)-1),基本シート!$B$6:$C$29,2,FALSE))</f>
        <v>33.144600000000004</v>
      </c>
      <c r="AZ7" s="3">
        <v>1.05</v>
      </c>
      <c r="BA7" s="3">
        <f>IF($E7="〇",AZ7*基本シート!$E$2,AZ7*VLOOKUP(LEFT(BA$6,FIND("(",BA$6)-1),基本シート!$B$6:$C$29,2,FALSE))</f>
        <v>31.353000000000002</v>
      </c>
      <c r="BB7" s="3">
        <v>1.1599999999999999</v>
      </c>
      <c r="BC7" s="3">
        <f>IF($E7="〇",BB7*基本シート!$E$2,BB7*VLOOKUP(LEFT(BC$6,FIND("(",BC$6)-1),基本シート!$B$6:$C$29,2,FALSE))</f>
        <v>34.637599999999999</v>
      </c>
      <c r="BD7" s="3">
        <f t="shared" ref="BD7:BD37" si="7">SUM(H7,J7,L7,N7,P7,R7,T7,V7,X7,Z7,AB7,AD7,AF7,AH7,AJ7,AL7,AN7,AP7,AR7,AT7,AV7,AX7,AZ7,BB7)</f>
        <v>38.089999999999989</v>
      </c>
      <c r="BE7" s="3">
        <f t="shared" ref="BE7:BE36" si="8">ROUND(SUM(I7,K7,M7,O7,Q7,S7,U7,W7,Y7,AA7,AC7,AE7,AG7,AI7,AK7,AM7,AO7,AQ7,AS7,AU7,AW7,AY7,BA7,BC7),0)</f>
        <v>1137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0.04</v>
      </c>
      <c r="BQ7" s="3">
        <v>0.13</v>
      </c>
      <c r="BR7" s="3">
        <v>0.08</v>
      </c>
      <c r="BS7" s="3">
        <v>0.08</v>
      </c>
      <c r="BT7" s="3">
        <v>0.08</v>
      </c>
      <c r="BU7" s="3">
        <v>0.01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0.01</v>
      </c>
      <c r="EN7" s="3">
        <v>0</v>
      </c>
      <c r="EO7" s="3">
        <v>0.01</v>
      </c>
      <c r="EP7" s="3">
        <v>0.02</v>
      </c>
      <c r="EQ7" s="3">
        <v>0.01</v>
      </c>
      <c r="ER7" s="3">
        <v>0.03</v>
      </c>
      <c r="ES7" s="3">
        <v>0.04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0.68000000000000027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1.04</v>
      </c>
      <c r="GA7" s="3">
        <v>1.03</v>
      </c>
      <c r="GB7" s="3">
        <v>0.96</v>
      </c>
      <c r="GC7" s="3">
        <v>1</v>
      </c>
      <c r="GD7" s="3">
        <v>1.1100000000000001</v>
      </c>
      <c r="GE7" s="3">
        <v>1.0900000000000001</v>
      </c>
      <c r="GF7" s="3">
        <v>1.8</v>
      </c>
      <c r="GG7" s="3">
        <v>1.61</v>
      </c>
      <c r="GH7" s="3">
        <v>0.96</v>
      </c>
      <c r="GI7" s="3">
        <v>0.75</v>
      </c>
      <c r="GJ7" s="3">
        <v>0.93</v>
      </c>
      <c r="GK7" s="3">
        <v>2.09</v>
      </c>
      <c r="GL7" s="3">
        <v>1.81</v>
      </c>
      <c r="GM7" s="3">
        <v>1.06</v>
      </c>
      <c r="GN7" s="3">
        <v>1.17</v>
      </c>
      <c r="GO7" s="3">
        <v>3.01</v>
      </c>
      <c r="GP7" s="3">
        <v>2.96</v>
      </c>
      <c r="GQ7" s="3">
        <v>3.26</v>
      </c>
      <c r="GR7" s="3">
        <v>3.35</v>
      </c>
      <c r="GS7" s="3">
        <v>2.52</v>
      </c>
      <c r="GT7" s="3">
        <v>1.1200000000000001</v>
      </c>
      <c r="GU7" s="3">
        <v>1.07</v>
      </c>
      <c r="GV7" s="3">
        <v>1.01</v>
      </c>
      <c r="GW7" s="3">
        <v>1.1299999999999999</v>
      </c>
      <c r="GX7" s="3">
        <f>SUM(FZ7:GW7)</f>
        <v>37.839999999999996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368</v>
      </c>
      <c r="C8" s="6" t="str">
        <f>TEXT(VLOOKUP(LEFT(B8,FIND("月",B8)),基本シート!$E$6:$F$17,2,FALSE)&amp;B8,"aaaa")</f>
        <v>日曜日</v>
      </c>
      <c r="D8" s="6"/>
      <c r="E8" s="6" t="str">
        <f t="shared" ref="E8:E38" si="9">IF(OR(C8="土曜日",C8="日曜日",D8="〇"),"〇","")</f>
        <v>〇</v>
      </c>
      <c r="F8" s="6"/>
      <c r="G8" s="6"/>
      <c r="H8" s="3">
        <v>1.07</v>
      </c>
      <c r="I8" s="3">
        <f>IF($E8="〇",H8*基本シート!$E$2,H8*VLOOKUP(LEFT(I$6,FIND("(",I$6)-1),基本シート!$B$6:$C$29,2,FALSE))</f>
        <v>31.950200000000002</v>
      </c>
      <c r="J8" s="3">
        <v>0.94</v>
      </c>
      <c r="K8" s="3">
        <f>IF($E8="〇",J8*基本シート!$E$2,J8*VLOOKUP(LEFT(K$6,FIND("(",K$6)-1),基本シート!$B$6:$C$29,2,FALSE))</f>
        <v>28.068399999999997</v>
      </c>
      <c r="L8" s="3">
        <v>1.08</v>
      </c>
      <c r="M8" s="3">
        <f>IF($E8="〇",L8*基本シート!$E$2,L8*VLOOKUP(LEFT(M$6,FIND("(",M$6)-1),基本シート!$B$6:$C$29,2,FALSE))</f>
        <v>32.248800000000003</v>
      </c>
      <c r="N8" s="3">
        <v>1.37</v>
      </c>
      <c r="O8" s="3">
        <f>IF($E8="〇",N8*基本シート!$E$2,N8*VLOOKUP(LEFT(O$6,FIND("(",O$6)-1),基本シート!$B$6:$C$29,2,FALSE))</f>
        <v>40.908200000000001</v>
      </c>
      <c r="P8" s="3">
        <v>1.28</v>
      </c>
      <c r="Q8" s="3">
        <f>IF($E8="〇",P8*基本シート!$E$2,P8*VLOOKUP(LEFT(Q$6,FIND("(",Q$6)-1),基本シート!$B$6:$C$29,2,FALSE))</f>
        <v>38.220799999999997</v>
      </c>
      <c r="R8" s="3">
        <v>1.1499999999999999</v>
      </c>
      <c r="S8" s="3">
        <f>IF($E8="〇",R8*基本シート!$E$2,R8*VLOOKUP(LEFT(S$6,FIND("(",S$6)-1),基本シート!$B$6:$C$29,2,FALSE))</f>
        <v>34.338999999999999</v>
      </c>
      <c r="T8" s="3">
        <v>1.24</v>
      </c>
      <c r="U8" s="3">
        <f>IF($E8="〇",T8*基本シート!$E$2,T8*VLOOKUP(LEFT(U$6,FIND("(",U$6)-1),基本シート!$B$6:$C$29,2,FALSE))</f>
        <v>37.026400000000002</v>
      </c>
      <c r="V8" s="3">
        <v>1.1499999999999999</v>
      </c>
      <c r="W8" s="3">
        <f>IF($E8="〇",V8*基本シート!$E$2,V8*VLOOKUP(LEFT(W$6,FIND("(",W$6)-1),基本シート!$B$6:$C$29,2,FALSE))</f>
        <v>34.338999999999999</v>
      </c>
      <c r="X8" s="3">
        <v>0.95</v>
      </c>
      <c r="Y8" s="3">
        <f>IF($E8="〇",X8*基本シート!$E$2,X8*VLOOKUP(LEFT(Y$6,FIND("(",Y$6)-1),基本シート!$B$6:$C$29,2,FALSE))</f>
        <v>28.366999999999997</v>
      </c>
      <c r="Z8" s="3">
        <v>1.34</v>
      </c>
      <c r="AA8" s="3">
        <f>IF($E8="〇",Z8*基本シート!$E$2,Z8*VLOOKUP(LEFT(AA$6,FIND("(",AA$6)-1),基本シート!$B$6:$C$29,2,FALSE))</f>
        <v>40.0124</v>
      </c>
      <c r="AB8" s="3">
        <v>1.1000000000000001</v>
      </c>
      <c r="AC8" s="3">
        <f>IF($E8="〇",AB8*基本シート!$E$2,AB8*VLOOKUP(LEFT(AC$6,FIND("(",AC$6)-1),基本シート!$B$6:$C$29,2,FALSE))</f>
        <v>32.846000000000004</v>
      </c>
      <c r="AD8" s="3">
        <v>0.72</v>
      </c>
      <c r="AE8" s="3">
        <f>IF($E8="〇",AD8*基本シート!$E$2,AD8*VLOOKUP(LEFT(AE$6,FIND("(",AE$6)-1),基本シート!$B$6:$C$29,2,FALSE))</f>
        <v>21.499199999999998</v>
      </c>
      <c r="AF8" s="3">
        <v>0.49</v>
      </c>
      <c r="AG8" s="3">
        <f>IF($E8="〇",AF8*基本シート!$E$2,AF8*VLOOKUP(LEFT(AG$6,FIND("(",AG$6)-1),基本シート!$B$6:$C$29,2,FALSE))</f>
        <v>14.631399999999999</v>
      </c>
      <c r="AH8" s="3">
        <v>0.39</v>
      </c>
      <c r="AI8" s="3">
        <f>IF($E8="〇",AH8*基本シート!$E$2,AH8*VLOOKUP(LEFT(AI$6,FIND("(",AI$6)-1),基本シート!$B$6:$C$29,2,FALSE))</f>
        <v>11.6454</v>
      </c>
      <c r="AJ8" s="3">
        <v>0.39</v>
      </c>
      <c r="AK8" s="3">
        <f>IF($E8="〇",AJ8*基本シート!$E$2,AJ8*VLOOKUP(LEFT(AK$6,FIND("(",AK$6)-1),基本シート!$B$6:$C$29,2,FALSE))</f>
        <v>11.6454</v>
      </c>
      <c r="AL8" s="3">
        <v>1.44</v>
      </c>
      <c r="AM8" s="3">
        <f>IF($E8="〇",AL8*基本シート!$E$2,AL8*VLOOKUP(LEFT(AM$6,FIND("(",AM$6)-1),基本シート!$B$6:$C$29,2,FALSE))</f>
        <v>42.998399999999997</v>
      </c>
      <c r="AN8" s="3">
        <v>2.78</v>
      </c>
      <c r="AO8" s="3">
        <f>IF($E8="〇",AN8*基本シート!$E$2,AN8*VLOOKUP(LEFT(AO$6,FIND("(",AO$6)-1),基本シート!$B$6:$C$29,2,FALSE))</f>
        <v>83.010799999999989</v>
      </c>
      <c r="AP8" s="3">
        <v>3.7</v>
      </c>
      <c r="AQ8" s="3">
        <f>IF($E8="〇",AP8*基本シート!$E$2,AP8*VLOOKUP(LEFT(AQ$6,FIND("(",AQ$6)-1),基本シート!$B$6:$C$29,2,FALSE))</f>
        <v>110.482</v>
      </c>
      <c r="AR8" s="3">
        <v>3.47</v>
      </c>
      <c r="AS8" s="3">
        <f>IF($E8="〇",AR8*基本シート!$E$2,AR8*VLOOKUP(LEFT(AS$6,FIND("(",AS$6)-1),基本シート!$B$6:$C$29,2,FALSE))</f>
        <v>103.61420000000001</v>
      </c>
      <c r="AT8" s="3">
        <v>3.18</v>
      </c>
      <c r="AU8" s="3">
        <f>IF($E8="〇",AT8*基本シート!$E$2,AT8*VLOOKUP(LEFT(AU$6,FIND("(",AU$6)-1),基本シート!$B$6:$C$29,2,FALSE))</f>
        <v>94.954800000000006</v>
      </c>
      <c r="AV8" s="3">
        <v>1.34</v>
      </c>
      <c r="AW8" s="3">
        <f>IF($E8="〇",AV8*基本シート!$E$2,AV8*VLOOKUP(LEFT(AW$6,FIND("(",AW$6)-1),基本シート!$B$6:$C$29,2,FALSE))</f>
        <v>40.0124</v>
      </c>
      <c r="AX8" s="3">
        <v>1.43</v>
      </c>
      <c r="AY8" s="3">
        <f>IF($E8="〇",AX8*基本シート!$E$2,AX8*VLOOKUP(LEFT(AY$6,FIND("(",AY$6)-1),基本シート!$B$6:$C$29,2,FALSE))</f>
        <v>42.699799999999996</v>
      </c>
      <c r="AZ8" s="3">
        <v>1.06</v>
      </c>
      <c r="BA8" s="3">
        <f>IF($E8="〇",AZ8*基本シート!$E$2,AZ8*VLOOKUP(LEFT(BA$6,FIND("(",BA$6)-1),基本シート!$B$6:$C$29,2,FALSE))</f>
        <v>31.651600000000002</v>
      </c>
      <c r="BB8" s="3">
        <v>1.2</v>
      </c>
      <c r="BC8" s="3">
        <f>IF($E8="〇",BB8*基本シート!$E$2,BB8*VLOOKUP(LEFT(BC$6,FIND("(",BC$6)-1),基本シート!$B$6:$C$29,2,FALSE))</f>
        <v>35.832000000000001</v>
      </c>
      <c r="BD8" s="3">
        <f t="shared" si="7"/>
        <v>34.260000000000005</v>
      </c>
      <c r="BE8" s="3">
        <f>ROUND(SUM(I8,K8,M8,O8,Q8,S8,U8,W8,Y8,AA8,AC8,AE8,AG8,AI8,AK8,AM8,AO8,AQ8,AS8,AU8,AW8,AY8,BA8,BC8),0)</f>
        <v>1023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0.22</v>
      </c>
      <c r="BQ8" s="3">
        <v>0.25</v>
      </c>
      <c r="BR8" s="3">
        <v>0.27</v>
      </c>
      <c r="BS8" s="3">
        <v>0.31</v>
      </c>
      <c r="BT8" s="3">
        <v>0.27</v>
      </c>
      <c r="BU8" s="3">
        <v>0.13</v>
      </c>
      <c r="BV8" s="3">
        <v>0.01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0.03</v>
      </c>
      <c r="ED8" s="3">
        <v>0.04</v>
      </c>
      <c r="EE8" s="3">
        <v>0.04</v>
      </c>
      <c r="EF8" s="3">
        <v>0.04</v>
      </c>
      <c r="EG8" s="3">
        <v>0.04</v>
      </c>
      <c r="EH8" s="3">
        <v>0.04</v>
      </c>
      <c r="EI8" s="3">
        <v>0.01</v>
      </c>
      <c r="EJ8" s="3">
        <v>0.01</v>
      </c>
      <c r="EK8" s="3">
        <v>0.01</v>
      </c>
      <c r="EL8" s="3">
        <v>0.01</v>
      </c>
      <c r="EM8" s="3">
        <v>0.01</v>
      </c>
      <c r="EN8" s="3">
        <v>0.02</v>
      </c>
      <c r="EO8" s="3">
        <v>0.01</v>
      </c>
      <c r="EP8" s="3">
        <v>0.02</v>
      </c>
      <c r="EQ8" s="3">
        <v>0.01</v>
      </c>
      <c r="ER8" s="3">
        <v>0.01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1">SUM(EB8:EY8)</f>
        <v>0.67000000000000026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0</v>
      </c>
      <c r="FZ8" s="3">
        <v>1.03</v>
      </c>
      <c r="GA8" s="3">
        <v>0.91</v>
      </c>
      <c r="GB8" s="3">
        <v>1.04</v>
      </c>
      <c r="GC8" s="3">
        <v>1.33</v>
      </c>
      <c r="GD8" s="3">
        <v>1.24</v>
      </c>
      <c r="GE8" s="3">
        <v>1.1100000000000001</v>
      </c>
      <c r="GF8" s="3">
        <v>1.2</v>
      </c>
      <c r="GG8" s="3">
        <v>1.1399999999999999</v>
      </c>
      <c r="GH8" s="3">
        <v>1</v>
      </c>
      <c r="GI8" s="3">
        <v>1.48</v>
      </c>
      <c r="GJ8" s="3">
        <v>1.31</v>
      </c>
      <c r="GK8" s="3">
        <v>0.96</v>
      </c>
      <c r="GL8" s="3">
        <v>0.74</v>
      </c>
      <c r="GM8" s="3">
        <v>0.69</v>
      </c>
      <c r="GN8" s="3">
        <v>0.64</v>
      </c>
      <c r="GO8" s="3">
        <v>1.56</v>
      </c>
      <c r="GP8" s="3">
        <v>2.78</v>
      </c>
      <c r="GQ8" s="3">
        <v>3.66</v>
      </c>
      <c r="GR8" s="3">
        <v>3.43</v>
      </c>
      <c r="GS8" s="3">
        <v>3.14</v>
      </c>
      <c r="GT8" s="3">
        <v>1.3</v>
      </c>
      <c r="GU8" s="3">
        <v>1.39</v>
      </c>
      <c r="GV8" s="3">
        <v>1.02</v>
      </c>
      <c r="GW8" s="3">
        <v>1.1599999999999999</v>
      </c>
      <c r="GX8" s="3">
        <f t="shared" ref="GX8:GX36" si="13">SUM(FZ8:GW8)</f>
        <v>35.260000000000005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369</v>
      </c>
      <c r="C9" s="6" t="str">
        <f>TEXT(VLOOKUP(LEFT(B9,FIND("月",B9)),基本シート!$E$6:$F$17,2,FALSE)&amp;B9,"aaaa")</f>
        <v>月曜日</v>
      </c>
      <c r="D9" s="6"/>
      <c r="E9" s="6" t="str">
        <f t="shared" si="9"/>
        <v/>
      </c>
      <c r="F9" s="6"/>
      <c r="G9" s="6"/>
      <c r="H9" s="3">
        <v>1.01</v>
      </c>
      <c r="I9" s="3">
        <f>IF($E9="〇",H9*基本シート!$E$2,H9*VLOOKUP(LEFT(I$6,FIND("(",I$6)-1),基本シート!$B$6:$C$29,2,FALSE))</f>
        <v>30.1586</v>
      </c>
      <c r="J9" s="3">
        <v>0.99</v>
      </c>
      <c r="K9" s="3">
        <f>IF($E9="〇",J9*基本シート!$E$2,J9*VLOOKUP(LEFT(K$6,FIND("(",K$6)-1),基本シート!$B$6:$C$29,2,FALSE))</f>
        <v>29.561399999999999</v>
      </c>
      <c r="L9" s="3">
        <v>1.21</v>
      </c>
      <c r="M9" s="3">
        <f>IF($E9="〇",L9*基本シート!$E$2,L9*VLOOKUP(LEFT(M$6,FIND("(",M$6)-1),基本シート!$B$6:$C$29,2,FALSE))</f>
        <v>36.130600000000001</v>
      </c>
      <c r="N9" s="3">
        <v>1.01</v>
      </c>
      <c r="O9" s="3">
        <f>IF($E9="〇",N9*基本シート!$E$2,N9*VLOOKUP(LEFT(O$6,FIND("(",O$6)-1),基本シート!$B$6:$C$29,2,FALSE))</f>
        <v>30.1586</v>
      </c>
      <c r="P9" s="3">
        <v>1.33</v>
      </c>
      <c r="Q9" s="3">
        <f>IF($E9="〇",P9*基本シート!$E$2,P9*VLOOKUP(LEFT(Q$6,FIND("(",Q$6)-1),基本シート!$B$6:$C$29,2,FALSE))</f>
        <v>39.713799999999999</v>
      </c>
      <c r="R9" s="3">
        <v>1.1200000000000001</v>
      </c>
      <c r="S9" s="3">
        <f>IF($E9="〇",R9*基本シート!$E$2,R9*VLOOKUP(LEFT(S$6,FIND("(",S$6)-1),基本シート!$B$6:$C$29,2,FALSE))</f>
        <v>33.443200000000004</v>
      </c>
      <c r="T9" s="3">
        <v>1.18</v>
      </c>
      <c r="U9" s="3">
        <f>IF($E9="〇",T9*基本シート!$E$2,T9*VLOOKUP(LEFT(U$6,FIND("(",U$6)-1),基本シート!$B$6:$C$29,2,FALSE))</f>
        <v>35.2348</v>
      </c>
      <c r="V9" s="3">
        <v>1.26</v>
      </c>
      <c r="W9" s="3">
        <f>IF($E9="〇",V9*基本シート!$E$2,V9*VLOOKUP(LEFT(W$6,FIND("(",W$6)-1),基本シート!$B$6:$C$29,2,FALSE))</f>
        <v>46.443599999999996</v>
      </c>
      <c r="X9" s="3">
        <v>0.86</v>
      </c>
      <c r="Y9" s="3">
        <f>IF($E9="〇",X9*基本シート!$E$2,X9*VLOOKUP(LEFT(Y$6,FIND("(",Y$6)-1),基本シート!$B$6:$C$29,2,FALSE))</f>
        <v>31.6996</v>
      </c>
      <c r="Z9" s="3">
        <v>0.78</v>
      </c>
      <c r="AA9" s="3">
        <f>IF($E9="〇",Z9*基本シート!$E$2,Z9*VLOOKUP(LEFT(AA$6,FIND("(",AA$6)-1),基本シート!$B$6:$C$29,2,FALSE))</f>
        <v>28.750800000000002</v>
      </c>
      <c r="AB9" s="3">
        <v>0.84</v>
      </c>
      <c r="AC9" s="3">
        <f>IF($E9="〇",AB9*基本シート!$E$2,AB9*VLOOKUP(LEFT(AC$6,FIND("(",AC$6)-1),基本シート!$B$6:$C$29,2,FALSE))</f>
        <v>30.962399999999999</v>
      </c>
      <c r="AD9" s="3">
        <v>0.62</v>
      </c>
      <c r="AE9" s="3">
        <f>IF($E9="〇",AD9*基本シート!$E$2,AD9*VLOOKUP(LEFT(AE$6,FIND("(",AE$6)-1),基本シート!$B$6:$C$29,2,FALSE))</f>
        <v>22.853200000000001</v>
      </c>
      <c r="AF9" s="3">
        <v>0.66</v>
      </c>
      <c r="AG9" s="3">
        <f>IF($E9="〇",AF9*基本シート!$E$2,AF9*VLOOKUP(LEFT(AG$6,FIND("(",AG$6)-1),基本シート!$B$6:$C$29,2,FALSE))</f>
        <v>24.3276</v>
      </c>
      <c r="AH9" s="3">
        <v>0.59</v>
      </c>
      <c r="AI9" s="3">
        <f>IF($E9="〇",AH9*基本シート!$E$2,AH9*VLOOKUP(LEFT(AI$6,FIND("(",AI$6)-1),基本シート!$B$6:$C$29,2,FALSE))</f>
        <v>21.747399999999999</v>
      </c>
      <c r="AJ9" s="3">
        <v>0.77</v>
      </c>
      <c r="AK9" s="3">
        <f>IF($E9="〇",AJ9*基本シート!$E$2,AJ9*VLOOKUP(LEFT(AK$6,FIND("(",AK$6)-1),基本シート!$B$6:$C$29,2,FALSE))</f>
        <v>28.382200000000001</v>
      </c>
      <c r="AL9" s="3">
        <v>2.09</v>
      </c>
      <c r="AM9" s="3">
        <f>IF($E9="〇",AL9*基本シート!$E$2,AL9*VLOOKUP(LEFT(AM$6,FIND("(",AM$6)-1),基本シート!$B$6:$C$29,2,FALSE))</f>
        <v>77.037399999999991</v>
      </c>
      <c r="AN9" s="3">
        <v>2.69</v>
      </c>
      <c r="AO9" s="3">
        <f>IF($E9="〇",AN9*基本シート!$E$2,AN9*VLOOKUP(LEFT(AO$6,FIND("(",AO$6)-1),基本シート!$B$6:$C$29,2,FALSE))</f>
        <v>99.153399999999991</v>
      </c>
      <c r="AP9" s="3">
        <v>1.89</v>
      </c>
      <c r="AQ9" s="3">
        <f>IF($E9="〇",AP9*基本シート!$E$2,AP9*VLOOKUP(LEFT(AQ$6,FIND("(",AQ$6)-1),基本シート!$B$6:$C$29,2,FALSE))</f>
        <v>69.665399999999991</v>
      </c>
      <c r="AR9" s="3">
        <v>1.34</v>
      </c>
      <c r="AS9" s="3">
        <f>IF($E9="〇",AR9*基本シート!$E$2,AR9*VLOOKUP(LEFT(AS$6,FIND("(",AS$6)-1),基本シート!$B$6:$C$29,2,FALSE))</f>
        <v>49.392400000000002</v>
      </c>
      <c r="AT9" s="3">
        <v>1.36</v>
      </c>
      <c r="AU9" s="3">
        <f>IF($E9="〇",AT9*基本シート!$E$2,AT9*VLOOKUP(LEFT(AU$6,FIND("(",AU$6)-1),基本シート!$B$6:$C$29,2,FALSE))</f>
        <v>50.129600000000003</v>
      </c>
      <c r="AV9" s="3">
        <v>1.22</v>
      </c>
      <c r="AW9" s="3">
        <f>IF($E9="〇",AV9*基本シート!$E$2,AV9*VLOOKUP(LEFT(AW$6,FIND("(",AW$6)-1),基本シート!$B$6:$C$29,2,FALSE))</f>
        <v>44.969200000000001</v>
      </c>
      <c r="AX9" s="3">
        <v>1.24</v>
      </c>
      <c r="AY9" s="3">
        <f>IF($E9="〇",AX9*基本シート!$E$2,AX9*VLOOKUP(LEFT(AY$6,FIND("(",AY$6)-1),基本シート!$B$6:$C$29,2,FALSE))</f>
        <v>37.026400000000002</v>
      </c>
      <c r="AZ9" s="3">
        <v>0.85</v>
      </c>
      <c r="BA9" s="3">
        <f>IF($E9="〇",AZ9*基本シート!$E$2,AZ9*VLOOKUP(LEFT(BA$6,FIND("(",BA$6)-1),基本シート!$B$6:$C$29,2,FALSE))</f>
        <v>25.381</v>
      </c>
      <c r="BB9" s="3">
        <v>1.1200000000000001</v>
      </c>
      <c r="BC9" s="3">
        <f>IF($E9="〇",BB9*基本シート!$E$2,BB9*VLOOKUP(LEFT(BC$6,FIND("(",BC$6)-1),基本シート!$B$6:$C$29,2,FALSE))</f>
        <v>33.443200000000004</v>
      </c>
      <c r="BD9" s="3">
        <f>SUM(H9,J9,L9,N9,P9,R9,T9,V9,X9,Z9,AB9,AD9,AF9,AH9,AJ9,AL9,AN9,AP9,AR9,AT9,AV9,AX9,AZ9,BB9)</f>
        <v>28.029999999999998</v>
      </c>
      <c r="BE9" s="3">
        <f t="shared" si="8"/>
        <v>956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0.11</v>
      </c>
      <c r="BO9" s="3">
        <v>0.21</v>
      </c>
      <c r="BP9" s="3">
        <v>0.3</v>
      </c>
      <c r="BQ9" s="3">
        <v>0.15</v>
      </c>
      <c r="BR9" s="3">
        <v>0.22</v>
      </c>
      <c r="BS9" s="3">
        <v>0.15</v>
      </c>
      <c r="BT9" s="3">
        <v>0.09</v>
      </c>
      <c r="BU9" s="3">
        <v>0.03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0.04</v>
      </c>
      <c r="EC9" s="3">
        <v>0.04</v>
      </c>
      <c r="ED9" s="3">
        <v>0.04</v>
      </c>
      <c r="EE9" s="3">
        <v>0.04</v>
      </c>
      <c r="EF9" s="3">
        <v>0.04</v>
      </c>
      <c r="EG9" s="3">
        <v>0.04</v>
      </c>
      <c r="EH9" s="3">
        <v>0.04</v>
      </c>
      <c r="EI9" s="3">
        <v>0.01</v>
      </c>
      <c r="EJ9" s="3">
        <v>0.01</v>
      </c>
      <c r="EK9" s="3">
        <v>0.01</v>
      </c>
      <c r="EL9" s="3">
        <v>0.01</v>
      </c>
      <c r="EM9" s="3">
        <v>0.01</v>
      </c>
      <c r="EN9" s="3">
        <v>0.01</v>
      </c>
      <c r="EO9" s="3">
        <v>0.01</v>
      </c>
      <c r="EP9" s="3">
        <v>0</v>
      </c>
      <c r="EQ9" s="3">
        <v>0.02</v>
      </c>
      <c r="ER9" s="3">
        <v>0.03</v>
      </c>
      <c r="ES9" s="3">
        <v>0.04</v>
      </c>
      <c r="ET9" s="3">
        <v>0.04</v>
      </c>
      <c r="EU9" s="3">
        <v>0.04</v>
      </c>
      <c r="EV9" s="3">
        <v>0.04</v>
      </c>
      <c r="EW9" s="3">
        <v>0.03</v>
      </c>
      <c r="EX9" s="3">
        <v>0.04</v>
      </c>
      <c r="EY9" s="3">
        <v>0.04</v>
      </c>
      <c r="EZ9" s="3">
        <f t="shared" si="11"/>
        <v>0.67000000000000026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0.97</v>
      </c>
      <c r="GA9" s="3">
        <v>0.95</v>
      </c>
      <c r="GB9" s="3">
        <v>1.17</v>
      </c>
      <c r="GC9" s="3">
        <v>0.97</v>
      </c>
      <c r="GD9" s="3">
        <v>1.29</v>
      </c>
      <c r="GE9" s="3">
        <v>1.08</v>
      </c>
      <c r="GF9" s="3">
        <v>1.1399999999999999</v>
      </c>
      <c r="GG9" s="3">
        <v>1.27</v>
      </c>
      <c r="GH9" s="3">
        <v>0.96</v>
      </c>
      <c r="GI9" s="3">
        <v>0.98</v>
      </c>
      <c r="GJ9" s="3">
        <v>1.1299999999999999</v>
      </c>
      <c r="GK9" s="3">
        <v>0.76</v>
      </c>
      <c r="GL9" s="3">
        <v>0.87</v>
      </c>
      <c r="GM9" s="3">
        <v>0.73</v>
      </c>
      <c r="GN9" s="3">
        <v>0.86</v>
      </c>
      <c r="GO9" s="3">
        <v>2.1</v>
      </c>
      <c r="GP9" s="3">
        <v>2.66</v>
      </c>
      <c r="GQ9" s="3">
        <v>1.85</v>
      </c>
      <c r="GR9" s="3">
        <v>1.3</v>
      </c>
      <c r="GS9" s="3">
        <v>1.32</v>
      </c>
      <c r="GT9" s="3">
        <v>1.18</v>
      </c>
      <c r="GU9" s="3">
        <v>1.21</v>
      </c>
      <c r="GV9" s="3">
        <v>0.81</v>
      </c>
      <c r="GW9" s="3">
        <v>1.08</v>
      </c>
      <c r="GX9" s="3">
        <f t="shared" si="13"/>
        <v>28.64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370</v>
      </c>
      <c r="C10" s="6" t="str">
        <f>TEXT(VLOOKUP(LEFT(B10,FIND("月",B10)),基本シート!$E$6:$F$17,2,FALSE)&amp;B10,"aaaa")</f>
        <v>火曜日</v>
      </c>
      <c r="D10" s="6"/>
      <c r="E10" s="6" t="str">
        <f t="shared" si="9"/>
        <v/>
      </c>
      <c r="F10" s="6"/>
      <c r="G10" s="6"/>
      <c r="H10" s="3">
        <v>1.43</v>
      </c>
      <c r="I10" s="3">
        <f>IF($E10="〇",H10*基本シート!$E$2,H10*VLOOKUP(LEFT(I$6,FIND("(",I$6)-1),基本シート!$B$6:$C$29,2,FALSE))</f>
        <v>42.699799999999996</v>
      </c>
      <c r="J10" s="3">
        <v>0.94</v>
      </c>
      <c r="K10" s="3">
        <f>IF($E10="〇",J10*基本シート!$E$2,J10*VLOOKUP(LEFT(K$6,FIND("(",K$6)-1),基本シート!$B$6:$C$29,2,FALSE))</f>
        <v>28.068399999999997</v>
      </c>
      <c r="L10" s="3">
        <v>1.08</v>
      </c>
      <c r="M10" s="3">
        <f>IF($E10="〇",L10*基本シート!$E$2,L10*VLOOKUP(LEFT(M$6,FIND("(",M$6)-1),基本シート!$B$6:$C$29,2,FALSE))</f>
        <v>32.248800000000003</v>
      </c>
      <c r="N10" s="3">
        <v>0.8</v>
      </c>
      <c r="O10" s="3">
        <f>IF($E10="〇",N10*基本シート!$E$2,N10*VLOOKUP(LEFT(O$6,FIND("(",O$6)-1),基本シート!$B$6:$C$29,2,FALSE))</f>
        <v>23.888000000000002</v>
      </c>
      <c r="P10" s="3">
        <v>1.1399999999999999</v>
      </c>
      <c r="Q10" s="3">
        <f>IF($E10="〇",P10*基本シート!$E$2,P10*VLOOKUP(LEFT(Q$6,FIND("(",Q$6)-1),基本シート!$B$6:$C$29,2,FALSE))</f>
        <v>34.040399999999998</v>
      </c>
      <c r="R10" s="3">
        <v>0.95</v>
      </c>
      <c r="S10" s="3">
        <f>IF($E10="〇",R10*基本シート!$E$2,R10*VLOOKUP(LEFT(S$6,FIND("(",S$6)-1),基本シート!$B$6:$C$29,2,FALSE))</f>
        <v>28.366999999999997</v>
      </c>
      <c r="T10" s="3">
        <v>2.5499999999999998</v>
      </c>
      <c r="U10" s="3">
        <f>IF($E10="〇",T10*基本シート!$E$2,T10*VLOOKUP(LEFT(U$6,FIND("(",U$6)-1),基本シート!$B$6:$C$29,2,FALSE))</f>
        <v>76.142999999999986</v>
      </c>
      <c r="V10" s="3">
        <v>0.97</v>
      </c>
      <c r="W10" s="3">
        <f>IF($E10="〇",V10*基本シート!$E$2,V10*VLOOKUP(LEFT(W$6,FIND("(",W$6)-1),基本シート!$B$6:$C$29,2,FALSE))</f>
        <v>35.754199999999997</v>
      </c>
      <c r="X10" s="3">
        <v>0.55000000000000004</v>
      </c>
      <c r="Y10" s="3">
        <f>IF($E10="〇",X10*基本シート!$E$2,X10*VLOOKUP(LEFT(Y$6,FIND("(",Y$6)-1),基本シート!$B$6:$C$29,2,FALSE))</f>
        <v>20.273</v>
      </c>
      <c r="Z10" s="3">
        <v>0.61</v>
      </c>
      <c r="AA10" s="3">
        <f>IF($E10="〇",Z10*基本シート!$E$2,Z10*VLOOKUP(LEFT(AA$6,FIND("(",AA$6)-1),基本シート!$B$6:$C$29,2,FALSE))</f>
        <v>22.4846</v>
      </c>
      <c r="AB10" s="3">
        <v>0.4</v>
      </c>
      <c r="AC10" s="3">
        <f>IF($E10="〇",AB10*基本シート!$E$2,AB10*VLOOKUP(LEFT(AC$6,FIND("(",AC$6)-1),基本シート!$B$6:$C$29,2,FALSE))</f>
        <v>14.744</v>
      </c>
      <c r="AD10" s="3">
        <v>0.35</v>
      </c>
      <c r="AE10" s="3">
        <f>IF($E10="〇",AD10*基本シート!$E$2,AD10*VLOOKUP(LEFT(AE$6,FIND("(",AE$6)-1),基本シート!$B$6:$C$29,2,FALSE))</f>
        <v>12.901</v>
      </c>
      <c r="AF10" s="3">
        <v>1.37</v>
      </c>
      <c r="AG10" s="3">
        <f>IF($E10="〇",AF10*基本シート!$E$2,AF10*VLOOKUP(LEFT(AG$6,FIND("(",AG$6)-1),基本シート!$B$6:$C$29,2,FALSE))</f>
        <v>50.498200000000004</v>
      </c>
      <c r="AH10" s="3">
        <v>0.72</v>
      </c>
      <c r="AI10" s="3">
        <f>IF($E10="〇",AH10*基本シート!$E$2,AH10*VLOOKUP(LEFT(AI$6,FIND("(",AI$6)-1),基本シート!$B$6:$C$29,2,FALSE))</f>
        <v>26.539199999999997</v>
      </c>
      <c r="AJ10" s="3">
        <v>0.77</v>
      </c>
      <c r="AK10" s="3">
        <f>IF($E10="〇",AJ10*基本シート!$E$2,AJ10*VLOOKUP(LEFT(AK$6,FIND("(",AK$6)-1),基本シート!$B$6:$C$29,2,FALSE))</f>
        <v>28.382200000000001</v>
      </c>
      <c r="AL10" s="3">
        <v>2.94</v>
      </c>
      <c r="AM10" s="3">
        <f>IF($E10="〇",AL10*基本シート!$E$2,AL10*VLOOKUP(LEFT(AM$6,FIND("(",AM$6)-1),基本シート!$B$6:$C$29,2,FALSE))</f>
        <v>108.36839999999999</v>
      </c>
      <c r="AN10" s="3">
        <v>2.8</v>
      </c>
      <c r="AO10" s="3">
        <f>IF($E10="〇",AN10*基本シート!$E$2,AN10*VLOOKUP(LEFT(AO$6,FIND("(",AO$6)-1),基本シート!$B$6:$C$29,2,FALSE))</f>
        <v>103.208</v>
      </c>
      <c r="AP10" s="3">
        <v>2.23</v>
      </c>
      <c r="AQ10" s="3">
        <f>IF($E10="〇",AP10*基本シート!$E$2,AP10*VLOOKUP(LEFT(AQ$6,FIND("(",AQ$6)-1),基本シート!$B$6:$C$29,2,FALSE))</f>
        <v>82.197800000000001</v>
      </c>
      <c r="AR10" s="3">
        <v>1.42</v>
      </c>
      <c r="AS10" s="3">
        <f>IF($E10="〇",AR10*基本シート!$E$2,AR10*VLOOKUP(LEFT(AS$6,FIND("(",AS$6)-1),基本シート!$B$6:$C$29,2,FALSE))</f>
        <v>52.341199999999994</v>
      </c>
      <c r="AT10" s="3">
        <v>1.58</v>
      </c>
      <c r="AU10" s="3">
        <f>IF($E10="〇",AT10*基本シート!$E$2,AT10*VLOOKUP(LEFT(AU$6,FIND("(",AU$6)-1),基本シート!$B$6:$C$29,2,FALSE))</f>
        <v>58.238800000000005</v>
      </c>
      <c r="AV10" s="3">
        <v>1.39</v>
      </c>
      <c r="AW10" s="3">
        <f>IF($E10="〇",AV10*基本シート!$E$2,AV10*VLOOKUP(LEFT(AW$6,FIND("(",AW$6)-1),基本シート!$B$6:$C$29,2,FALSE))</f>
        <v>51.235399999999998</v>
      </c>
      <c r="AX10" s="3">
        <v>1.73</v>
      </c>
      <c r="AY10" s="3">
        <f>IF($E10="〇",AX10*基本シート!$E$2,AX10*VLOOKUP(LEFT(AY$6,FIND("(",AY$6)-1),基本シート!$B$6:$C$29,2,FALSE))</f>
        <v>51.657800000000002</v>
      </c>
      <c r="AZ10" s="3">
        <v>1.5</v>
      </c>
      <c r="BA10" s="3">
        <f>IF($E10="〇",AZ10*基本シート!$E$2,AZ10*VLOOKUP(LEFT(BA$6,FIND("(",BA$6)-1),基本シート!$B$6:$C$29,2,FALSE))</f>
        <v>44.79</v>
      </c>
      <c r="BB10" s="3">
        <v>1.1200000000000001</v>
      </c>
      <c r="BC10" s="3">
        <f>IF($E10="〇",BB10*基本シート!$E$2,BB10*VLOOKUP(LEFT(BC$6,FIND("(",BC$6)-1),基本シート!$B$6:$C$29,2,FALSE))</f>
        <v>33.443200000000004</v>
      </c>
      <c r="BD10" s="3">
        <f t="shared" si="7"/>
        <v>31.340000000000003</v>
      </c>
      <c r="BE10" s="3">
        <f t="shared" si="8"/>
        <v>1063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0.11</v>
      </c>
      <c r="BO10" s="3">
        <v>0.19</v>
      </c>
      <c r="BP10" s="3">
        <v>0.36</v>
      </c>
      <c r="BQ10" s="3">
        <v>0.44</v>
      </c>
      <c r="BR10" s="3">
        <v>0.21</v>
      </c>
      <c r="BS10" s="3">
        <v>0.16</v>
      </c>
      <c r="BT10" s="3">
        <v>0.13</v>
      </c>
      <c r="BU10" s="3">
        <v>0.06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>
        <v>0.04</v>
      </c>
      <c r="EC10" s="3">
        <v>0.04</v>
      </c>
      <c r="ED10" s="3">
        <v>0.03</v>
      </c>
      <c r="EE10" s="3">
        <v>0.04</v>
      </c>
      <c r="EF10" s="3">
        <v>0.04</v>
      </c>
      <c r="EG10" s="3">
        <v>0.04</v>
      </c>
      <c r="EH10" s="3">
        <v>0.04</v>
      </c>
      <c r="EI10" s="3">
        <v>0.01</v>
      </c>
      <c r="EJ10" s="3">
        <v>0.01</v>
      </c>
      <c r="EK10" s="3">
        <v>0.01</v>
      </c>
      <c r="EL10" s="3">
        <v>0.08</v>
      </c>
      <c r="EM10" s="3">
        <v>0.01</v>
      </c>
      <c r="EN10" s="3">
        <v>0</v>
      </c>
      <c r="EO10" s="3">
        <v>0</v>
      </c>
      <c r="EP10" s="3">
        <v>0</v>
      </c>
      <c r="EQ10" s="3">
        <v>0</v>
      </c>
      <c r="ER10" s="3">
        <v>0.01</v>
      </c>
      <c r="ES10" s="3">
        <v>0.03</v>
      </c>
      <c r="ET10" s="3">
        <v>0.03</v>
      </c>
      <c r="EU10" s="3">
        <v>0.03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1"/>
        <v>0.65000000000000024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0.01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0.01</v>
      </c>
      <c r="FZ10" s="3">
        <v>1.39</v>
      </c>
      <c r="GA10" s="3">
        <v>0.9</v>
      </c>
      <c r="GB10" s="3">
        <v>1.05</v>
      </c>
      <c r="GC10" s="3">
        <v>0.76</v>
      </c>
      <c r="GD10" s="3">
        <v>1.1000000000000001</v>
      </c>
      <c r="GE10" s="3">
        <v>0.91</v>
      </c>
      <c r="GF10" s="3">
        <v>2.5099999999999998</v>
      </c>
      <c r="GG10" s="3">
        <v>0.96</v>
      </c>
      <c r="GH10" s="3">
        <v>0.65</v>
      </c>
      <c r="GI10" s="3">
        <v>0.79</v>
      </c>
      <c r="GJ10" s="3">
        <v>0.68</v>
      </c>
      <c r="GK10" s="3">
        <v>0.78</v>
      </c>
      <c r="GL10" s="3">
        <v>1.58</v>
      </c>
      <c r="GM10" s="3">
        <v>0.89</v>
      </c>
      <c r="GN10" s="3">
        <v>0.9</v>
      </c>
      <c r="GO10" s="3">
        <v>3</v>
      </c>
      <c r="GP10" s="3">
        <v>2.79</v>
      </c>
      <c r="GQ10" s="3">
        <v>2.2000000000000002</v>
      </c>
      <c r="GR10" s="3">
        <v>1.39</v>
      </c>
      <c r="GS10" s="3">
        <v>1.55</v>
      </c>
      <c r="GT10" s="3">
        <v>1.35</v>
      </c>
      <c r="GU10" s="3">
        <v>1.69</v>
      </c>
      <c r="GV10" s="3">
        <v>1.46</v>
      </c>
      <c r="GW10" s="3">
        <v>1.08</v>
      </c>
      <c r="GX10" s="3">
        <f t="shared" si="13"/>
        <v>32.360000000000007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371</v>
      </c>
      <c r="C11" s="6" t="str">
        <f>TEXT(VLOOKUP(LEFT(B11,FIND("月",B11)),基本シート!$E$6:$F$17,2,FALSE)&amp;B11,"aaaa")</f>
        <v>水曜日</v>
      </c>
      <c r="D11" s="6"/>
      <c r="E11" s="6" t="str">
        <f t="shared" si="9"/>
        <v/>
      </c>
      <c r="F11" s="6"/>
      <c r="G11" s="6"/>
      <c r="H11" s="3">
        <v>2.25</v>
      </c>
      <c r="I11" s="3">
        <f>IF($E11="〇",H11*基本シート!$E$2,H11*VLOOKUP(LEFT(I$6,FIND("(",I$6)-1),基本シート!$B$6:$C$29,2,FALSE))</f>
        <v>67.185000000000002</v>
      </c>
      <c r="J11" s="3">
        <v>1.17</v>
      </c>
      <c r="K11" s="3">
        <f>IF($E11="〇",J11*基本シート!$E$2,J11*VLOOKUP(LEFT(K$6,FIND("(",K$6)-1),基本シート!$B$6:$C$29,2,FALSE))</f>
        <v>34.936199999999999</v>
      </c>
      <c r="L11" s="3">
        <v>1.18</v>
      </c>
      <c r="M11" s="3">
        <f>IF($E11="〇",L11*基本シート!$E$2,L11*VLOOKUP(LEFT(M$6,FIND("(",M$6)-1),基本シート!$B$6:$C$29,2,FALSE))</f>
        <v>35.2348</v>
      </c>
      <c r="N11" s="3">
        <v>1.1200000000000001</v>
      </c>
      <c r="O11" s="3">
        <f>IF($E11="〇",N11*基本シート!$E$2,N11*VLOOKUP(LEFT(O$6,FIND("(",O$6)-1),基本シート!$B$6:$C$29,2,FALSE))</f>
        <v>33.443200000000004</v>
      </c>
      <c r="P11" s="3">
        <v>1.37</v>
      </c>
      <c r="Q11" s="3">
        <f>IF($E11="〇",P11*基本シート!$E$2,P11*VLOOKUP(LEFT(Q$6,FIND("(",Q$6)-1),基本シート!$B$6:$C$29,2,FALSE))</f>
        <v>40.908200000000001</v>
      </c>
      <c r="R11" s="3">
        <v>1.22</v>
      </c>
      <c r="S11" s="3">
        <f>IF($E11="〇",R11*基本シート!$E$2,R11*VLOOKUP(LEFT(S$6,FIND("(",S$6)-1),基本シート!$B$6:$C$29,2,FALSE))</f>
        <v>36.429200000000002</v>
      </c>
      <c r="T11" s="3">
        <v>3.37</v>
      </c>
      <c r="U11" s="3">
        <f>IF($E11="〇",T11*基本シート!$E$2,T11*VLOOKUP(LEFT(U$6,FIND("(",U$6)-1),基本シート!$B$6:$C$29,2,FALSE))</f>
        <v>100.62820000000001</v>
      </c>
      <c r="V11" s="3">
        <v>1.81</v>
      </c>
      <c r="W11" s="3">
        <f>IF($E11="〇",V11*基本シート!$E$2,V11*VLOOKUP(LEFT(W$6,FIND("(",W$6)-1),基本シート!$B$6:$C$29,2,FALSE))</f>
        <v>66.7166</v>
      </c>
      <c r="X11" s="3">
        <v>1.1499999999999999</v>
      </c>
      <c r="Y11" s="3">
        <f>IF($E11="〇",X11*基本シート!$E$2,X11*VLOOKUP(LEFT(Y$6,FIND("(",Y$6)-1),基本シート!$B$6:$C$29,2,FALSE))</f>
        <v>42.388999999999996</v>
      </c>
      <c r="Z11" s="3">
        <v>1.29</v>
      </c>
      <c r="AA11" s="3">
        <f>IF($E11="〇",Z11*基本シート!$E$2,Z11*VLOOKUP(LEFT(AA$6,FIND("(",AA$6)-1),基本シート!$B$6:$C$29,2,FALSE))</f>
        <v>47.549399999999999</v>
      </c>
      <c r="AB11" s="3">
        <v>1.1499999999999999</v>
      </c>
      <c r="AC11" s="3">
        <f>IF($E11="〇",AB11*基本シート!$E$2,AB11*VLOOKUP(LEFT(AC$6,FIND("(",AC$6)-1),基本シート!$B$6:$C$29,2,FALSE))</f>
        <v>42.388999999999996</v>
      </c>
      <c r="AD11" s="3">
        <v>1.1299999999999999</v>
      </c>
      <c r="AE11" s="3">
        <f>IF($E11="〇",AD11*基本シート!$E$2,AD11*VLOOKUP(LEFT(AE$6,FIND("(",AE$6)-1),基本シート!$B$6:$C$29,2,FALSE))</f>
        <v>41.651799999999994</v>
      </c>
      <c r="AF11" s="3">
        <v>0.97</v>
      </c>
      <c r="AG11" s="3">
        <f>IF($E11="〇",AF11*基本シート!$E$2,AF11*VLOOKUP(LEFT(AG$6,FIND("(",AG$6)-1),基本シート!$B$6:$C$29,2,FALSE))</f>
        <v>35.754199999999997</v>
      </c>
      <c r="AH11" s="3">
        <v>2.2400000000000002</v>
      </c>
      <c r="AI11" s="3">
        <f>IF($E11="〇",AH11*基本シート!$E$2,AH11*VLOOKUP(LEFT(AI$6,FIND("(",AI$6)-1),基本シート!$B$6:$C$29,2,FALSE))</f>
        <v>82.566400000000002</v>
      </c>
      <c r="AJ11" s="3">
        <v>1.1100000000000001</v>
      </c>
      <c r="AK11" s="3">
        <f>IF($E11="〇",AJ11*基本シート!$E$2,AJ11*VLOOKUP(LEFT(AK$6,FIND("(",AK$6)-1),基本シート!$B$6:$C$29,2,FALSE))</f>
        <v>40.9146</v>
      </c>
      <c r="AL11" s="3">
        <v>3.3</v>
      </c>
      <c r="AM11" s="3">
        <f>IF($E11="〇",AL11*基本シート!$E$2,AL11*VLOOKUP(LEFT(AM$6,FIND("(",AM$6)-1),基本シート!$B$6:$C$29,2,FALSE))</f>
        <v>121.63799999999999</v>
      </c>
      <c r="AN11" s="3">
        <v>3.24</v>
      </c>
      <c r="AO11" s="3">
        <f>IF($E11="〇",AN11*基本シート!$E$2,AN11*VLOOKUP(LEFT(AO$6,FIND("(",AO$6)-1),基本シート!$B$6:$C$29,2,FALSE))</f>
        <v>119.4264</v>
      </c>
      <c r="AP11" s="3">
        <v>2.3199999999999998</v>
      </c>
      <c r="AQ11" s="3">
        <f>IF($E11="〇",AP11*基本シート!$E$2,AP11*VLOOKUP(LEFT(AQ$6,FIND("(",AQ$6)-1),基本シート!$B$6:$C$29,2,FALSE))</f>
        <v>85.515199999999993</v>
      </c>
      <c r="AR11" s="3">
        <v>1.57</v>
      </c>
      <c r="AS11" s="3">
        <f>IF($E11="〇",AR11*基本シート!$E$2,AR11*VLOOKUP(LEFT(AS$6,FIND("(",AS$6)-1),基本シート!$B$6:$C$29,2,FALSE))</f>
        <v>57.870200000000004</v>
      </c>
      <c r="AT11" s="3">
        <v>1.59</v>
      </c>
      <c r="AU11" s="3">
        <f>IF($E11="〇",AT11*基本シート!$E$2,AT11*VLOOKUP(LEFT(AU$6,FIND("(",AU$6)-1),基本シート!$B$6:$C$29,2,FALSE))</f>
        <v>58.607400000000005</v>
      </c>
      <c r="AV11" s="3">
        <v>1.47</v>
      </c>
      <c r="AW11" s="3">
        <f>IF($E11="〇",AV11*基本シート!$E$2,AV11*VLOOKUP(LEFT(AW$6,FIND("(",AW$6)-1),基本シート!$B$6:$C$29,2,FALSE))</f>
        <v>54.184199999999997</v>
      </c>
      <c r="AX11" s="3">
        <v>1.75</v>
      </c>
      <c r="AY11" s="3">
        <f>IF($E11="〇",AX11*基本シート!$E$2,AX11*VLOOKUP(LEFT(AY$6,FIND("(",AY$6)-1),基本シート!$B$6:$C$29,2,FALSE))</f>
        <v>52.254999999999995</v>
      </c>
      <c r="AZ11" s="3">
        <v>1.32</v>
      </c>
      <c r="BA11" s="3">
        <f>IF($E11="〇",AZ11*基本シート!$E$2,AZ11*VLOOKUP(LEFT(BA$6,FIND("(",BA$6)-1),基本シート!$B$6:$C$29,2,FALSE))</f>
        <v>39.415199999999999</v>
      </c>
      <c r="BB11" s="3">
        <v>2.2799999999999998</v>
      </c>
      <c r="BC11" s="3">
        <f>IF($E11="〇",BB11*基本シート!$E$2,BB11*VLOOKUP(LEFT(BC$6,FIND("(",BC$6)-1),基本シート!$B$6:$C$29,2,FALSE))</f>
        <v>68.080799999999996</v>
      </c>
      <c r="BD11" s="3">
        <f t="shared" si="7"/>
        <v>41.37</v>
      </c>
      <c r="BE11" s="3">
        <f t="shared" si="8"/>
        <v>1406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</v>
      </c>
      <c r="BS11" s="3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0.04</v>
      </c>
      <c r="EJ11" s="3">
        <v>0.03</v>
      </c>
      <c r="EK11" s="3">
        <v>0.04</v>
      </c>
      <c r="EL11" s="3">
        <v>0.03</v>
      </c>
      <c r="EM11" s="3">
        <v>0.03</v>
      </c>
      <c r="EN11" s="3">
        <v>0.04</v>
      </c>
      <c r="EO11" s="3">
        <v>0.03</v>
      </c>
      <c r="EP11" s="3">
        <v>0.03</v>
      </c>
      <c r="EQ11" s="3">
        <v>0.04</v>
      </c>
      <c r="ER11" s="3">
        <v>0.04</v>
      </c>
      <c r="ES11" s="3">
        <v>0.04</v>
      </c>
      <c r="ET11" s="3">
        <v>0.04</v>
      </c>
      <c r="EU11" s="3">
        <v>0.04</v>
      </c>
      <c r="EV11" s="3">
        <v>0.03</v>
      </c>
      <c r="EW11" s="3">
        <v>0.04</v>
      </c>
      <c r="EX11" s="3">
        <v>0.04</v>
      </c>
      <c r="EY11" s="3">
        <v>0.04</v>
      </c>
      <c r="EZ11" s="3">
        <f t="shared" si="11"/>
        <v>0.90000000000000024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0</v>
      </c>
      <c r="FZ11" s="3">
        <v>2.21</v>
      </c>
      <c r="GA11" s="3">
        <v>1.1299999999999999</v>
      </c>
      <c r="GB11" s="3">
        <v>1.1399999999999999</v>
      </c>
      <c r="GC11" s="3">
        <v>1.08</v>
      </c>
      <c r="GD11" s="3">
        <v>1.33</v>
      </c>
      <c r="GE11" s="3">
        <v>1.18</v>
      </c>
      <c r="GF11" s="3">
        <v>3.33</v>
      </c>
      <c r="GG11" s="3">
        <v>1.77</v>
      </c>
      <c r="GH11" s="3">
        <v>1.1200000000000001</v>
      </c>
      <c r="GI11" s="3">
        <v>1.25</v>
      </c>
      <c r="GJ11" s="3">
        <v>1.1200000000000001</v>
      </c>
      <c r="GK11" s="3">
        <v>1.1000000000000001</v>
      </c>
      <c r="GL11" s="3">
        <v>0.93</v>
      </c>
      <c r="GM11" s="3">
        <v>2.21</v>
      </c>
      <c r="GN11" s="3">
        <v>1.08</v>
      </c>
      <c r="GO11" s="3">
        <v>3.26</v>
      </c>
      <c r="GP11" s="3">
        <v>3.2</v>
      </c>
      <c r="GQ11" s="3">
        <v>2.2799999999999998</v>
      </c>
      <c r="GR11" s="3">
        <v>1.53</v>
      </c>
      <c r="GS11" s="3">
        <v>1.55</v>
      </c>
      <c r="GT11" s="3">
        <v>1.44</v>
      </c>
      <c r="GU11" s="3">
        <v>1.71</v>
      </c>
      <c r="GV11" s="3">
        <v>1.28</v>
      </c>
      <c r="GW11" s="3">
        <v>2.2400000000000002</v>
      </c>
      <c r="GX11" s="3">
        <f t="shared" si="13"/>
        <v>40.47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372</v>
      </c>
      <c r="C12" s="6" t="str">
        <f>TEXT(VLOOKUP(LEFT(B12,FIND("月",B12)),基本シート!$E$6:$F$17,2,FALSE)&amp;B12,"aaaa")</f>
        <v>木曜日</v>
      </c>
      <c r="D12" s="6"/>
      <c r="E12" s="6" t="str">
        <f t="shared" si="9"/>
        <v/>
      </c>
      <c r="F12" s="6"/>
      <c r="G12" s="6"/>
      <c r="H12" s="3">
        <v>1.26</v>
      </c>
      <c r="I12" s="3">
        <f>IF($E12="〇",H12*基本シート!$E$2,H12*VLOOKUP(LEFT(I$6,FIND("(",I$6)-1),基本シート!$B$6:$C$29,2,FALSE))</f>
        <v>37.623599999999996</v>
      </c>
      <c r="J12" s="3">
        <v>1.22</v>
      </c>
      <c r="K12" s="3">
        <f>IF($E12="〇",J12*基本シート!$E$2,J12*VLOOKUP(LEFT(K$6,FIND("(",K$6)-1),基本シート!$B$6:$C$29,2,FALSE))</f>
        <v>36.429200000000002</v>
      </c>
      <c r="L12" s="3">
        <v>1.22</v>
      </c>
      <c r="M12" s="3">
        <f>IF($E12="〇",L12*基本シート!$E$2,L12*VLOOKUP(LEFT(M$6,FIND("(",M$6)-1),基本シート!$B$6:$C$29,2,FALSE))</f>
        <v>36.429200000000002</v>
      </c>
      <c r="N12" s="3">
        <v>1.31</v>
      </c>
      <c r="O12" s="3">
        <f>IF($E12="〇",N12*基本シート!$E$2,N12*VLOOKUP(LEFT(O$6,FIND("(",O$6)-1),基本シート!$B$6:$C$29,2,FALSE))</f>
        <v>39.116599999999998</v>
      </c>
      <c r="P12" s="3">
        <v>1.31</v>
      </c>
      <c r="Q12" s="3">
        <f>IF($E12="〇",P12*基本シート!$E$2,P12*VLOOKUP(LEFT(Q$6,FIND("(",Q$6)-1),基本シート!$B$6:$C$29,2,FALSE))</f>
        <v>39.116599999999998</v>
      </c>
      <c r="R12" s="3">
        <v>1.97</v>
      </c>
      <c r="S12" s="3">
        <f>IF($E12="〇",R12*基本シート!$E$2,R12*VLOOKUP(LEFT(S$6,FIND("(",S$6)-1),基本シート!$B$6:$C$29,2,FALSE))</f>
        <v>58.824199999999998</v>
      </c>
      <c r="T12" s="3">
        <v>2.81</v>
      </c>
      <c r="U12" s="3">
        <f>IF($E12="〇",T12*基本シート!$E$2,T12*VLOOKUP(LEFT(U$6,FIND("(",U$6)-1),基本シート!$B$6:$C$29,2,FALSE))</f>
        <v>83.906599999999997</v>
      </c>
      <c r="V12" s="3">
        <v>1.18</v>
      </c>
      <c r="W12" s="3">
        <f>IF($E12="〇",V12*基本シート!$E$2,V12*VLOOKUP(LEFT(W$6,FIND("(",W$6)-1),基本シート!$B$6:$C$29,2,FALSE))</f>
        <v>43.494799999999998</v>
      </c>
      <c r="X12" s="3">
        <v>1.06</v>
      </c>
      <c r="Y12" s="3">
        <f>IF($E12="〇",X12*基本シート!$E$2,X12*VLOOKUP(LEFT(Y$6,FIND("(",Y$6)-1),基本シート!$B$6:$C$29,2,FALSE))</f>
        <v>39.071600000000004</v>
      </c>
      <c r="Z12" s="3">
        <v>1.36</v>
      </c>
      <c r="AA12" s="3">
        <f>IF($E12="〇",Z12*基本シート!$E$2,Z12*VLOOKUP(LEFT(AA$6,FIND("(",AA$6)-1),基本シート!$B$6:$C$29,2,FALSE))</f>
        <v>50.129600000000003</v>
      </c>
      <c r="AB12" s="3">
        <v>1.1299999999999999</v>
      </c>
      <c r="AC12" s="3">
        <f>IF($E12="〇",AB12*基本シート!$E$2,AB12*VLOOKUP(LEFT(AC$6,FIND("(",AC$6)-1),基本シート!$B$6:$C$29,2,FALSE))</f>
        <v>41.651799999999994</v>
      </c>
      <c r="AD12" s="3">
        <v>2.65</v>
      </c>
      <c r="AE12" s="3">
        <f>IF($E12="〇",AD12*基本シート!$E$2,AD12*VLOOKUP(LEFT(AE$6,FIND("(",AE$6)-1),基本シート!$B$6:$C$29,2,FALSE))</f>
        <v>97.679000000000002</v>
      </c>
      <c r="AF12" s="3">
        <v>1.1200000000000001</v>
      </c>
      <c r="AG12" s="3">
        <f>IF($E12="〇",AF12*基本シート!$E$2,AF12*VLOOKUP(LEFT(AG$6,FIND("(",AG$6)-1),基本シート!$B$6:$C$29,2,FALSE))</f>
        <v>41.283200000000001</v>
      </c>
      <c r="AH12" s="3">
        <v>1</v>
      </c>
      <c r="AI12" s="3">
        <f>IF($E12="〇",AH12*基本シート!$E$2,AH12*VLOOKUP(LEFT(AI$6,FIND("(",AI$6)-1),基本シート!$B$6:$C$29,2,FALSE))</f>
        <v>36.86</v>
      </c>
      <c r="AJ12" s="3">
        <v>1.26</v>
      </c>
      <c r="AK12" s="3">
        <f>IF($E12="〇",AJ12*基本シート!$E$2,AJ12*VLOOKUP(LEFT(AK$6,FIND("(",AK$6)-1),基本シート!$B$6:$C$29,2,FALSE))</f>
        <v>46.443599999999996</v>
      </c>
      <c r="AL12" s="3">
        <v>3.43</v>
      </c>
      <c r="AM12" s="3">
        <f>IF($E12="〇",AL12*基本シート!$E$2,AL12*VLOOKUP(LEFT(AM$6,FIND("(",AM$6)-1),基本シート!$B$6:$C$29,2,FALSE))</f>
        <v>126.4298</v>
      </c>
      <c r="AN12" s="3">
        <v>3.06</v>
      </c>
      <c r="AO12" s="3">
        <f>IF($E12="〇",AN12*基本シート!$E$2,AN12*VLOOKUP(LEFT(AO$6,FIND("(",AO$6)-1),基本シート!$B$6:$C$29,2,FALSE))</f>
        <v>112.7916</v>
      </c>
      <c r="AP12" s="3">
        <v>2.5299999999999998</v>
      </c>
      <c r="AQ12" s="3">
        <f>IF($E12="〇",AP12*基本シート!$E$2,AP12*VLOOKUP(LEFT(AQ$6,FIND("(",AQ$6)-1),基本シート!$B$6:$C$29,2,FALSE))</f>
        <v>93.255799999999994</v>
      </c>
      <c r="AR12" s="3">
        <v>1.69</v>
      </c>
      <c r="AS12" s="3">
        <f>IF($E12="〇",AR12*基本シート!$E$2,AR12*VLOOKUP(LEFT(AS$6,FIND("(",AS$6)-1),基本シート!$B$6:$C$29,2,FALSE))</f>
        <v>62.293399999999998</v>
      </c>
      <c r="AT12" s="3">
        <v>1.37</v>
      </c>
      <c r="AU12" s="3">
        <f>IF($E12="〇",AT12*基本シート!$E$2,AT12*VLOOKUP(LEFT(AU$6,FIND("(",AU$6)-1),基本シート!$B$6:$C$29,2,FALSE))</f>
        <v>50.498200000000004</v>
      </c>
      <c r="AV12" s="3">
        <v>1.61</v>
      </c>
      <c r="AW12" s="3">
        <f>IF($E12="〇",AV12*基本シート!$E$2,AV12*VLOOKUP(LEFT(AW$6,FIND("(",AW$6)-1),基本シート!$B$6:$C$29,2,FALSE))</f>
        <v>59.3446</v>
      </c>
      <c r="AX12" s="3">
        <v>1.5</v>
      </c>
      <c r="AY12" s="3">
        <f>IF($E12="〇",AX12*基本シート!$E$2,AX12*VLOOKUP(LEFT(AY$6,FIND("(",AY$6)-1),基本シート!$B$6:$C$29,2,FALSE))</f>
        <v>44.79</v>
      </c>
      <c r="AZ12" s="3">
        <v>1.19</v>
      </c>
      <c r="BA12" s="3">
        <f>IF($E12="〇",AZ12*基本シート!$E$2,AZ12*VLOOKUP(LEFT(BA$6,FIND("(",BA$6)-1),基本シート!$B$6:$C$29,2,FALSE))</f>
        <v>35.5334</v>
      </c>
      <c r="BB12" s="3">
        <v>1.23</v>
      </c>
      <c r="BC12" s="3">
        <f>IF($E12="〇",BB12*基本シート!$E$2,BB12*VLOOKUP(LEFT(BC$6,FIND("(",BC$6)-1),基本シート!$B$6:$C$29,2,FALSE))</f>
        <v>36.727800000000002</v>
      </c>
      <c r="BD12" s="3">
        <f t="shared" si="7"/>
        <v>39.469999999999992</v>
      </c>
      <c r="BE12" s="3">
        <f t="shared" si="8"/>
        <v>1350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</v>
      </c>
      <c r="BS12" s="3">
        <v>0</v>
      </c>
      <c r="BT12" s="3">
        <v>0</v>
      </c>
      <c r="BU12" s="3">
        <v>0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>
        <v>0.03</v>
      </c>
      <c r="EC12" s="3">
        <v>0.04</v>
      </c>
      <c r="ED12" s="3">
        <v>0.04</v>
      </c>
      <c r="EE12" s="3">
        <v>0.04</v>
      </c>
      <c r="EF12" s="3">
        <v>0.04</v>
      </c>
      <c r="EG12" s="3">
        <v>0.04</v>
      </c>
      <c r="EH12" s="3">
        <v>0.04</v>
      </c>
      <c r="EI12" s="3">
        <v>0.04</v>
      </c>
      <c r="EJ12" s="3">
        <v>0.04</v>
      </c>
      <c r="EK12" s="3">
        <v>0.04</v>
      </c>
      <c r="EL12" s="3">
        <v>0.03</v>
      </c>
      <c r="EM12" s="3">
        <v>0.03</v>
      </c>
      <c r="EN12" s="3">
        <v>0.03</v>
      </c>
      <c r="EO12" s="3">
        <v>0.03</v>
      </c>
      <c r="EP12" s="3">
        <v>0.04</v>
      </c>
      <c r="EQ12" s="3">
        <v>0.04</v>
      </c>
      <c r="ER12" s="3">
        <v>0.04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0.04</v>
      </c>
      <c r="EZ12" s="3">
        <f t="shared" si="11"/>
        <v>0.90000000000000036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0</v>
      </c>
      <c r="FZ12" s="3">
        <v>1.23</v>
      </c>
      <c r="GA12" s="3">
        <v>1.18</v>
      </c>
      <c r="GB12" s="3">
        <v>1.18</v>
      </c>
      <c r="GC12" s="3">
        <v>1.27</v>
      </c>
      <c r="GD12" s="3">
        <v>1.27</v>
      </c>
      <c r="GE12" s="3">
        <v>1.93</v>
      </c>
      <c r="GF12" s="3">
        <v>2.77</v>
      </c>
      <c r="GG12" s="3">
        <v>1.1399999999999999</v>
      </c>
      <c r="GH12" s="3">
        <v>1.02</v>
      </c>
      <c r="GI12" s="3">
        <v>1.32</v>
      </c>
      <c r="GJ12" s="3">
        <v>1.1000000000000001</v>
      </c>
      <c r="GK12" s="3">
        <v>2.62</v>
      </c>
      <c r="GL12" s="3">
        <v>1.0900000000000001</v>
      </c>
      <c r="GM12" s="3">
        <v>0.97</v>
      </c>
      <c r="GN12" s="3">
        <v>1.22</v>
      </c>
      <c r="GO12" s="3">
        <v>3.39</v>
      </c>
      <c r="GP12" s="3">
        <v>3.02</v>
      </c>
      <c r="GQ12" s="3">
        <v>2.4900000000000002</v>
      </c>
      <c r="GR12" s="3">
        <v>1.65</v>
      </c>
      <c r="GS12" s="3">
        <v>1.33</v>
      </c>
      <c r="GT12" s="3">
        <v>1.57</v>
      </c>
      <c r="GU12" s="3">
        <v>1.46</v>
      </c>
      <c r="GV12" s="3">
        <v>1.1599999999999999</v>
      </c>
      <c r="GW12" s="3">
        <v>1.19</v>
      </c>
      <c r="GX12" s="3">
        <f t="shared" si="13"/>
        <v>38.569999999999986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373</v>
      </c>
      <c r="C13" s="6" t="str">
        <f>TEXT(VLOOKUP(LEFT(B13,FIND("月",B13)),基本シート!$E$6:$F$17,2,FALSE)&amp;B13,"aaaa")</f>
        <v>金曜日</v>
      </c>
      <c r="D13" s="6"/>
      <c r="E13" s="6" t="str">
        <f t="shared" si="9"/>
        <v/>
      </c>
      <c r="F13" s="6"/>
      <c r="G13" s="6"/>
      <c r="H13" s="3">
        <v>2.37</v>
      </c>
      <c r="I13" s="3">
        <f>IF($E13="〇",H13*基本シート!$E$2,H13*VLOOKUP(LEFT(I$6,FIND("(",I$6)-1),基本シート!$B$6:$C$29,2,FALSE))</f>
        <v>70.768200000000007</v>
      </c>
      <c r="J13" s="3">
        <v>1.1499999999999999</v>
      </c>
      <c r="K13" s="3">
        <f>IF($E13="〇",J13*基本シート!$E$2,J13*VLOOKUP(LEFT(K$6,FIND("(",K$6)-1),基本シート!$B$6:$C$29,2,FALSE))</f>
        <v>34.338999999999999</v>
      </c>
      <c r="L13" s="3">
        <v>1.21</v>
      </c>
      <c r="M13" s="3">
        <f>IF($E13="〇",L13*基本シート!$E$2,L13*VLOOKUP(LEFT(M$6,FIND("(",M$6)-1),基本シート!$B$6:$C$29,2,FALSE))</f>
        <v>36.130600000000001</v>
      </c>
      <c r="N13" s="3">
        <v>1.17</v>
      </c>
      <c r="O13" s="3">
        <f>IF($E13="〇",N13*基本シート!$E$2,N13*VLOOKUP(LEFT(O$6,FIND("(",O$6)-1),基本シート!$B$6:$C$29,2,FALSE))</f>
        <v>34.936199999999999</v>
      </c>
      <c r="P13" s="3">
        <v>1.35</v>
      </c>
      <c r="Q13" s="3">
        <f>IF($E13="〇",P13*基本シート!$E$2,P13*VLOOKUP(LEFT(Q$6,FIND("(",Q$6)-1),基本シート!$B$6:$C$29,2,FALSE))</f>
        <v>40.311</v>
      </c>
      <c r="R13" s="3">
        <v>1.3</v>
      </c>
      <c r="S13" s="3">
        <f>IF($E13="〇",R13*基本シート!$E$2,R13*VLOOKUP(LEFT(S$6,FIND("(",S$6)-1),基本シート!$B$6:$C$29,2,FALSE))</f>
        <v>38.817999999999998</v>
      </c>
      <c r="T13" s="3">
        <v>3.25</v>
      </c>
      <c r="U13" s="3">
        <f>IF($E13="〇",T13*基本シート!$E$2,T13*VLOOKUP(LEFT(U$6,FIND("(",U$6)-1),基本シート!$B$6:$C$29,2,FALSE))</f>
        <v>97.045000000000002</v>
      </c>
      <c r="V13" s="3">
        <v>1.31</v>
      </c>
      <c r="W13" s="3">
        <f>IF($E13="〇",V13*基本シート!$E$2,V13*VLOOKUP(LEFT(W$6,FIND("(",W$6)-1),基本シート!$B$6:$C$29,2,FALSE))</f>
        <v>48.2866</v>
      </c>
      <c r="X13" s="3">
        <v>0.94</v>
      </c>
      <c r="Y13" s="3">
        <f>IF($E13="〇",X13*基本シート!$E$2,X13*VLOOKUP(LEFT(Y$6,FIND("(",Y$6)-1),基本シート!$B$6:$C$29,2,FALSE))</f>
        <v>34.648399999999995</v>
      </c>
      <c r="Z13" s="3">
        <v>0.97</v>
      </c>
      <c r="AA13" s="3">
        <f>IF($E13="〇",Z13*基本シート!$E$2,Z13*VLOOKUP(LEFT(AA$6,FIND("(",AA$6)-1),基本シート!$B$6:$C$29,2,FALSE))</f>
        <v>35.754199999999997</v>
      </c>
      <c r="AB13" s="3">
        <v>1.1399999999999999</v>
      </c>
      <c r="AC13" s="3">
        <f>IF($E13="〇",AB13*基本シート!$E$2,AB13*VLOOKUP(LEFT(AC$6,FIND("(",AC$6)-1),基本シート!$B$6:$C$29,2,FALSE))</f>
        <v>42.020399999999995</v>
      </c>
      <c r="AD13" s="3">
        <v>1.1299999999999999</v>
      </c>
      <c r="AE13" s="3">
        <f>IF($E13="〇",AD13*基本シート!$E$2,AD13*VLOOKUP(LEFT(AE$6,FIND("(",AE$6)-1),基本シート!$B$6:$C$29,2,FALSE))</f>
        <v>41.651799999999994</v>
      </c>
      <c r="AF13" s="3">
        <v>1.08</v>
      </c>
      <c r="AG13" s="3">
        <f>IF($E13="〇",AF13*基本シート!$E$2,AF13*VLOOKUP(LEFT(AG$6,FIND("(",AG$6)-1),基本シート!$B$6:$C$29,2,FALSE))</f>
        <v>39.808800000000005</v>
      </c>
      <c r="AH13" s="3">
        <v>2.15</v>
      </c>
      <c r="AI13" s="3">
        <f>IF($E13="〇",AH13*基本シート!$E$2,AH13*VLOOKUP(LEFT(AI$6,FIND("(",AI$6)-1),基本シート!$B$6:$C$29,2,FALSE))</f>
        <v>79.248999999999995</v>
      </c>
      <c r="AJ13" s="3">
        <v>1.0900000000000001</v>
      </c>
      <c r="AK13" s="3">
        <f>IF($E13="〇",AJ13*基本シート!$E$2,AJ13*VLOOKUP(LEFT(AK$6,FIND("(",AK$6)-1),基本シート!$B$6:$C$29,2,FALSE))</f>
        <v>40.177400000000006</v>
      </c>
      <c r="AL13" s="3">
        <v>3.21</v>
      </c>
      <c r="AM13" s="3">
        <f>IF($E13="〇",AL13*基本シート!$E$2,AL13*VLOOKUP(LEFT(AM$6,FIND("(",AM$6)-1),基本シート!$B$6:$C$29,2,FALSE))</f>
        <v>118.3206</v>
      </c>
      <c r="AN13" s="3">
        <v>3.2</v>
      </c>
      <c r="AO13" s="3">
        <f>IF($E13="〇",AN13*基本シート!$E$2,AN13*VLOOKUP(LEFT(AO$6,FIND("(",AO$6)-1),基本シート!$B$6:$C$29,2,FALSE))</f>
        <v>117.952</v>
      </c>
      <c r="AP13" s="3">
        <v>2.0099999999999998</v>
      </c>
      <c r="AQ13" s="3">
        <f>IF($E13="〇",AP13*基本シート!$E$2,AP13*VLOOKUP(LEFT(AQ$6,FIND("(",AQ$6)-1),基本シート!$B$6:$C$29,2,FALSE))</f>
        <v>74.088599999999985</v>
      </c>
      <c r="AR13" s="3">
        <v>1.69</v>
      </c>
      <c r="AS13" s="3">
        <f>IF($E13="〇",AR13*基本シート!$E$2,AR13*VLOOKUP(LEFT(AS$6,FIND("(",AS$6)-1),基本シート!$B$6:$C$29,2,FALSE))</f>
        <v>62.293399999999998</v>
      </c>
      <c r="AT13" s="3">
        <v>1.46</v>
      </c>
      <c r="AU13" s="3">
        <f>IF($E13="〇",AT13*基本シート!$E$2,AT13*VLOOKUP(LEFT(AU$6,FIND("(",AU$6)-1),基本シート!$B$6:$C$29,2,FALSE))</f>
        <v>53.815599999999996</v>
      </c>
      <c r="AV13" s="3">
        <v>1.1399999999999999</v>
      </c>
      <c r="AW13" s="3">
        <f>IF($E13="〇",AV13*基本シート!$E$2,AV13*VLOOKUP(LEFT(AW$6,FIND("(",AW$6)-1),基本シート!$B$6:$C$29,2,FALSE))</f>
        <v>42.020399999999995</v>
      </c>
      <c r="AX13" s="3">
        <v>1.35</v>
      </c>
      <c r="AY13" s="3">
        <f>IF($E13="〇",AX13*基本シート!$E$2,AX13*VLOOKUP(LEFT(AY$6,FIND("(",AY$6)-1),基本シート!$B$6:$C$29,2,FALSE))</f>
        <v>40.311</v>
      </c>
      <c r="AZ13" s="3">
        <v>1.19</v>
      </c>
      <c r="BA13" s="3">
        <f>IF($E13="〇",AZ13*基本シート!$E$2,AZ13*VLOOKUP(LEFT(BA$6,FIND("(",BA$6)-1),基本シート!$B$6:$C$29,2,FALSE))</f>
        <v>35.5334</v>
      </c>
      <c r="BB13" s="3">
        <v>1.29</v>
      </c>
      <c r="BC13" s="3">
        <f>IF($E13="〇",BB13*基本シート!$E$2,BB13*VLOOKUP(LEFT(BC$6,FIND("(",BC$6)-1),基本シート!$B$6:$C$29,2,FALSE))</f>
        <v>38.519399999999997</v>
      </c>
      <c r="BD13" s="3">
        <f t="shared" si="7"/>
        <v>38.149999999999991</v>
      </c>
      <c r="BE13" s="3">
        <f t="shared" si="8"/>
        <v>1297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3">
        <v>0</v>
      </c>
      <c r="BP13" s="3">
        <v>0</v>
      </c>
      <c r="BQ13" s="3">
        <v>0</v>
      </c>
      <c r="BR13" s="3">
        <v>0</v>
      </c>
      <c r="BS13" s="3">
        <v>0</v>
      </c>
      <c r="BT13" s="3">
        <v>0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0.04</v>
      </c>
      <c r="EI13" s="3">
        <v>0.04</v>
      </c>
      <c r="EJ13" s="3">
        <v>0.04</v>
      </c>
      <c r="EK13" s="3">
        <v>0.03</v>
      </c>
      <c r="EL13" s="3">
        <v>0.04</v>
      </c>
      <c r="EM13" s="3">
        <v>0.04</v>
      </c>
      <c r="EN13" s="3">
        <v>0.03</v>
      </c>
      <c r="EO13" s="3">
        <v>0.04</v>
      </c>
      <c r="EP13" s="3">
        <v>0.04</v>
      </c>
      <c r="EQ13" s="3">
        <v>0.04</v>
      </c>
      <c r="ER13" s="3">
        <v>0.04</v>
      </c>
      <c r="ES13" s="3">
        <v>0.04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0.03</v>
      </c>
      <c r="EZ13" s="3">
        <f t="shared" si="11"/>
        <v>0.92000000000000037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0</v>
      </c>
      <c r="FZ13" s="3">
        <v>2.33</v>
      </c>
      <c r="GA13" s="3">
        <v>1.1100000000000001</v>
      </c>
      <c r="GB13" s="3">
        <v>1.17</v>
      </c>
      <c r="GC13" s="3">
        <v>1.1299999999999999</v>
      </c>
      <c r="GD13" s="3">
        <v>1.31</v>
      </c>
      <c r="GE13" s="3">
        <v>1.26</v>
      </c>
      <c r="GF13" s="3">
        <v>3.21</v>
      </c>
      <c r="GG13" s="3">
        <v>1.27</v>
      </c>
      <c r="GH13" s="3">
        <v>0.9</v>
      </c>
      <c r="GI13" s="3">
        <v>0.94</v>
      </c>
      <c r="GJ13" s="3">
        <v>1.1000000000000001</v>
      </c>
      <c r="GK13" s="3">
        <v>1.0900000000000001</v>
      </c>
      <c r="GL13" s="3">
        <v>1.05</v>
      </c>
      <c r="GM13" s="3">
        <v>2.11</v>
      </c>
      <c r="GN13" s="3">
        <v>1.05</v>
      </c>
      <c r="GO13" s="3">
        <v>3.17</v>
      </c>
      <c r="GP13" s="3">
        <v>3.16</v>
      </c>
      <c r="GQ13" s="3">
        <v>1.97</v>
      </c>
      <c r="GR13" s="3">
        <v>1.65</v>
      </c>
      <c r="GS13" s="3">
        <v>1.42</v>
      </c>
      <c r="GT13" s="3">
        <v>1.1100000000000001</v>
      </c>
      <c r="GU13" s="3">
        <v>1.31</v>
      </c>
      <c r="GV13" s="3">
        <v>1.1499999999999999</v>
      </c>
      <c r="GW13" s="3">
        <v>1.26</v>
      </c>
      <c r="GX13" s="3">
        <f t="shared" si="13"/>
        <v>37.229999999999997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374</v>
      </c>
      <c r="C14" s="6" t="str">
        <f>TEXT(VLOOKUP(LEFT(B14,FIND("月",B14)),基本シート!$E$6:$F$17,2,FALSE)&amp;B14,"aaaa")</f>
        <v>土曜日</v>
      </c>
      <c r="D14" s="6"/>
      <c r="E14" s="6" t="str">
        <f t="shared" si="9"/>
        <v>〇</v>
      </c>
      <c r="F14" s="6"/>
      <c r="G14" s="6"/>
      <c r="H14" s="3">
        <v>1.34</v>
      </c>
      <c r="I14" s="3">
        <f>IF($E14="〇",H14*基本シート!$E$2,H14*VLOOKUP(LEFT(I$6,FIND("(",I$6)-1),基本シート!$B$6:$C$29,2,FALSE))</f>
        <v>40.0124</v>
      </c>
      <c r="J14" s="3">
        <v>1.39</v>
      </c>
      <c r="K14" s="3">
        <f>IF($E14="〇",J14*基本シート!$E$2,J14*VLOOKUP(LEFT(K$6,FIND("(",K$6)-1),基本シート!$B$6:$C$29,2,FALSE))</f>
        <v>41.505399999999995</v>
      </c>
      <c r="L14" s="3">
        <v>3.04</v>
      </c>
      <c r="M14" s="3">
        <f>IF($E14="〇",L14*基本シート!$E$2,L14*VLOOKUP(LEFT(M$6,FIND("(",M$6)-1),基本シート!$B$6:$C$29,2,FALSE))</f>
        <v>90.7744</v>
      </c>
      <c r="N14" s="3">
        <v>1.33</v>
      </c>
      <c r="O14" s="3">
        <f>IF($E14="〇",N14*基本シート!$E$2,N14*VLOOKUP(LEFT(O$6,FIND("(",O$6)-1),基本シート!$B$6:$C$29,2,FALSE))</f>
        <v>39.713799999999999</v>
      </c>
      <c r="P14" s="3">
        <v>1.51</v>
      </c>
      <c r="Q14" s="3">
        <f>IF($E14="〇",P14*基本シート!$E$2,P14*VLOOKUP(LEFT(Q$6,FIND("(",Q$6)-1),基本シート!$B$6:$C$29,2,FALSE))</f>
        <v>45.0886</v>
      </c>
      <c r="R14" s="3">
        <v>1.34</v>
      </c>
      <c r="S14" s="3">
        <f>IF($E14="〇",R14*基本シート!$E$2,R14*VLOOKUP(LEFT(S$6,FIND("(",S$6)-1),基本シート!$B$6:$C$29,2,FALSE))</f>
        <v>40.0124</v>
      </c>
      <c r="T14" s="3">
        <v>1.47</v>
      </c>
      <c r="U14" s="3">
        <f>IF($E14="〇",T14*基本シート!$E$2,T14*VLOOKUP(LEFT(U$6,FIND("(",U$6)-1),基本シート!$B$6:$C$29,2,FALSE))</f>
        <v>43.894199999999998</v>
      </c>
      <c r="V14" s="3">
        <v>2.08</v>
      </c>
      <c r="W14" s="3">
        <f>IF($E14="〇",V14*基本シート!$E$2,V14*VLOOKUP(LEFT(W$6,FIND("(",W$6)-1),基本シート!$B$6:$C$29,2,FALSE))</f>
        <v>62.108800000000002</v>
      </c>
      <c r="X14" s="3">
        <v>1.93</v>
      </c>
      <c r="Y14" s="3">
        <f>IF($E14="〇",X14*基本シート!$E$2,X14*VLOOKUP(LEFT(Y$6,FIND("(",Y$6)-1),基本シート!$B$6:$C$29,2,FALSE))</f>
        <v>57.629799999999996</v>
      </c>
      <c r="Z14" s="3">
        <v>1.18</v>
      </c>
      <c r="AA14" s="3">
        <f>IF($E14="〇",Z14*基本シート!$E$2,Z14*VLOOKUP(LEFT(AA$6,FIND("(",AA$6)-1),基本シート!$B$6:$C$29,2,FALSE))</f>
        <v>35.2348</v>
      </c>
      <c r="AB14" s="3">
        <v>1</v>
      </c>
      <c r="AC14" s="3">
        <f>IF($E14="〇",AB14*基本シート!$E$2,AB14*VLOOKUP(LEFT(AC$6,FIND("(",AC$6)-1),基本シート!$B$6:$C$29,2,FALSE))</f>
        <v>29.86</v>
      </c>
      <c r="AD14" s="3">
        <v>0.96</v>
      </c>
      <c r="AE14" s="3">
        <f>IF($E14="〇",AD14*基本シート!$E$2,AD14*VLOOKUP(LEFT(AE$6,FIND("(",AE$6)-1),基本シート!$B$6:$C$29,2,FALSE))</f>
        <v>28.665599999999998</v>
      </c>
      <c r="AF14" s="3">
        <v>1.05</v>
      </c>
      <c r="AG14" s="3">
        <f>IF($E14="〇",AF14*基本シート!$E$2,AF14*VLOOKUP(LEFT(AG$6,FIND("(",AG$6)-1),基本シート!$B$6:$C$29,2,FALSE))</f>
        <v>31.353000000000002</v>
      </c>
      <c r="AH14" s="3">
        <v>2.09</v>
      </c>
      <c r="AI14" s="3">
        <f>IF($E14="〇",AH14*基本シート!$E$2,AH14*VLOOKUP(LEFT(AI$6,FIND("(",AI$6)-1),基本シート!$B$6:$C$29,2,FALSE))</f>
        <v>62.407399999999996</v>
      </c>
      <c r="AJ14" s="3">
        <v>1.58</v>
      </c>
      <c r="AK14" s="3">
        <f>IF($E14="〇",AJ14*基本シート!$E$2,AJ14*VLOOKUP(LEFT(AK$6,FIND("(",AK$6)-1),基本シート!$B$6:$C$29,2,FALSE))</f>
        <v>47.178800000000003</v>
      </c>
      <c r="AL14" s="3">
        <v>2.29</v>
      </c>
      <c r="AM14" s="3">
        <f>IF($E14="〇",AL14*基本シート!$E$2,AL14*VLOOKUP(LEFT(AM$6,FIND("(",AM$6)-1),基本シート!$B$6:$C$29,2,FALSE))</f>
        <v>68.379400000000004</v>
      </c>
      <c r="AN14" s="3">
        <v>3.09</v>
      </c>
      <c r="AO14" s="3">
        <f>IF($E14="〇",AN14*基本シート!$E$2,AN14*VLOOKUP(LEFT(AO$6,FIND("(",AO$6)-1),基本シート!$B$6:$C$29,2,FALSE))</f>
        <v>92.267399999999995</v>
      </c>
      <c r="AP14" s="3">
        <v>3.22</v>
      </c>
      <c r="AQ14" s="3">
        <f>IF($E14="〇",AP14*基本シート!$E$2,AP14*VLOOKUP(LEFT(AQ$6,FIND("(",AQ$6)-1),基本シート!$B$6:$C$29,2,FALSE))</f>
        <v>96.149200000000008</v>
      </c>
      <c r="AR14" s="3">
        <v>4.1100000000000003</v>
      </c>
      <c r="AS14" s="3">
        <f>IF($E14="〇",AR14*基本シート!$E$2,AR14*VLOOKUP(LEFT(AS$6,FIND("(",AS$6)-1),基本シート!$B$6:$C$29,2,FALSE))</f>
        <v>122.72460000000001</v>
      </c>
      <c r="AT14" s="3">
        <v>3.56</v>
      </c>
      <c r="AU14" s="3">
        <f>IF($E14="〇",AT14*基本シート!$E$2,AT14*VLOOKUP(LEFT(AU$6,FIND("(",AU$6)-1),基本シート!$B$6:$C$29,2,FALSE))</f>
        <v>106.30159999999999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39.56</v>
      </c>
      <c r="BE14" s="3">
        <f t="shared" si="8"/>
        <v>1181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</v>
      </c>
      <c r="BR14" s="3">
        <v>0</v>
      </c>
      <c r="BS14" s="3">
        <v>0</v>
      </c>
      <c r="BT14" s="3">
        <v>0</v>
      </c>
      <c r="BU14" s="3">
        <v>0</v>
      </c>
      <c r="BV14" s="3">
        <v>0</v>
      </c>
      <c r="BW14" s="3">
        <v>0</v>
      </c>
      <c r="BX14" s="3">
        <v>0</v>
      </c>
      <c r="BY14" s="3">
        <v>0</v>
      </c>
      <c r="BZ14" s="3"/>
      <c r="CA14" s="3"/>
      <c r="CB14" s="3"/>
      <c r="CC14" s="3"/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</v>
      </c>
      <c r="DA14" s="3">
        <f>CZ14*基本シート!$C$3</f>
        <v>0</v>
      </c>
      <c r="DB14" s="3">
        <v>0</v>
      </c>
      <c r="DC14" s="3">
        <f>DB14*基本シート!$C$3</f>
        <v>0</v>
      </c>
      <c r="DD14" s="3">
        <v>0</v>
      </c>
      <c r="DE14" s="3">
        <f>DD14*基本シート!$C$3</f>
        <v>0</v>
      </c>
      <c r="DF14" s="3">
        <v>0</v>
      </c>
      <c r="DG14" s="3">
        <f>DF14*基本シート!$C$3</f>
        <v>0</v>
      </c>
      <c r="DH14" s="3">
        <v>0</v>
      </c>
      <c r="DI14" s="3">
        <f>DH14*基本シート!$C$3</f>
        <v>0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>
        <v>0.04</v>
      </c>
      <c r="EC14" s="3">
        <v>0.04</v>
      </c>
      <c r="ED14" s="3">
        <v>0.04</v>
      </c>
      <c r="EE14" s="3">
        <v>0.04</v>
      </c>
      <c r="EF14" s="3">
        <v>0.04</v>
      </c>
      <c r="EG14" s="3">
        <v>0.03</v>
      </c>
      <c r="EH14" s="3">
        <v>0.04</v>
      </c>
      <c r="EI14" s="3">
        <v>0.03</v>
      </c>
      <c r="EJ14" s="3">
        <v>0.03</v>
      </c>
      <c r="EK14" s="3">
        <v>0.03</v>
      </c>
      <c r="EL14" s="3">
        <v>0.03</v>
      </c>
      <c r="EM14" s="3">
        <v>0.02</v>
      </c>
      <c r="EN14" s="3">
        <v>0.03</v>
      </c>
      <c r="EO14" s="3">
        <v>0.03</v>
      </c>
      <c r="EP14" s="3">
        <v>0.04</v>
      </c>
      <c r="EQ14" s="3">
        <v>0.03</v>
      </c>
      <c r="ER14" s="3">
        <v>0.03</v>
      </c>
      <c r="ES14" s="3">
        <v>0.04</v>
      </c>
      <c r="ET14" s="3">
        <v>0.04</v>
      </c>
      <c r="EU14" s="3">
        <v>0.04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0.69000000000000039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0</v>
      </c>
      <c r="FZ14" s="3">
        <v>1.3</v>
      </c>
      <c r="GA14" s="3">
        <v>1.35</v>
      </c>
      <c r="GB14" s="3">
        <v>3</v>
      </c>
      <c r="GC14" s="3">
        <v>1.29</v>
      </c>
      <c r="GD14" s="3">
        <v>1.47</v>
      </c>
      <c r="GE14" s="3">
        <v>1.31</v>
      </c>
      <c r="GF14" s="3">
        <v>1.43</v>
      </c>
      <c r="GG14" s="3">
        <v>2.0499999999999998</v>
      </c>
      <c r="GH14" s="3">
        <v>1.9</v>
      </c>
      <c r="GI14" s="3">
        <v>1.1499999999999999</v>
      </c>
      <c r="GJ14" s="3">
        <v>0.97</v>
      </c>
      <c r="GK14" s="3">
        <v>0.94</v>
      </c>
      <c r="GL14" s="3">
        <v>1.02</v>
      </c>
      <c r="GM14" s="3">
        <v>2.06</v>
      </c>
      <c r="GN14" s="3">
        <v>1.54</v>
      </c>
      <c r="GO14" s="3">
        <v>2.2599999999999998</v>
      </c>
      <c r="GP14" s="3">
        <v>3.06</v>
      </c>
      <c r="GQ14" s="3">
        <v>3.18</v>
      </c>
      <c r="GR14" s="3">
        <v>4.07</v>
      </c>
      <c r="GS14" s="3">
        <v>3.52</v>
      </c>
      <c r="GT14" s="3"/>
      <c r="GU14" s="3"/>
      <c r="GV14" s="3"/>
      <c r="GW14" s="3"/>
      <c r="GX14" s="3">
        <f t="shared" si="13"/>
        <v>38.869999999999997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375</v>
      </c>
      <c r="C15" s="6" t="str">
        <f>TEXT(VLOOKUP(LEFT(B15,FIND("月",B15)),基本シート!$E$6:$F$17,2,FALSE)&amp;B15,"aaaa")</f>
        <v>日曜日</v>
      </c>
      <c r="D15" s="6"/>
      <c r="E15" s="6" t="str">
        <f t="shared" si="9"/>
        <v>〇</v>
      </c>
      <c r="F15" s="6"/>
      <c r="G15" s="6"/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1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2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3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376</v>
      </c>
      <c r="C16" s="6" t="str">
        <f>TEXT(VLOOKUP(LEFT(B16,FIND("月",B16)),基本シート!$E$6:$F$17,2,FALSE)&amp;B16,"aaaa")</f>
        <v>月曜日</v>
      </c>
      <c r="D16" s="6"/>
      <c r="E16" s="6" t="str">
        <f t="shared" si="9"/>
        <v/>
      </c>
      <c r="F16" s="6"/>
      <c r="G16" s="6"/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1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2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3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377</v>
      </c>
      <c r="C17" s="6" t="str">
        <f>TEXT(VLOOKUP(LEFT(B17,FIND("月",B17)),基本シート!$E$6:$F$17,2,FALSE)&amp;B17,"aaaa")</f>
        <v>火曜日</v>
      </c>
      <c r="D17" s="6" t="s">
        <v>82</v>
      </c>
      <c r="E17" s="6" t="str">
        <f t="shared" si="9"/>
        <v>〇</v>
      </c>
      <c r="F17" s="6"/>
      <c r="G17" s="6"/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1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2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3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378</v>
      </c>
      <c r="C18" s="6" t="str">
        <f>TEXT(VLOOKUP(LEFT(B18,FIND("月",B18)),基本シート!$E$6:$F$17,2,FALSE)&amp;B18,"aaaa")</f>
        <v>水曜日</v>
      </c>
      <c r="D18" s="6"/>
      <c r="E18" s="6" t="str">
        <f t="shared" si="9"/>
        <v/>
      </c>
      <c r="F18" s="6"/>
      <c r="G18" s="6"/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1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2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3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379</v>
      </c>
      <c r="C19" s="6" t="str">
        <f>TEXT(VLOOKUP(LEFT(B19,FIND("月",B19)),基本シート!$E$6:$F$17,2,FALSE)&amp;B19,"aaaa")</f>
        <v>木曜日</v>
      </c>
      <c r="D19" s="6"/>
      <c r="E19" s="6" t="str">
        <f t="shared" si="9"/>
        <v/>
      </c>
      <c r="F19" s="6"/>
      <c r="G19" s="6"/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1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2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3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380</v>
      </c>
      <c r="C20" s="6" t="str">
        <f>TEXT(VLOOKUP(LEFT(B20,FIND("月",B20)),基本シート!$E$6:$F$17,2,FALSE)&amp;B20,"aaaa")</f>
        <v>金曜日</v>
      </c>
      <c r="D20" s="6"/>
      <c r="E20" s="6" t="str">
        <f t="shared" si="9"/>
        <v/>
      </c>
      <c r="F20" s="6"/>
      <c r="G20" s="6"/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1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2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3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381</v>
      </c>
      <c r="C21" s="6" t="str">
        <f>TEXT(VLOOKUP(LEFT(B21,FIND("月",B21)),基本シート!$E$6:$F$17,2,FALSE)&amp;B21,"aaaa")</f>
        <v>土曜日</v>
      </c>
      <c r="D21" s="6"/>
      <c r="E21" s="6" t="str">
        <f t="shared" si="9"/>
        <v>〇</v>
      </c>
      <c r="F21" s="6"/>
      <c r="G21" s="6"/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1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2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3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382</v>
      </c>
      <c r="C22" s="6" t="str">
        <f>TEXT(VLOOKUP(LEFT(B22,FIND("月",B22)),基本シート!$E$6:$F$17,2,FALSE)&amp;B22,"aaaa")</f>
        <v>日曜日</v>
      </c>
      <c r="D22" s="6"/>
      <c r="E22" s="6" t="str">
        <f t="shared" si="9"/>
        <v>〇</v>
      </c>
      <c r="F22" s="6"/>
      <c r="G22" s="6"/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1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2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3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383</v>
      </c>
      <c r="C23" s="6" t="str">
        <f>TEXT(VLOOKUP(LEFT(B23,FIND("月",B23)),基本シート!$E$6:$F$17,2,FALSE)&amp;B23,"aaaa")</f>
        <v>月曜日</v>
      </c>
      <c r="D23" s="6"/>
      <c r="E23" s="6" t="str">
        <f t="shared" si="9"/>
        <v/>
      </c>
      <c r="F23" s="6"/>
      <c r="G23" s="6"/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1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2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3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384</v>
      </c>
      <c r="C24" s="6" t="str">
        <f>TEXT(VLOOKUP(LEFT(B24,FIND("月",B24)),基本シート!$E$6:$F$17,2,FALSE)&amp;B24,"aaaa")</f>
        <v>火曜日</v>
      </c>
      <c r="D24" s="6"/>
      <c r="E24" s="6" t="str">
        <f t="shared" si="9"/>
        <v/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1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2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3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385</v>
      </c>
      <c r="C25" s="6" t="str">
        <f>TEXT(VLOOKUP(LEFT(B25,FIND("月",B25)),基本シート!$E$6:$F$17,2,FALSE)&amp;B25,"aaaa")</f>
        <v>水曜日</v>
      </c>
      <c r="D25" s="6"/>
      <c r="E25" s="6" t="str">
        <f t="shared" si="9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1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2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3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386</v>
      </c>
      <c r="C26" s="6" t="str">
        <f>TEXT(VLOOKUP(LEFT(B26,FIND("月",B26)),基本シート!$E$6:$F$17,2,FALSE)&amp;B26,"aaaa")</f>
        <v>木曜日</v>
      </c>
      <c r="D26" s="6"/>
      <c r="E26" s="6" t="str">
        <f t="shared" si="9"/>
        <v/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1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2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3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387</v>
      </c>
      <c r="C27" s="6" t="str">
        <f>TEXT(VLOOKUP(LEFT(B27,FIND("月",B27)),基本シート!$E$6:$F$17,2,FALSE)&amp;B27,"aaaa")</f>
        <v>金曜日</v>
      </c>
      <c r="D27" s="6"/>
      <c r="E27" s="6" t="str">
        <f t="shared" si="9"/>
        <v/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1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2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3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388</v>
      </c>
      <c r="C28" s="6" t="str">
        <f>TEXT(VLOOKUP(LEFT(B28,FIND("月",B28)),基本シート!$E$6:$F$17,2,FALSE)&amp;B28,"aaaa")</f>
        <v>土曜日</v>
      </c>
      <c r="D28" s="6"/>
      <c r="E28" s="6" t="str">
        <f t="shared" si="9"/>
        <v>〇</v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389</v>
      </c>
      <c r="C29" s="6" t="str">
        <f>TEXT(VLOOKUP(LEFT(B29,FIND("月",B29)),基本シート!$E$6:$F$17,2,FALSE)&amp;B29,"aaaa")</f>
        <v>日曜日</v>
      </c>
      <c r="D29" s="6"/>
      <c r="E29" s="6" t="str">
        <f t="shared" si="9"/>
        <v>〇</v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390</v>
      </c>
      <c r="C30" s="6" t="str">
        <f>TEXT(VLOOKUP(LEFT(B30,FIND("月",B30)),基本シート!$E$6:$F$17,2,FALSE)&amp;B30,"aaaa")</f>
        <v>月曜日</v>
      </c>
      <c r="D30" s="6" t="s">
        <v>82</v>
      </c>
      <c r="E30" s="6" t="str">
        <f t="shared" si="9"/>
        <v>〇</v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391</v>
      </c>
      <c r="C31" s="6" t="str">
        <f>TEXT(VLOOKUP(LEFT(B31,FIND("月",B31)),基本シート!$E$6:$F$17,2,FALSE)&amp;B31,"aaaa")</f>
        <v>火曜日</v>
      </c>
      <c r="D31" s="6"/>
      <c r="E31" s="6" t="str">
        <f t="shared" si="9"/>
        <v/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392</v>
      </c>
      <c r="C32" s="6" t="str">
        <f>TEXT(VLOOKUP(LEFT(B32,FIND("月",B32)),基本シート!$E$6:$F$17,2,FALSE)&amp;B32,"aaaa")</f>
        <v>水曜日</v>
      </c>
      <c r="D32" s="6"/>
      <c r="E32" s="6" t="str">
        <f t="shared" si="9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393</v>
      </c>
      <c r="C33" s="6" t="str">
        <f>TEXT(VLOOKUP(LEFT(B33,FIND("月",B33)),基本シート!$E$6:$F$17,2,FALSE)&amp;B33,"aaaa")</f>
        <v>木曜日</v>
      </c>
      <c r="D33" s="6"/>
      <c r="E33" s="6" t="str">
        <f t="shared" si="9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394</v>
      </c>
      <c r="C34" s="6" t="str">
        <f>TEXT(VLOOKUP(LEFT(B34,FIND("月",B34)),基本シート!$E$6:$F$17,2,FALSE)&amp;B34,"aaaa")</f>
        <v>金曜日</v>
      </c>
      <c r="D34" s="6"/>
      <c r="E34" s="6" t="str">
        <f t="shared" si="9"/>
        <v/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/>
      <c r="C35" s="6"/>
      <c r="D35" s="6"/>
      <c r="E35" s="6" t="str">
        <f t="shared" si="9"/>
        <v/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/>
      <c r="C36" s="6"/>
      <c r="D36" s="6"/>
      <c r="E36" s="6" t="str">
        <f t="shared" si="9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4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11.809999999999999</v>
      </c>
      <c r="I38" s="3">
        <f t="shared" ref="I38:M38" si="15">SUM(I7:I36)</f>
        <v>352.64660000000009</v>
      </c>
      <c r="J38" s="3">
        <f t="shared" si="15"/>
        <v>8.8699999999999992</v>
      </c>
      <c r="K38" s="3">
        <f t="shared" si="15"/>
        <v>264.85820000000001</v>
      </c>
      <c r="L38" s="3">
        <f t="shared" si="15"/>
        <v>11.02</v>
      </c>
      <c r="M38" s="3">
        <f t="shared" si="15"/>
        <v>329.05720000000002</v>
      </c>
      <c r="N38" s="3">
        <f>SUM(N7:N37)</f>
        <v>9.15</v>
      </c>
      <c r="O38" s="3">
        <f t="shared" ref="O38:BZ38" si="16">SUM(O7:O37)</f>
        <v>273.21899999999999</v>
      </c>
      <c r="P38" s="3">
        <f t="shared" si="16"/>
        <v>10.43</v>
      </c>
      <c r="Q38" s="3">
        <f t="shared" si="16"/>
        <v>311.43979999999999</v>
      </c>
      <c r="R38" s="3">
        <f t="shared" si="16"/>
        <v>10.18</v>
      </c>
      <c r="S38" s="3">
        <f t="shared" si="16"/>
        <v>303.97480000000002</v>
      </c>
      <c r="T38" s="3">
        <f t="shared" si="16"/>
        <v>17.71</v>
      </c>
      <c r="U38" s="3">
        <f t="shared" si="16"/>
        <v>528.82060000000001</v>
      </c>
      <c r="V38" s="3">
        <f t="shared" si="16"/>
        <v>11.4</v>
      </c>
      <c r="W38" s="3">
        <f t="shared" si="16"/>
        <v>386.11400000000003</v>
      </c>
      <c r="X38" s="3">
        <f t="shared" si="16"/>
        <v>8.41</v>
      </c>
      <c r="Y38" s="3">
        <f t="shared" si="16"/>
        <v>283.04259999999994</v>
      </c>
      <c r="Z38" s="3">
        <f t="shared" si="16"/>
        <v>8.2799999999999994</v>
      </c>
      <c r="AA38" s="3">
        <f t="shared" si="16"/>
        <v>282.31079999999997</v>
      </c>
      <c r="AB38" s="3">
        <f t="shared" si="16"/>
        <v>7.6599999999999993</v>
      </c>
      <c r="AC38" s="3">
        <f t="shared" si="16"/>
        <v>261.3476</v>
      </c>
      <c r="AD38" s="3">
        <f t="shared" si="16"/>
        <v>9.5300000000000011</v>
      </c>
      <c r="AE38" s="3">
        <f t="shared" si="16"/>
        <v>325.72579999999999</v>
      </c>
      <c r="AF38" s="3">
        <f t="shared" si="16"/>
        <v>8.4700000000000006</v>
      </c>
      <c r="AG38" s="3">
        <f t="shared" si="16"/>
        <v>289.31420000000003</v>
      </c>
      <c r="AH38" s="3">
        <f t="shared" si="16"/>
        <v>10.17</v>
      </c>
      <c r="AI38" s="3">
        <f t="shared" si="16"/>
        <v>350.57620000000003</v>
      </c>
      <c r="AJ38" s="3">
        <f t="shared" si="16"/>
        <v>8.08</v>
      </c>
      <c r="AK38" s="3">
        <f t="shared" si="16"/>
        <v>276.2688</v>
      </c>
      <c r="AL38" s="3">
        <f t="shared" si="16"/>
        <v>21.709999999999997</v>
      </c>
      <c r="AM38" s="3">
        <f t="shared" si="16"/>
        <v>753.05060000000003</v>
      </c>
      <c r="AN38" s="3">
        <f t="shared" si="16"/>
        <v>23.849999999999998</v>
      </c>
      <c r="AO38" s="3">
        <f t="shared" si="16"/>
        <v>817.09099999999989</v>
      </c>
      <c r="AP38" s="3">
        <f t="shared" si="16"/>
        <v>21.2</v>
      </c>
      <c r="AQ38" s="3">
        <f t="shared" si="16"/>
        <v>709.89200000000005</v>
      </c>
      <c r="AR38" s="3">
        <f t="shared" si="16"/>
        <v>18.68</v>
      </c>
      <c r="AS38" s="3">
        <f t="shared" si="16"/>
        <v>611.75480000000016</v>
      </c>
      <c r="AT38" s="3">
        <f t="shared" si="16"/>
        <v>16.66</v>
      </c>
      <c r="AU38" s="3">
        <f t="shared" si="16"/>
        <v>548.98760000000004</v>
      </c>
      <c r="AV38" s="3">
        <f t="shared" si="16"/>
        <v>9.33</v>
      </c>
      <c r="AW38" s="3">
        <f t="shared" si="16"/>
        <v>326.40379999999999</v>
      </c>
      <c r="AX38" s="3">
        <f t="shared" si="16"/>
        <v>10.11</v>
      </c>
      <c r="AY38" s="3">
        <f t="shared" si="16"/>
        <v>301.88459999999998</v>
      </c>
      <c r="AZ38" s="3">
        <f t="shared" si="16"/>
        <v>8.16</v>
      </c>
      <c r="BA38" s="3">
        <f t="shared" si="16"/>
        <v>243.6576</v>
      </c>
      <c r="BB38" s="3">
        <f t="shared" si="16"/>
        <v>9.3999999999999986</v>
      </c>
      <c r="BC38" s="3">
        <f t="shared" si="16"/>
        <v>280.68400000000003</v>
      </c>
      <c r="BD38" s="3">
        <f t="shared" si="16"/>
        <v>290.27</v>
      </c>
      <c r="BE38" s="3">
        <f t="shared" si="16"/>
        <v>9413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0.02</v>
      </c>
      <c r="BN38" s="3">
        <f t="shared" si="16"/>
        <v>0.27999999999999997</v>
      </c>
      <c r="BO38" s="3">
        <f t="shared" si="16"/>
        <v>0.56000000000000005</v>
      </c>
      <c r="BP38" s="3">
        <f t="shared" si="16"/>
        <v>0.92</v>
      </c>
      <c r="BQ38" s="3">
        <f t="shared" si="16"/>
        <v>0.97</v>
      </c>
      <c r="BR38" s="3">
        <f t="shared" si="16"/>
        <v>0.78</v>
      </c>
      <c r="BS38" s="3">
        <f t="shared" si="16"/>
        <v>0.70000000000000007</v>
      </c>
      <c r="BT38" s="3">
        <f t="shared" si="16"/>
        <v>0.57000000000000006</v>
      </c>
      <c r="BU38" s="3">
        <f t="shared" si="16"/>
        <v>0.23</v>
      </c>
      <c r="BV38" s="3">
        <f t="shared" si="16"/>
        <v>0.01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0.31</v>
      </c>
      <c r="EC38" s="3">
        <f t="shared" si="17"/>
        <v>0.31</v>
      </c>
      <c r="ED38" s="3">
        <f t="shared" si="17"/>
        <v>0.31</v>
      </c>
      <c r="EE38" s="3">
        <f t="shared" si="17"/>
        <v>0.32</v>
      </c>
      <c r="EF38" s="3">
        <f t="shared" si="17"/>
        <v>0.31</v>
      </c>
      <c r="EG38" s="3">
        <f t="shared" si="17"/>
        <v>0.31000000000000005</v>
      </c>
      <c r="EH38" s="3">
        <f t="shared" si="17"/>
        <v>0.32</v>
      </c>
      <c r="EI38" s="3">
        <f t="shared" si="17"/>
        <v>0.21000000000000002</v>
      </c>
      <c r="EJ38" s="3">
        <f t="shared" si="17"/>
        <v>0.18000000000000002</v>
      </c>
      <c r="EK38" s="3">
        <f t="shared" si="17"/>
        <v>0.18</v>
      </c>
      <c r="EL38" s="3">
        <f t="shared" si="17"/>
        <v>0.24000000000000002</v>
      </c>
      <c r="EM38" s="3">
        <f t="shared" ref="EM38:GX38" si="18">SUM(EM7:EM37)</f>
        <v>0.16</v>
      </c>
      <c r="EN38" s="3">
        <f t="shared" si="18"/>
        <v>0.16</v>
      </c>
      <c r="EO38" s="3">
        <f t="shared" si="18"/>
        <v>0.16</v>
      </c>
      <c r="EP38" s="3">
        <f t="shared" si="18"/>
        <v>0.19000000000000003</v>
      </c>
      <c r="EQ38" s="3">
        <f t="shared" si="18"/>
        <v>0.19</v>
      </c>
      <c r="ER38" s="3">
        <f t="shared" si="18"/>
        <v>0.23</v>
      </c>
      <c r="ES38" s="3">
        <f t="shared" si="18"/>
        <v>0.31</v>
      </c>
      <c r="ET38" s="3">
        <f t="shared" si="18"/>
        <v>0.31</v>
      </c>
      <c r="EU38" s="3">
        <f t="shared" si="18"/>
        <v>0.31</v>
      </c>
      <c r="EV38" s="3">
        <f t="shared" si="18"/>
        <v>0.26</v>
      </c>
      <c r="EW38" s="3">
        <f t="shared" si="18"/>
        <v>0.27</v>
      </c>
      <c r="EX38" s="3">
        <f t="shared" si="18"/>
        <v>0.27</v>
      </c>
      <c r="EY38" s="3">
        <f t="shared" si="18"/>
        <v>0.26</v>
      </c>
      <c r="EZ38" s="3">
        <f t="shared" si="18"/>
        <v>6.0800000000000027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0.01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0.01</v>
      </c>
      <c r="FZ38" s="3">
        <f t="shared" si="18"/>
        <v>11.5</v>
      </c>
      <c r="GA38" s="3">
        <f t="shared" si="18"/>
        <v>8.56</v>
      </c>
      <c r="GB38" s="3">
        <f t="shared" si="18"/>
        <v>10.709999999999999</v>
      </c>
      <c r="GC38" s="3">
        <f t="shared" si="18"/>
        <v>8.83</v>
      </c>
      <c r="GD38" s="3">
        <f t="shared" si="18"/>
        <v>10.120000000000001</v>
      </c>
      <c r="GE38" s="3">
        <f t="shared" si="18"/>
        <v>9.870000000000001</v>
      </c>
      <c r="GF38" s="3">
        <f t="shared" si="18"/>
        <v>17.39</v>
      </c>
      <c r="GG38" s="3">
        <f t="shared" si="18"/>
        <v>11.21</v>
      </c>
      <c r="GH38" s="3">
        <f t="shared" si="18"/>
        <v>8.51</v>
      </c>
      <c r="GI38" s="3">
        <f t="shared" si="18"/>
        <v>8.66</v>
      </c>
      <c r="GJ38" s="3">
        <f t="shared" si="18"/>
        <v>8.34</v>
      </c>
      <c r="GK38" s="3">
        <f t="shared" si="18"/>
        <v>10.339999999999998</v>
      </c>
      <c r="GL38" s="3">
        <f t="shared" si="18"/>
        <v>9.09</v>
      </c>
      <c r="GM38" s="3">
        <f t="shared" si="18"/>
        <v>10.72</v>
      </c>
      <c r="GN38" s="3">
        <f t="shared" si="18"/>
        <v>8.4600000000000009</v>
      </c>
      <c r="GO38" s="3">
        <f t="shared" si="18"/>
        <v>21.75</v>
      </c>
      <c r="GP38" s="3">
        <f t="shared" si="18"/>
        <v>23.63</v>
      </c>
      <c r="GQ38" s="3">
        <f t="shared" si="18"/>
        <v>20.889999999999997</v>
      </c>
      <c r="GR38" s="3">
        <f t="shared" si="18"/>
        <v>18.37</v>
      </c>
      <c r="GS38" s="3">
        <f t="shared" si="18"/>
        <v>16.350000000000001</v>
      </c>
      <c r="GT38" s="3">
        <f t="shared" si="18"/>
        <v>9.0699999999999985</v>
      </c>
      <c r="GU38" s="3">
        <f t="shared" si="18"/>
        <v>9.84</v>
      </c>
      <c r="GV38" s="3">
        <f t="shared" si="18"/>
        <v>7.8900000000000006</v>
      </c>
      <c r="GW38" s="3">
        <f t="shared" si="18"/>
        <v>9.14</v>
      </c>
      <c r="GX38" s="3">
        <f t="shared" si="18"/>
        <v>289.23999999999995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5" priority="92" percent="1" rank="10"/>
  </conditionalFormatting>
  <conditionalFormatting sqref="AZ7 H7 J7 L7 N7 P7 R7 T7 V7 X7 Z7 AB7 AD7 AF7 AH7 AJ7 AL7 AN7 AP7 AR7 AT7 AV7 AX7">
    <cfRule type="top10" dxfId="274" priority="91" percent="1" rank="10"/>
  </conditionalFormatting>
  <conditionalFormatting sqref="FA7:FX7 FZ7:GW7">
    <cfRule type="top10" dxfId="273" priority="90" percent="1" rank="10"/>
  </conditionalFormatting>
  <conditionalFormatting sqref="H8 J8 L8 N8 P8 R8 T8 V8 X8 Z8 AB8 AD8 AF8 AH8 AJ8 AL8 AN8 AP8 AR8 AT8 AV8 AX8 AZ8 BB8">
    <cfRule type="top10" dxfId="272" priority="89" percent="1" rank="10"/>
  </conditionalFormatting>
  <conditionalFormatting sqref="H9 J9 L9 N9 P9 R9 T9 V9 X9 Z9 AB9 AD9 AF9 AH9 AJ9 AL9 AN9 AP9 AR9 AT9 AV9 AZ9 AX9 BB9">
    <cfRule type="top10" dxfId="271" priority="88" percent="1" rank="10"/>
  </conditionalFormatting>
  <conditionalFormatting sqref="J10 H10 L10 N10 P10 R10 T10 V10 X10 Z10 AB10 AD10 AF10 AH10 AJ10 AL10 AN10 AP10 AR10 AT10 AV10 AX10 AZ10 BB10">
    <cfRule type="top10" dxfId="270" priority="87" percent="1" rank="10"/>
  </conditionalFormatting>
  <conditionalFormatting sqref="BB11 AZ11 AX11 AV11 AT11 AR11 AP11 AN11 AL11 AJ11 AH11 AF11 AD11 AB11 Z11 X11 V11 T11 R11 P11 N11 L11 J11 H11">
    <cfRule type="top10" dxfId="269" priority="86" percent="1" rank="10"/>
  </conditionalFormatting>
  <conditionalFormatting sqref="BB12 AZ12 AX12 AV12 AT12 AR12 AP12 AN12 AL12 AJ12 AH12 AF12 AD12 AB12 Z12 X12 V12 T12 R12 P12 N12 L12 J12 H12">
    <cfRule type="top10" dxfId="268" priority="85" percent="1" rank="10"/>
  </conditionalFormatting>
  <conditionalFormatting sqref="H13 J13 L13 N13 P13 R13 T13 V13 X13 Z13 AB13 AD13 AF13 AH13 AJ13 AL13 AN13 AP13 AR13 AT13 AV13 AX13 AZ13 BB13">
    <cfRule type="top10" dxfId="267" priority="84" percent="1" rank="10"/>
  </conditionalFormatting>
  <conditionalFormatting sqref="BB14 AZ14 AX14 AV14 AT14 AR14 AP14 AL14 AN14 AJ14 AH14 AF14 AD14 AB14 Z14 X14 V14 T14 R14 P14 N14 L14 J14 H14">
    <cfRule type="top10" dxfId="266" priority="83" percent="1" rank="10"/>
  </conditionalFormatting>
  <conditionalFormatting sqref="H15 J15 L15 N15 P15 R15 T15 V15 X15 Z15 AB15 AD15 AF15 AH15 AJ15 AL15 AN15 AP15 AR15 AT15 AV15 AX15 AZ15 BB15">
    <cfRule type="top10" dxfId="265" priority="82" percent="1" rank="10"/>
  </conditionalFormatting>
  <conditionalFormatting sqref="BB16 AZ16 AX16 AV16 AT16 AR16 AP16 AN16 AL16 AJ16 AH16 AF16 AD16 AB16 Z16 X16 V16 T16 R16 P16 N16 L16 J16 H16">
    <cfRule type="top10" dxfId="264" priority="81" percent="1" rank="10"/>
  </conditionalFormatting>
  <conditionalFormatting sqref="H17 J17 L17 N17 P17 R17 T17 V17 X17 Z17 AB17 AD17 AF17 AH17 AJ17 AL17 AN17 AP17 AR17 AT17 AV17 AX17 AZ17 BB17">
    <cfRule type="top10" dxfId="263" priority="80" percent="1" rank="10"/>
  </conditionalFormatting>
  <conditionalFormatting sqref="H18 J18 L18 N18 P18 R18 T18 V18 X18 Z18 AB18 AD18 AF18 AH18 AJ18 AL18 AN18 AP18 AR18 AT18 AV18 AX18 AZ18 BB18">
    <cfRule type="top10" dxfId="262" priority="79" percent="1" rank="10"/>
  </conditionalFormatting>
  <conditionalFormatting sqref="BB19 AZ19 AX19 AV19 AT19 AR19 AP19 AN19 AL19 AJ19 AH19 AF19 AD19 AB19 Z19 X19 V19 T19 R19 P19 N19 L19 J19 H19">
    <cfRule type="top10" dxfId="261" priority="78" percent="1" rank="10"/>
  </conditionalFormatting>
  <conditionalFormatting sqref="H20 J20 N20 L20 P20 R20 T20 X20 V20 Z20 AB20 AD20 AF20 AH20 AJ20 AL20 AN20 AP20 AR20 AT20 AV20 AX20 AZ20 BB20">
    <cfRule type="top10" dxfId="260" priority="77" percent="1" rank="10"/>
  </conditionalFormatting>
  <conditionalFormatting sqref="BB21 AZ21 AX21 AV21 AT21 AR21 AP21 AN21 AL21 AJ21 AH21 AF21 AD21 AB21 Z21 X21 V21 T21 R21 P21 N21 L21 J21 H21">
    <cfRule type="top10" dxfId="259" priority="76" percent="1" rank="10"/>
  </conditionalFormatting>
  <conditionalFormatting sqref="H22 J22 L22 N22 P22 R22 T22 V22 X22 Z22 AB22 AD22 AF22 AH22 AJ22 AL22 AN22 AP22 AR22 AT22 AV22 AX22 AZ22 BB22">
    <cfRule type="top10" dxfId="258" priority="75" percent="1" rank="10"/>
  </conditionalFormatting>
  <conditionalFormatting sqref="BB23 AZ23 AX23 AV23 AT23 AR23 AP23 AN23 AL23 AJ23 AH23 AF23 AD23 AB23 Z23 X23 V23 T23 R23 P23 N23 L23 J23 H23">
    <cfRule type="top10" dxfId="257" priority="74" percent="1" rank="10"/>
  </conditionalFormatting>
  <conditionalFormatting sqref="H24 J24 L24 N24 P24 R24 T24 V24 X24 Z24 AB24 AD24 AF24 AH24 AJ24 AL24 AN24 AP24 AR24 AT24 AV24 AX24 AZ24 BB24">
    <cfRule type="top10" dxfId="256" priority="73" percent="1" rank="10"/>
  </conditionalFormatting>
  <conditionalFormatting sqref="BB25 AZ25 AX25 AV25 AT25 AR25 AP25 AN25 AL25 AJ25 AH25 AF25 AD25 AB25 Z25 X25 V25 T25 R25 P25 N25 L25 J25 H25">
    <cfRule type="top10" dxfId="255" priority="72" percent="1" rank="10"/>
  </conditionalFormatting>
  <conditionalFormatting sqref="BB26 AZ26 AX26 AV26 AT26 AR26 AP26 AN26 AL26 AJ26 AH26 AF26 AD26 AB26 Z26 X26 V26 T26 R26 P26 N26 L26 J26 H26">
    <cfRule type="top10" dxfId="254" priority="71" percent="1" rank="10"/>
  </conditionalFormatting>
  <conditionalFormatting sqref="H27 J27 L27 N27 P27 R27 T27 V27 X27 Z27 AB27 AD27 AF27 AH27 AJ27 AL27 AN27 AP27 AR27 AT27 AV27 AX27 AZ27 BB27">
    <cfRule type="top10" dxfId="253" priority="70" percent="1" rank="10"/>
  </conditionalFormatting>
  <conditionalFormatting sqref="BB28 AZ28 AX28 AV28 AT28 AR28 AP28 AN28 AL28 AJ28 AH28 AF28 AD28 AB28 Z28 X28 V28 T28 R28 P28 N28 L28 J28 H28">
    <cfRule type="top10" dxfId="252" priority="69" percent="1" rank="10"/>
  </conditionalFormatting>
  <conditionalFormatting sqref="BB29 AZ29 AX29 AV29 AT29 AR29 AP29 AN29 AL29 AJ29 AH29 AF29 AD29 AB29 Z29 X29 V29 T29 R29 P29 N29 L29 J29 H29">
    <cfRule type="top10" dxfId="251" priority="68" percent="1" rank="10"/>
  </conditionalFormatting>
  <conditionalFormatting sqref="H30 J30 L30 N30 P30 R30 T30 V30 X30 Z30 AB30 AD30 AF30 AH30 AJ30 AL30 AN30 AP30 AR30 AT30 AV30 AX30 AZ30 BB30">
    <cfRule type="top10" dxfId="250" priority="67" percent="1" rank="10"/>
  </conditionalFormatting>
  <conditionalFormatting sqref="BB31 AZ31 AX31 AV31 AT31 AR31 AP31 AN31 AL31 AJ31 AH31 AF31 AD31 AB31 Z31 X31 V31 T31 R31 P31 N31 L31 J31 H31">
    <cfRule type="top10" dxfId="249" priority="66" percent="1" rank="10"/>
  </conditionalFormatting>
  <conditionalFormatting sqref="H32 J32 L32 N32 P32 R32 T32 V32 X32 Z32 AB32 AD32 AF32 AH32 AJ32 AL32 AN32 AP32 AR32 AT32 AV32 AX32 AZ32 BB32">
    <cfRule type="top10" dxfId="248" priority="65" percent="1" rank="10"/>
  </conditionalFormatting>
  <conditionalFormatting sqref="BB33 AZ33 AX33 AV33 AT33 AR33 AP33 AN33 AL33 AJ33 AH33 AF33 AD33 AB33 Z33 X33 V33 T33 R33 P33 N33 L33 J33 H33">
    <cfRule type="top10" dxfId="247" priority="64" percent="1" rank="10"/>
  </conditionalFormatting>
  <conditionalFormatting sqref="H34 J34 L34 N34 P34 R34 T34 V34 X34 Z34 AB34 AD34 AF34 AH34 AJ34 AL34 AN34 AP34 AR34 AT34 AV34 AX34 AZ34 BB34">
    <cfRule type="top10" dxfId="246" priority="63" percent="1" rank="10"/>
  </conditionalFormatting>
  <conditionalFormatting sqref="BB35 AZ35 AV35 AX35 AT35 AR35 AP35 AN35 AL35 AJ35 AH35 AF35 AD35 AB35 Z35 X35 V35 T35 R35 P35 N35 L35 J35 H35">
    <cfRule type="top10" dxfId="24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4" priority="61" percent="1" rank="10"/>
  </conditionalFormatting>
  <conditionalFormatting sqref="BD7:BD37">
    <cfRule type="top10" dxfId="243" priority="60" percent="1" rank="10"/>
  </conditionalFormatting>
  <conditionalFormatting sqref="BC8 BA8 AY8 AW8 AU8 AS8 AQ8 AO8 AM8 AK8 AI8 AG8 AE8 AC8 AA8 Y8 W8 U8 S8 Q8 O8 M8 K8 I8">
    <cfRule type="top10" dxfId="242" priority="59" percent="1" rank="10"/>
  </conditionalFormatting>
  <conditionalFormatting sqref="I9 K9 M9 O9 Q9 S9 U9 W9 Y9 AA9 AC9 AE9 AG9 AI9 AK9 AM9 AO9 AQ9 AS9 AU9 AW9 AY9 BA9 BC9">
    <cfRule type="top10" dxfId="241" priority="58" percent="1" rank="10"/>
  </conditionalFormatting>
  <conditionalFormatting sqref="I10 K10 M10 Q10 O10 S10 W10 U10 Y10 AA10 AC10 AE10 AG10 AI10 AK10 AM10 AO10 AQ10 AS10 AU10 AW10 AY10 BA10 BC10">
    <cfRule type="top10" dxfId="240" priority="57" percent="1" rank="10"/>
  </conditionalFormatting>
  <conditionalFormatting sqref="BC11 BA11 AY11 AW11 AU11 AS11 AQ11 AO11 AM11 AK11 AI11 AG11 AE11 AC11 AA11 Y11 W11 U11 S11 Q11 O11 M11 K11 I11">
    <cfRule type="top10" dxfId="239" priority="56" percent="1" rank="10"/>
  </conditionalFormatting>
  <conditionalFormatting sqref="I12 K12 M12 O12 Q12 S12 U12 Y12 W12 AA12 AC12 AE12 AG12 AI12 AK12 AM12 AO12 AQ12 AS12 AU12 AW12 AY12 BA12 BC12">
    <cfRule type="top10" dxfId="238" priority="55" percent="1" rank="10"/>
  </conditionalFormatting>
  <conditionalFormatting sqref="BC13 BA13 AY13 AW13 AU13 AS13 AQ13 AO13 AM13 AK13 AI13 AG13 AE13 AC13 AA13 Y13 W13 U13 S13 Q13 O13 M13 K13 I13">
    <cfRule type="top10" dxfId="237" priority="54" percent="1" rank="10"/>
  </conditionalFormatting>
  <conditionalFormatting sqref="BC14 BA14 AY14 AW14 AU14 AS14 AQ14 AO14 AM14 AK14 AI14 AG14 AE14 AC14 AA14 Y14 W14 U14 S14 Q14 O14 M14 K14 I14">
    <cfRule type="top10" dxfId="236" priority="53" percent="1" rank="10"/>
  </conditionalFormatting>
  <conditionalFormatting sqref="I15 K15 M15 O15 Q15 S15 U15 W15 Y15 AA15 AC15 AE15 AG15 AI15 AK15 AM15 AO15 AQ15 AS15 AU15 AW15 AY15 BA15 BC15">
    <cfRule type="top10" dxfId="235" priority="52" percent="1" rank="10"/>
  </conditionalFormatting>
  <conditionalFormatting sqref="BC16 BA16 AY16 AW16 AU16 AS16 AQ16 AO16 AM16 AK16 AI16 AG16 AE16 AC16 AA16 Y16 W16 U16 S16 Q16 O16 M16 K16 I16">
    <cfRule type="top10" dxfId="234" priority="51" percent="1" rank="10"/>
  </conditionalFormatting>
  <conditionalFormatting sqref="I17 K17 M17 O17 Q17 U17 S17 W17 Y17 AA17 AC17 AE17 AG17 AI17 AK17 AM17 AO17 AQ17 AS17 AU17 AW17 AY17 BA17 BC17">
    <cfRule type="top10" dxfId="233" priority="50" percent="1" rank="10"/>
  </conditionalFormatting>
  <conditionalFormatting sqref="BC18 BA18 AY18 AW18 AU18 AS18 AQ18 AO18 AM18 AK18 AI18 AG18 AE18 AC18 AA18 Y18 W18 U18 S18 Q18 O18 M18 K18 I18">
    <cfRule type="top10" dxfId="232" priority="49" percent="1" rank="10"/>
  </conditionalFormatting>
  <conditionalFormatting sqref="I19 K19 M19 O19 Q19 S19 U19 W19 Y19 AA19 AC19 AE19 AG19 AI19 AK19 AM19 AO19 AQ19 AS19 AU19 AW19 AY19 BA19 BC19">
    <cfRule type="top10" dxfId="231" priority="48" percent="1" rank="10"/>
  </conditionalFormatting>
  <conditionalFormatting sqref="BC20 BA20 AY20 AW20 AU20 AS20 AQ20 AO20 AM20 AK20 AI20 AG20 AE20 AC20 AA20 W20 Y20 U20 S20 Q20 O20 M20 K20 I20">
    <cfRule type="top10" dxfId="230" priority="47" percent="1" rank="10"/>
  </conditionalFormatting>
  <conditionalFormatting sqref="I21 K21 M21 O21 Q21 S21 U21 W21 Y21 AA21 AC21 AE21 AG21 AI21 AK21 AM21 AO21 AQ21 AS21 AU21 AW21 AY21 BA21 BC21">
    <cfRule type="top10" dxfId="229" priority="46" percent="1" rank="10"/>
  </conditionalFormatting>
  <conditionalFormatting sqref="BC22 BA22 AY22 AW22 AU22 AS22 AQ22 AO22 AM22 AK22 AI22 AG22 AE22 AC22 AA22 Y22 W22 U22 S22 Q22 O22 M22 K22 I22">
    <cfRule type="top10" dxfId="228" priority="45" percent="1" rank="10"/>
  </conditionalFormatting>
  <conditionalFormatting sqref="I23 K23 O23 M23 Q23 S23 U23 W23 Y23 AA23 AC23 AE23 AG23 AI23 AK23 AM23 AO23 AQ23 AS23 AU23 AW23 AY23 BA23 BC23">
    <cfRule type="top10" dxfId="227" priority="44" percent="1" rank="10"/>
  </conditionalFormatting>
  <conditionalFormatting sqref="BC24 BA24 AY24 AW24 AU24 AS24 AQ24 AO24 AM24 AK24 AI24 AG24 AE24 AC24 AA24 Y24 W24 U24 S24 Q24 O24 M24 K24 I24">
    <cfRule type="top10" dxfId="226" priority="43" percent="1" rank="10"/>
  </conditionalFormatting>
  <conditionalFormatting sqref="I25 K25 M25 O25 Q25 S25 U25 W25 Y25 AA25 AC25 AE25 AG25 AI25 AK25 AM25 AO25 AQ25 AS25 AU25 AW25 AY25 BA25 BC25">
    <cfRule type="top10" dxfId="225" priority="42" percent="1" rank="10"/>
  </conditionalFormatting>
  <conditionalFormatting sqref="BC26 BA26 AY26 AW26 AU26 AS26 AQ26 AO26 AM26 AK26 AI26 AG26 AE26 AC26 AA26 Y26 W26 U26 S26 Q26 O26 M26 K26 I26">
    <cfRule type="top10" dxfId="224" priority="41" percent="1" rank="10"/>
  </conditionalFormatting>
  <conditionalFormatting sqref="I27 K27 M27 O27 Q27 S27 U27 W27 Y27 AA27 AC27 AE27 AG27 AI27 AK27 AM27 AO27 AQ27 AS27 AU27 AW27 AY27 BA27 BC27">
    <cfRule type="top10" dxfId="223" priority="40" percent="1" rank="10"/>
  </conditionalFormatting>
  <conditionalFormatting sqref="BC28 BA28 AY28 AW28 AU28 AS28 AQ28 AO28 AM28 AK28 AI28 AG28 AE28 AC28 AA28 Y28 W28 U28 S28 Q28 O28 M28 K28 I28">
    <cfRule type="top10" dxfId="222" priority="39" percent="1" rank="10"/>
  </conditionalFormatting>
  <conditionalFormatting sqref="I29 K29 M29 Q29 O29 S29 U29 Y29 W29 AA29 AC29 AE29 AG29 AI29 AK29 AM29 AO29 AQ29 AS29 AU29 AW29 AY29 BA29 BC29">
    <cfRule type="top10" dxfId="221" priority="38" percent="1" rank="10"/>
  </conditionalFormatting>
  <conditionalFormatting sqref="BC30 BA30 AY30 AW30 AU30 AS30 AQ30 AO30 AM30 AK30 AI30 AE30 AG30 AC30 AA30 Y30 W30 U30 S30 Q30 O30 M30 K30 I30">
    <cfRule type="top10" dxfId="220" priority="37" percent="1" rank="10"/>
  </conditionalFormatting>
  <conditionalFormatting sqref="I31 K31 M31 O31 Q31 S31 W31 U31 Y31 AC31 AA31 AE31 AG31 AI31 AK31 AM31 AO31 AQ31 AS31 AU31 AW31 AY31 BA31 BC31">
    <cfRule type="top10" dxfId="219" priority="36" percent="1" rank="10"/>
  </conditionalFormatting>
  <conditionalFormatting sqref="BC32 BA32 AY32 AW32 AU32 AS32 AQ32 AO32 AM32 AK32 AI32 AG32 AE32 AC32 AA32 Y32 W32 U32 S32 Q32 O32 M32 K32 I32">
    <cfRule type="top10" dxfId="218" priority="35" percent="1" rank="10"/>
  </conditionalFormatting>
  <conditionalFormatting sqref="I33 K33 M33 O33 Q33 S33 U33 W33 Y33 AA33 AC33 AE33 AG33 AI33 AK33 AM33 AQ33 AO33 AS33 AU33 AW33 AY33 BA33 BC33">
    <cfRule type="top10" dxfId="217" priority="34" percent="1" rank="10"/>
  </conditionalFormatting>
  <conditionalFormatting sqref="BC34 BA34 AY34 AW34 AU34 AS34 AQ34 AO34 AM34 AK34 AI34 AG34 AE34 AC34 AA34 Y34 W34 U34 S34 Q34 O34 M34 K34 I34">
    <cfRule type="top10" dxfId="216" priority="33" percent="1" rank="10"/>
  </conditionalFormatting>
  <conditionalFormatting sqref="I35 K35 M35 O35 Q35 S35 U35 W35 Y35 AA35 AC35 AE35 AG35 AI35 AK35 AM35 AO35 AQ35 AS35 AU35 AW35 AY35 BA35 BC35">
    <cfRule type="top10" dxfId="21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4" priority="31" percent="1" rank="10"/>
  </conditionalFormatting>
  <conditionalFormatting sqref="FZ8:GW8">
    <cfRule type="top10" dxfId="213" priority="30" percent="1" rank="10"/>
  </conditionalFormatting>
  <conditionalFormatting sqref="FZ9:GW9">
    <cfRule type="top10" dxfId="212" priority="29" percent="1" rank="10"/>
  </conditionalFormatting>
  <conditionalFormatting sqref="FZ10:GW10">
    <cfRule type="top10" dxfId="211" priority="28" percent="1" rank="10"/>
  </conditionalFormatting>
  <conditionalFormatting sqref="FZ11:GW11">
    <cfRule type="top10" dxfId="210" priority="27" percent="1" rank="10"/>
  </conditionalFormatting>
  <conditionalFormatting sqref="FZ12:GW12">
    <cfRule type="top10" dxfId="209" priority="26" percent="1" rank="10"/>
  </conditionalFormatting>
  <conditionalFormatting sqref="FZ13:GW13">
    <cfRule type="top10" dxfId="208" priority="25" percent="1" rank="10"/>
  </conditionalFormatting>
  <conditionalFormatting sqref="GX7:GX37">
    <cfRule type="top10" dxfId="207" priority="24" percent="1" rank="10"/>
  </conditionalFormatting>
  <conditionalFormatting sqref="FZ14:GW14">
    <cfRule type="top10" dxfId="206" priority="23" percent="1" rank="10"/>
  </conditionalFormatting>
  <conditionalFormatting sqref="FZ15:GW15">
    <cfRule type="top10" dxfId="205" priority="22" percent="1" rank="10"/>
  </conditionalFormatting>
  <conditionalFormatting sqref="FZ16:GW16">
    <cfRule type="top10" dxfId="204" priority="21" percent="1" rank="10"/>
  </conditionalFormatting>
  <conditionalFormatting sqref="FZ17:GW17">
    <cfRule type="top10" dxfId="203" priority="20" percent="1" rank="10"/>
  </conditionalFormatting>
  <conditionalFormatting sqref="FZ18:GW18">
    <cfRule type="top10" dxfId="202" priority="19" percent="1" rank="10"/>
  </conditionalFormatting>
  <conditionalFormatting sqref="FZ19:GW19">
    <cfRule type="top10" dxfId="201" priority="18" percent="1" rank="10"/>
  </conditionalFormatting>
  <conditionalFormatting sqref="FZ20:GW20">
    <cfRule type="top10" dxfId="200" priority="17" percent="1" rank="10"/>
  </conditionalFormatting>
  <conditionalFormatting sqref="FZ21:GW21">
    <cfRule type="top10" dxfId="199" priority="16" percent="1" rank="10"/>
  </conditionalFormatting>
  <conditionalFormatting sqref="FZ22:GW22">
    <cfRule type="top10" dxfId="198" priority="15" percent="1" rank="10"/>
  </conditionalFormatting>
  <conditionalFormatting sqref="FZ23:GW23">
    <cfRule type="top10" dxfId="197" priority="14" percent="1" rank="10"/>
  </conditionalFormatting>
  <conditionalFormatting sqref="FZ24:GW24">
    <cfRule type="top10" dxfId="196" priority="13" percent="1" rank="10"/>
  </conditionalFormatting>
  <conditionalFormatting sqref="FZ25:GW25">
    <cfRule type="top10" dxfId="195" priority="12" percent="1" rank="10"/>
  </conditionalFormatting>
  <conditionalFormatting sqref="FZ26:GW26">
    <cfRule type="top10" dxfId="194" priority="11" percent="1" rank="10"/>
  </conditionalFormatting>
  <conditionalFormatting sqref="FZ27:GW27">
    <cfRule type="top10" dxfId="193" priority="10" percent="1" rank="10"/>
  </conditionalFormatting>
  <conditionalFormatting sqref="FZ28:GW28">
    <cfRule type="top10" dxfId="192" priority="9" percent="1" rank="10"/>
  </conditionalFormatting>
  <conditionalFormatting sqref="FZ29:GW29">
    <cfRule type="top10" dxfId="191" priority="8" percent="1" rank="10"/>
  </conditionalFormatting>
  <conditionalFormatting sqref="FZ30:GW30">
    <cfRule type="top10" dxfId="190" priority="7" percent="1" rank="10"/>
  </conditionalFormatting>
  <conditionalFormatting sqref="FZ31:GW31">
    <cfRule type="top10" dxfId="189" priority="6" percent="1" rank="10"/>
  </conditionalFormatting>
  <conditionalFormatting sqref="FZ32:GW32">
    <cfRule type="top10" dxfId="188" priority="5" percent="1" rank="10"/>
  </conditionalFormatting>
  <conditionalFormatting sqref="FZ33:GW33">
    <cfRule type="top10" dxfId="187" priority="4" percent="1" rank="10"/>
  </conditionalFormatting>
  <conditionalFormatting sqref="FZ34:GW34">
    <cfRule type="top10" dxfId="186" priority="3" percent="1" rank="10"/>
  </conditionalFormatting>
  <conditionalFormatting sqref="FZ35:GW35">
    <cfRule type="top10" dxfId="185" priority="2" percent="1" rank="10"/>
  </conditionalFormatting>
  <conditionalFormatting sqref="FZ36:GW37">
    <cfRule type="top10" dxfId="184" priority="1" percent="1" rank="10"/>
  </conditionalFormatting>
  <dataValidations count="1">
    <dataValidation type="list" allowBlank="1" showInputMessage="1" showErrorMessage="1" sqref="A1" xr:uid="{85587AF8-06D2-4C65-9887-1E91B760B3E7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F10" sqref="F10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195</v>
      </c>
      <c r="C6" s="3" t="s">
        <v>8</v>
      </c>
      <c r="D6" s="3" t="s">
        <v>199</v>
      </c>
      <c r="E6" s="3"/>
      <c r="F6" s="3" t="s">
        <v>200</v>
      </c>
      <c r="G6" s="3" t="s">
        <v>201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266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197</v>
      </c>
      <c r="G7" s="6" t="s">
        <v>261</v>
      </c>
      <c r="H7" s="3">
        <v>-2.5300000000000002</v>
      </c>
      <c r="I7" s="3">
        <v>-75.672300000000007</v>
      </c>
      <c r="J7" s="3">
        <v>0.29000000000000004</v>
      </c>
      <c r="K7" s="3">
        <v>8.6738999999999997</v>
      </c>
      <c r="L7" s="3">
        <v>0.26</v>
      </c>
      <c r="M7" s="3">
        <v>7.776600000000002</v>
      </c>
      <c r="N7" s="3">
        <v>0.27</v>
      </c>
      <c r="O7" s="3">
        <v>8.0757000000000012</v>
      </c>
      <c r="P7" s="3">
        <v>0.31000000000000005</v>
      </c>
      <c r="Q7" s="3">
        <v>9.2721000000000018</v>
      </c>
      <c r="R7" s="3">
        <v>1.3399999999999999</v>
      </c>
      <c r="S7" s="3">
        <v>40.079399999999993</v>
      </c>
      <c r="T7" s="3">
        <v>0.41999999999999993</v>
      </c>
      <c r="U7" s="3">
        <v>12.562199999999997</v>
      </c>
      <c r="V7" s="3">
        <v>-0.57000000000000006</v>
      </c>
      <c r="W7" s="3">
        <v>-21.078600000000002</v>
      </c>
      <c r="X7" s="3">
        <v>0.63</v>
      </c>
      <c r="Y7" s="3">
        <v>23.297399999999996</v>
      </c>
      <c r="Z7" s="3">
        <v>0.79</v>
      </c>
      <c r="AA7" s="3">
        <v>29.214199999999998</v>
      </c>
      <c r="AB7" s="3">
        <v>0.61</v>
      </c>
      <c r="AC7" s="3">
        <v>22.557799999999997</v>
      </c>
      <c r="AD7" s="3">
        <v>0.56999999999999995</v>
      </c>
      <c r="AE7" s="3">
        <v>21.078599999999998</v>
      </c>
      <c r="AF7" s="3">
        <v>0.55000000000000004</v>
      </c>
      <c r="AG7" s="3">
        <v>20.338999999999999</v>
      </c>
      <c r="AH7" s="3">
        <v>1.35</v>
      </c>
      <c r="AI7" s="3">
        <v>49.923000000000002</v>
      </c>
      <c r="AJ7" s="3">
        <v>0.59</v>
      </c>
      <c r="AK7" s="3">
        <v>21.818199999999997</v>
      </c>
      <c r="AL7" s="3">
        <v>1.03</v>
      </c>
      <c r="AM7" s="3">
        <v>38.089399999999998</v>
      </c>
      <c r="AN7" s="3">
        <v>2.75</v>
      </c>
      <c r="AO7" s="3">
        <v>101.69499999999999</v>
      </c>
      <c r="AP7" s="3">
        <v>2.37</v>
      </c>
      <c r="AQ7" s="3">
        <v>87.642599999999987</v>
      </c>
      <c r="AR7" s="3">
        <v>-0.33000000000000007</v>
      </c>
      <c r="AS7" s="3">
        <v>-12.203400000000002</v>
      </c>
      <c r="AT7" s="3">
        <v>-0.72</v>
      </c>
      <c r="AU7" s="3">
        <v>-26.625599999999999</v>
      </c>
      <c r="AV7" s="3">
        <v>-0.50000000000000011</v>
      </c>
      <c r="AW7" s="3">
        <v>-18.490000000000006</v>
      </c>
      <c r="AX7" s="3">
        <v>-2.14</v>
      </c>
      <c r="AY7" s="3">
        <v>-64.007400000000004</v>
      </c>
      <c r="AZ7" s="3">
        <v>0.56000000000000005</v>
      </c>
      <c r="BA7" s="3">
        <v>16.749600000000001</v>
      </c>
      <c r="BB7" s="3">
        <v>-2.7800000000000002</v>
      </c>
      <c r="BC7" s="3">
        <v>-83.149799999999999</v>
      </c>
      <c r="BD7" s="3">
        <v>5.1199999999999974</v>
      </c>
      <c r="BE7" s="3">
        <v>218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-7.0000000000000007E-2</v>
      </c>
      <c r="BN7" s="3">
        <v>-0.43</v>
      </c>
      <c r="BO7" s="3">
        <v>-1.99</v>
      </c>
      <c r="BP7" s="3">
        <v>-5.36</v>
      </c>
      <c r="BQ7" s="3">
        <v>-6.4799999999999995</v>
      </c>
      <c r="BR7" s="3">
        <v>-6.26</v>
      </c>
      <c r="BS7" s="3">
        <v>-5.94</v>
      </c>
      <c r="BT7" s="3">
        <v>-4.29</v>
      </c>
      <c r="BU7" s="3">
        <v>-2.36</v>
      </c>
      <c r="BV7" s="3">
        <v>-0.28000000000000003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-0.24</v>
      </c>
      <c r="CU7" s="3">
        <v>-3.84</v>
      </c>
      <c r="CV7" s="3">
        <v>-1.77</v>
      </c>
      <c r="CW7" s="3">
        <v>-28.32</v>
      </c>
      <c r="CX7" s="3">
        <v>-5.17</v>
      </c>
      <c r="CY7" s="3">
        <v>-82.72</v>
      </c>
      <c r="CZ7" s="3">
        <v>-6.18</v>
      </c>
      <c r="DA7" s="3">
        <v>-98.88</v>
      </c>
      <c r="DB7" s="3">
        <v>-5.08</v>
      </c>
      <c r="DC7" s="3">
        <v>-81.28</v>
      </c>
      <c r="DD7" s="3">
        <v>-5.55</v>
      </c>
      <c r="DE7" s="3">
        <v>-88.8</v>
      </c>
      <c r="DF7" s="3">
        <v>-3.87</v>
      </c>
      <c r="DG7" s="3">
        <v>-61.92</v>
      </c>
      <c r="DH7" s="3">
        <v>-0.56999999999999995</v>
      </c>
      <c r="DI7" s="3">
        <v>-9.1199999999999992</v>
      </c>
      <c r="DJ7" s="3">
        <v>-0.01</v>
      </c>
      <c r="DK7" s="3">
        <v>-0.16</v>
      </c>
      <c r="DL7" s="3">
        <v>-0.01</v>
      </c>
      <c r="DM7" s="3">
        <v>-0.16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-28.450000000000003</v>
      </c>
      <c r="EA7" s="3">
        <v>-455</v>
      </c>
      <c r="EB7" s="3">
        <v>-1.9699999999999998</v>
      </c>
      <c r="EC7" s="3">
        <v>0</v>
      </c>
      <c r="ED7" s="3">
        <v>1.0000000000000002E-2</v>
      </c>
      <c r="EE7" s="3">
        <v>1.0000000000000002E-2</v>
      </c>
      <c r="EF7" s="3">
        <v>0</v>
      </c>
      <c r="EG7" s="3">
        <v>1.0000000000000002E-2</v>
      </c>
      <c r="EH7" s="3">
        <v>0.02</v>
      </c>
      <c r="EI7" s="3">
        <v>1.9999999999999997E-2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1.0000000000000002E-2</v>
      </c>
      <c r="EV7" s="3">
        <v>0.02</v>
      </c>
      <c r="EW7" s="3">
        <v>1.0000000000000002E-2</v>
      </c>
      <c r="EX7" s="3">
        <v>1.0000000000000002E-2</v>
      </c>
      <c r="EY7" s="3">
        <v>-2.56</v>
      </c>
      <c r="EZ7" s="3">
        <v>-4.1799999999999979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-0.01</v>
      </c>
      <c r="FJ7" s="3">
        <v>0</v>
      </c>
      <c r="FK7" s="3">
        <v>0</v>
      </c>
      <c r="FL7" s="3">
        <v>0</v>
      </c>
      <c r="FM7" s="3">
        <v>-0.02</v>
      </c>
      <c r="FN7" s="3">
        <v>0</v>
      </c>
      <c r="FO7" s="3">
        <v>-0.01</v>
      </c>
      <c r="FP7" s="3">
        <v>-0.56000000000000005</v>
      </c>
      <c r="FQ7" s="3">
        <v>-2.36</v>
      </c>
      <c r="FR7" s="3">
        <v>-2.2400000000000002</v>
      </c>
      <c r="FS7" s="3">
        <v>-0.1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-5.3</v>
      </c>
      <c r="FZ7" s="3">
        <v>-0.55999999999999994</v>
      </c>
      <c r="GA7" s="3">
        <v>0.29000000000000004</v>
      </c>
      <c r="GB7" s="3">
        <v>0.25</v>
      </c>
      <c r="GC7" s="3">
        <v>0.26</v>
      </c>
      <c r="GD7" s="3">
        <v>0.31000000000000005</v>
      </c>
      <c r="GE7" s="3">
        <v>1.3299999999999998</v>
      </c>
      <c r="GF7" s="3">
        <v>0.39999999999999991</v>
      </c>
      <c r="GG7" s="3">
        <v>-0.66</v>
      </c>
      <c r="GH7" s="3">
        <v>0.41000000000000003</v>
      </c>
      <c r="GI7" s="3">
        <v>0.55000000000000004</v>
      </c>
      <c r="GJ7" s="3">
        <v>0.41000000000000003</v>
      </c>
      <c r="GK7" s="3">
        <v>0.26</v>
      </c>
      <c r="GL7" s="3">
        <v>-0.66</v>
      </c>
      <c r="GM7" s="3">
        <v>0.95</v>
      </c>
      <c r="GN7" s="3">
        <v>0.14999999999999997</v>
      </c>
      <c r="GO7" s="3">
        <v>-1.35</v>
      </c>
      <c r="GP7" s="3">
        <v>8.0000000000000071E-2</v>
      </c>
      <c r="GQ7" s="3">
        <v>0.10999999999999988</v>
      </c>
      <c r="GR7" s="3">
        <v>-0.47</v>
      </c>
      <c r="GS7" s="3">
        <v>-0.73</v>
      </c>
      <c r="GT7" s="3">
        <v>-0.52</v>
      </c>
      <c r="GU7" s="3">
        <v>-2.15</v>
      </c>
      <c r="GV7" s="3">
        <v>0.54999999999999982</v>
      </c>
      <c r="GW7" s="3">
        <v>-0.22000000000000008</v>
      </c>
      <c r="GX7" s="3">
        <v>-1.009999999999998</v>
      </c>
      <c r="GY7" t="s">
        <v>265</v>
      </c>
      <c r="GZ7" t="s">
        <v>265</v>
      </c>
      <c r="HA7" t="s">
        <v>265</v>
      </c>
      <c r="HB7" t="s">
        <v>265</v>
      </c>
      <c r="HC7" t="s">
        <v>265</v>
      </c>
      <c r="HD7" t="s">
        <v>265</v>
      </c>
      <c r="HE7" t="s">
        <v>265</v>
      </c>
      <c r="HF7" t="s">
        <v>265</v>
      </c>
      <c r="HG7" t="s">
        <v>265</v>
      </c>
      <c r="HH7" t="s">
        <v>265</v>
      </c>
      <c r="HI7" t="s">
        <v>265</v>
      </c>
      <c r="HJ7" t="s">
        <v>265</v>
      </c>
      <c r="HK7" t="s">
        <v>265</v>
      </c>
      <c r="HL7" t="s">
        <v>265</v>
      </c>
      <c r="HM7" t="s">
        <v>265</v>
      </c>
      <c r="HN7" t="s">
        <v>265</v>
      </c>
      <c r="HO7" t="s">
        <v>265</v>
      </c>
      <c r="HP7" t="s">
        <v>265</v>
      </c>
      <c r="HQ7" t="s">
        <v>265</v>
      </c>
      <c r="HR7" t="s">
        <v>265</v>
      </c>
      <c r="HS7" t="s">
        <v>265</v>
      </c>
      <c r="HT7" t="s">
        <v>265</v>
      </c>
      <c r="HU7" t="s">
        <v>265</v>
      </c>
      <c r="HV7" t="s">
        <v>265</v>
      </c>
    </row>
    <row r="8" spans="2:230" x14ac:dyDescent="0.55000000000000004">
      <c r="B8" s="12" t="s">
        <v>267</v>
      </c>
      <c r="C8" s="6" t="str">
        <f t="shared" ref="C8:C38" si="8">TEXT(B8,"aaaa")</f>
        <v>木曜日</v>
      </c>
      <c r="D8" s="6"/>
      <c r="E8" s="6" t="str">
        <f t="shared" ref="E8:E38" si="9">IF(OR(C8="土曜日",C8="日曜日",D8="〇"),"〇","")</f>
        <v/>
      </c>
      <c r="F8" s="6" t="s">
        <v>197</v>
      </c>
      <c r="G8" s="6" t="s">
        <v>261</v>
      </c>
      <c r="H8" s="3">
        <v>-4.0299999999999994</v>
      </c>
      <c r="I8" s="3">
        <v>-120.53729999999997</v>
      </c>
      <c r="J8" s="3">
        <v>-0.37</v>
      </c>
      <c r="K8" s="3">
        <v>-11.066700000000001</v>
      </c>
      <c r="L8" s="3">
        <v>-0.6</v>
      </c>
      <c r="M8" s="3">
        <v>-17.945999999999998</v>
      </c>
      <c r="N8" s="3">
        <v>-0.93</v>
      </c>
      <c r="O8" s="3">
        <v>-27.816300000000002</v>
      </c>
      <c r="P8" s="3">
        <v>-0.74999999999999989</v>
      </c>
      <c r="Q8" s="3">
        <v>-22.432499999999994</v>
      </c>
      <c r="R8" s="3">
        <v>1.27</v>
      </c>
      <c r="S8" s="3">
        <v>37.985699999999994</v>
      </c>
      <c r="T8" s="3">
        <v>2.11</v>
      </c>
      <c r="U8" s="3">
        <v>63.110100000000003</v>
      </c>
      <c r="V8" s="3">
        <v>2.0000000000000018E-2</v>
      </c>
      <c r="W8" s="3">
        <v>-5.4112999999999971</v>
      </c>
      <c r="X8" s="3">
        <v>0.99</v>
      </c>
      <c r="Y8" s="3">
        <v>29.4695</v>
      </c>
      <c r="Z8" s="3">
        <v>0.48000000000000004</v>
      </c>
      <c r="AA8" s="3">
        <v>12.094400000000002</v>
      </c>
      <c r="AB8" s="3">
        <v>0.02</v>
      </c>
      <c r="AC8" s="3">
        <v>0.59820000000000007</v>
      </c>
      <c r="AD8" s="3">
        <v>0.01</v>
      </c>
      <c r="AE8" s="3">
        <v>0.29910000000000003</v>
      </c>
      <c r="AF8" s="3">
        <v>0.42</v>
      </c>
      <c r="AG8" s="3">
        <v>12.562199999999999</v>
      </c>
      <c r="AH8" s="3">
        <v>0.5</v>
      </c>
      <c r="AI8" s="3">
        <v>14.955</v>
      </c>
      <c r="AJ8" s="3">
        <v>0.53</v>
      </c>
      <c r="AK8" s="3">
        <v>15.852300000000001</v>
      </c>
      <c r="AL8" s="3">
        <v>0.56999999999999995</v>
      </c>
      <c r="AM8" s="3">
        <v>17.0487</v>
      </c>
      <c r="AN8" s="3">
        <v>2.56</v>
      </c>
      <c r="AO8" s="3">
        <v>76.569600000000008</v>
      </c>
      <c r="AP8" s="3">
        <v>0.87000000000000011</v>
      </c>
      <c r="AQ8" s="3">
        <v>11.174700000000001</v>
      </c>
      <c r="AR8" s="3">
        <v>0.15000000000000013</v>
      </c>
      <c r="AS8" s="3">
        <v>-4.1388999999999925</v>
      </c>
      <c r="AT8" s="3">
        <v>-0.9</v>
      </c>
      <c r="AU8" s="3">
        <v>-39.644999999999996</v>
      </c>
      <c r="AV8" s="3">
        <v>0.11999999999999988</v>
      </c>
      <c r="AW8" s="3">
        <v>-3.7635999999999967</v>
      </c>
      <c r="AX8" s="3">
        <v>-0.53</v>
      </c>
      <c r="AY8" s="3">
        <v>-15.8523</v>
      </c>
      <c r="AZ8" s="3">
        <v>0.33000000000000007</v>
      </c>
      <c r="BA8" s="3">
        <v>9.8703000000000003</v>
      </c>
      <c r="BB8" s="3">
        <v>-0.98000000000000043</v>
      </c>
      <c r="BC8" s="3">
        <v>-29.311800000000005</v>
      </c>
      <c r="BD8" s="3">
        <v>1.860000000000003</v>
      </c>
      <c r="BE8" s="3">
        <v>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-0.36</v>
      </c>
      <c r="BN8" s="3">
        <v>-1.43</v>
      </c>
      <c r="BO8" s="3">
        <v>-2.15</v>
      </c>
      <c r="BP8" s="3">
        <v>-1.3800000000000001</v>
      </c>
      <c r="BQ8" s="3">
        <v>-3.6599999999999997</v>
      </c>
      <c r="BR8" s="3">
        <v>-6.1800000000000006</v>
      </c>
      <c r="BS8" s="3">
        <v>-2.5299999999999998</v>
      </c>
      <c r="BT8" s="3">
        <v>-0.77</v>
      </c>
      <c r="BU8" s="3">
        <v>-0.49000000000000005</v>
      </c>
      <c r="BV8" s="3">
        <v>-0.21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-0.06</v>
      </c>
      <c r="CS8" s="3">
        <v>-0.96</v>
      </c>
      <c r="CT8" s="3">
        <v>-1.1200000000000001</v>
      </c>
      <c r="CU8" s="3">
        <v>-17.920000000000002</v>
      </c>
      <c r="CV8" s="3">
        <v>-1.21</v>
      </c>
      <c r="CW8" s="3">
        <v>-19.36</v>
      </c>
      <c r="CX8" s="3">
        <v>-1.08</v>
      </c>
      <c r="CY8" s="3">
        <v>-17.28</v>
      </c>
      <c r="CZ8" s="3">
        <v>-3.29</v>
      </c>
      <c r="DA8" s="3">
        <v>-52.64</v>
      </c>
      <c r="DB8" s="3">
        <v>-5.84</v>
      </c>
      <c r="DC8" s="3">
        <v>-93.44</v>
      </c>
      <c r="DD8" s="3">
        <v>-2.16</v>
      </c>
      <c r="DE8" s="3">
        <v>-34.56</v>
      </c>
      <c r="DF8" s="3">
        <v>-0.34</v>
      </c>
      <c r="DG8" s="3">
        <v>-5.44</v>
      </c>
      <c r="DH8" s="3">
        <v>-0.01</v>
      </c>
      <c r="DI8" s="3">
        <v>-0.16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-15.110000000000001</v>
      </c>
      <c r="EA8" s="3">
        <v>-241</v>
      </c>
      <c r="EB8" s="3">
        <v>-3.78</v>
      </c>
      <c r="EC8" s="3">
        <v>-0.21</v>
      </c>
      <c r="ED8" s="3">
        <v>1.0000000000000002E-2</v>
      </c>
      <c r="EE8" s="3">
        <v>1.0000000000000002E-2</v>
      </c>
      <c r="EF8" s="3">
        <v>1.0000000000000002E-2</v>
      </c>
      <c r="EG8" s="3">
        <v>0.57999999999999996</v>
      </c>
      <c r="EH8" s="3">
        <v>2.5299999999999998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1.0000000000000002E-2</v>
      </c>
      <c r="EU8" s="3">
        <v>1.0000000000000002E-2</v>
      </c>
      <c r="EV8" s="3">
        <v>1.0000000000000002E-2</v>
      </c>
      <c r="EW8" s="3">
        <v>1.0000000000000002E-2</v>
      </c>
      <c r="EX8" s="3">
        <v>1.0000000000000002E-2</v>
      </c>
      <c r="EY8" s="3">
        <v>2.0000000000000018E-2</v>
      </c>
      <c r="EZ8" s="3">
        <v>-0.69000000000000217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0.53999999999999992</v>
      </c>
      <c r="FL8" s="3">
        <v>0.89</v>
      </c>
      <c r="FM8" s="3">
        <v>0.95</v>
      </c>
      <c r="FN8" s="3">
        <v>0</v>
      </c>
      <c r="FO8" s="3">
        <v>-0.01</v>
      </c>
      <c r="FP8" s="3">
        <v>-2.02</v>
      </c>
      <c r="FQ8" s="3">
        <v>-2.2200000000000002</v>
      </c>
      <c r="FR8" s="3">
        <v>-0.24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-2.1100000000000012</v>
      </c>
      <c r="FZ8" s="3">
        <v>-0.25</v>
      </c>
      <c r="GA8" s="3">
        <v>-0.16000000000000003</v>
      </c>
      <c r="GB8" s="3">
        <v>-0.61</v>
      </c>
      <c r="GC8" s="3">
        <v>-0.94000000000000006</v>
      </c>
      <c r="GD8" s="3">
        <v>-0.76000000000000012</v>
      </c>
      <c r="GE8" s="3">
        <v>0.69</v>
      </c>
      <c r="GF8" s="3">
        <v>-0.41999999999999993</v>
      </c>
      <c r="GG8" s="3">
        <v>-0.27999999999999992</v>
      </c>
      <c r="GH8" s="3">
        <v>0.68</v>
      </c>
      <c r="GI8" s="3">
        <v>-0.45999999999999996</v>
      </c>
      <c r="GJ8" s="3">
        <v>0.25999999999999995</v>
      </c>
      <c r="GK8" s="3">
        <v>0.53</v>
      </c>
      <c r="GL8" s="3">
        <v>1.03</v>
      </c>
      <c r="GM8" s="3">
        <v>0.12999999999999995</v>
      </c>
      <c r="GN8" s="3">
        <v>8.9999999999999969E-2</v>
      </c>
      <c r="GO8" s="3">
        <v>-1.94</v>
      </c>
      <c r="GP8" s="3">
        <v>8.9999999999999858E-2</v>
      </c>
      <c r="GQ8" s="3">
        <v>0.5900000000000003</v>
      </c>
      <c r="GR8" s="3">
        <v>0.14000000000000012</v>
      </c>
      <c r="GS8" s="3">
        <v>-0.91</v>
      </c>
      <c r="GT8" s="3">
        <v>0.1100000000000001</v>
      </c>
      <c r="GU8" s="3">
        <v>-0.53999999999999992</v>
      </c>
      <c r="GV8" s="3">
        <v>0.31999999999999984</v>
      </c>
      <c r="GW8" s="3">
        <v>-1</v>
      </c>
      <c r="GX8" s="3">
        <v>-3.6100000000000065</v>
      </c>
      <c r="GY8" t="s">
        <v>265</v>
      </c>
      <c r="GZ8" t="s">
        <v>265</v>
      </c>
      <c r="HA8" t="s">
        <v>265</v>
      </c>
      <c r="HB8" t="s">
        <v>265</v>
      </c>
      <c r="HC8" t="s">
        <v>265</v>
      </c>
      <c r="HD8" t="s">
        <v>265</v>
      </c>
      <c r="HE8" t="s">
        <v>265</v>
      </c>
      <c r="HF8" t="s">
        <v>265</v>
      </c>
      <c r="HG8" t="s">
        <v>265</v>
      </c>
      <c r="HH8" t="s">
        <v>265</v>
      </c>
      <c r="HI8" t="s">
        <v>265</v>
      </c>
      <c r="HJ8" t="s">
        <v>265</v>
      </c>
      <c r="HK8" t="s">
        <v>265</v>
      </c>
      <c r="HL8" t="s">
        <v>265</v>
      </c>
      <c r="HM8" t="s">
        <v>265</v>
      </c>
      <c r="HN8" t="s">
        <v>265</v>
      </c>
      <c r="HO8" t="s">
        <v>265</v>
      </c>
      <c r="HP8" t="s">
        <v>265</v>
      </c>
      <c r="HQ8" t="s">
        <v>265</v>
      </c>
      <c r="HR8" t="s">
        <v>265</v>
      </c>
      <c r="HS8" t="s">
        <v>265</v>
      </c>
      <c r="HT8" t="s">
        <v>265</v>
      </c>
      <c r="HU8" t="s">
        <v>265</v>
      </c>
      <c r="HV8" t="s">
        <v>265</v>
      </c>
    </row>
    <row r="9" spans="2:230" x14ac:dyDescent="0.55000000000000004">
      <c r="B9" s="12" t="s">
        <v>268</v>
      </c>
      <c r="C9" s="6" t="str">
        <f t="shared" si="8"/>
        <v>金曜日</v>
      </c>
      <c r="D9" s="6" t="s">
        <v>82</v>
      </c>
      <c r="E9" s="6" t="str">
        <f t="shared" si="9"/>
        <v>〇</v>
      </c>
      <c r="F9" s="6" t="s">
        <v>197</v>
      </c>
      <c r="G9" s="6" t="s">
        <v>261</v>
      </c>
      <c r="H9" s="3">
        <v>-0.30000000000000027</v>
      </c>
      <c r="I9" s="3">
        <v>-8.9730000000000132</v>
      </c>
      <c r="J9" s="3">
        <v>-0.31000000000000005</v>
      </c>
      <c r="K9" s="3">
        <v>-9.2721000000000018</v>
      </c>
      <c r="L9" s="3">
        <v>-0.31000000000000005</v>
      </c>
      <c r="M9" s="3">
        <v>-9.2721000000000018</v>
      </c>
      <c r="N9" s="3">
        <v>-0.13</v>
      </c>
      <c r="O9" s="3">
        <v>-3.888300000000001</v>
      </c>
      <c r="P9" s="3">
        <v>-0.28000000000000003</v>
      </c>
      <c r="Q9" s="3">
        <v>-8.3748000000000005</v>
      </c>
      <c r="R9" s="3">
        <v>-0.68</v>
      </c>
      <c r="S9" s="3">
        <v>-20.338799999999999</v>
      </c>
      <c r="T9" s="3">
        <v>-0.18999999999999995</v>
      </c>
      <c r="U9" s="3">
        <v>-5.6829000000000001</v>
      </c>
      <c r="V9" s="3">
        <v>3.0000000000000027E-2</v>
      </c>
      <c r="W9" s="3">
        <v>0.89729999999999777</v>
      </c>
      <c r="X9" s="3">
        <v>0.98</v>
      </c>
      <c r="Y9" s="3">
        <v>29.311800000000002</v>
      </c>
      <c r="Z9" s="3">
        <v>1.49</v>
      </c>
      <c r="AA9" s="3">
        <v>44.565899999999999</v>
      </c>
      <c r="AB9" s="3">
        <v>0.04</v>
      </c>
      <c r="AC9" s="3">
        <v>1.1964000000000001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0.01</v>
      </c>
      <c r="AK9" s="3">
        <v>0.29910000000000003</v>
      </c>
      <c r="AL9" s="3">
        <v>1.57</v>
      </c>
      <c r="AM9" s="3">
        <v>46.958700000000007</v>
      </c>
      <c r="AN9" s="3">
        <v>1.41</v>
      </c>
      <c r="AO9" s="3">
        <v>42.173099999999991</v>
      </c>
      <c r="AP9" s="3">
        <v>1.2600000000000002</v>
      </c>
      <c r="AQ9" s="3">
        <v>37.686599999999999</v>
      </c>
      <c r="AR9" s="3">
        <v>-0.3600000000000001</v>
      </c>
      <c r="AS9" s="3">
        <v>-10.767600000000005</v>
      </c>
      <c r="AT9" s="3">
        <v>-0.17999999999999994</v>
      </c>
      <c r="AU9" s="3">
        <v>-5.3837999999999973</v>
      </c>
      <c r="AV9" s="3">
        <v>-7.0000000000000062E-2</v>
      </c>
      <c r="AW9" s="3">
        <v>-2.0936999999999983</v>
      </c>
      <c r="AX9" s="3">
        <v>-0.22999999999999998</v>
      </c>
      <c r="AY9" s="3">
        <v>-6.8793000000000006</v>
      </c>
      <c r="AZ9" s="3">
        <v>-7.999999999999996E-2</v>
      </c>
      <c r="BA9" s="3">
        <v>-2.3927999999999976</v>
      </c>
      <c r="BB9" s="3">
        <v>-0.58999999999999986</v>
      </c>
      <c r="BC9" s="3">
        <v>-17.646900000000016</v>
      </c>
      <c r="BD9" s="3">
        <v>3.0799999999999983</v>
      </c>
      <c r="BE9" s="3">
        <v>92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-0.01</v>
      </c>
      <c r="BM9" s="3">
        <v>-0.54999999999999993</v>
      </c>
      <c r="BN9" s="3">
        <v>-2.94</v>
      </c>
      <c r="BO9" s="3">
        <v>-5.2700000000000005</v>
      </c>
      <c r="BP9" s="3">
        <v>-5.4399999999999995</v>
      </c>
      <c r="BQ9" s="3">
        <v>-4.91</v>
      </c>
      <c r="BR9" s="3">
        <v>-7.18</v>
      </c>
      <c r="BS9" s="3">
        <v>-2.33</v>
      </c>
      <c r="BT9" s="3">
        <v>-1.98</v>
      </c>
      <c r="BU9" s="3">
        <v>-1.01</v>
      </c>
      <c r="BV9" s="3">
        <v>-0.19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-0.02</v>
      </c>
      <c r="CS9" s="3">
        <v>-0.32</v>
      </c>
      <c r="CT9" s="3">
        <v>-2.02</v>
      </c>
      <c r="CU9" s="3">
        <v>-32.32</v>
      </c>
      <c r="CV9" s="3">
        <v>-4.3099999999999996</v>
      </c>
      <c r="CW9" s="3">
        <v>-68.959999999999994</v>
      </c>
      <c r="CX9" s="3">
        <v>-4.49</v>
      </c>
      <c r="CY9" s="3">
        <v>-71.84</v>
      </c>
      <c r="CZ9" s="3">
        <v>-3.81</v>
      </c>
      <c r="DA9" s="3">
        <v>-60.96</v>
      </c>
      <c r="DB9" s="3">
        <v>-6.02</v>
      </c>
      <c r="DC9" s="3">
        <v>-96.32</v>
      </c>
      <c r="DD9" s="3">
        <v>-1.42</v>
      </c>
      <c r="DE9" s="3">
        <v>-22.72</v>
      </c>
      <c r="DF9" s="3">
        <v>-0.75</v>
      </c>
      <c r="DG9" s="3">
        <v>-12</v>
      </c>
      <c r="DH9" s="3">
        <v>-0.01</v>
      </c>
      <c r="DI9" s="3">
        <v>-0.16</v>
      </c>
      <c r="DJ9" s="3">
        <v>-0.01</v>
      </c>
      <c r="DK9" s="3">
        <v>-0.16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-22.860000000000007</v>
      </c>
      <c r="EA9" s="3">
        <v>-366</v>
      </c>
      <c r="EB9" s="3">
        <v>0.66999999999999993</v>
      </c>
      <c r="EC9" s="3">
        <v>7.0000000000000007E-2</v>
      </c>
      <c r="ED9" s="3">
        <v>0</v>
      </c>
      <c r="EE9" s="3">
        <v>0</v>
      </c>
      <c r="EF9" s="3">
        <v>9.9999999999999985E-3</v>
      </c>
      <c r="EG9" s="3">
        <v>0</v>
      </c>
      <c r="EH9" s="3">
        <v>9.9999999999999985E-3</v>
      </c>
      <c r="EI9" s="3">
        <v>-0.01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</v>
      </c>
      <c r="ET9" s="3">
        <v>9.9999999999999985E-3</v>
      </c>
      <c r="EU9" s="3">
        <v>0</v>
      </c>
      <c r="EV9" s="3">
        <v>0</v>
      </c>
      <c r="EW9" s="3">
        <v>0</v>
      </c>
      <c r="EX9" s="3">
        <v>0</v>
      </c>
      <c r="EY9" s="3">
        <v>-0.36999999999999966</v>
      </c>
      <c r="EZ9" s="3">
        <v>0.41999999999999993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0.95</v>
      </c>
      <c r="FM9" s="3">
        <v>0.74</v>
      </c>
      <c r="FN9" s="3">
        <v>0.89</v>
      </c>
      <c r="FO9" s="3">
        <v>0.5099999999999999</v>
      </c>
      <c r="FP9" s="3">
        <v>-1.9700000000000002</v>
      </c>
      <c r="FQ9" s="3">
        <v>-1.42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0.44999999999999929</v>
      </c>
      <c r="FZ9" s="3">
        <v>-0.97</v>
      </c>
      <c r="GA9" s="3">
        <v>-0.38</v>
      </c>
      <c r="GB9" s="3">
        <v>-0.31000000000000005</v>
      </c>
      <c r="GC9" s="3">
        <v>-0.13</v>
      </c>
      <c r="GD9" s="3">
        <v>-0.29000000000000004</v>
      </c>
      <c r="GE9" s="3">
        <v>-0.68</v>
      </c>
      <c r="GF9" s="3">
        <v>-0.20999999999999996</v>
      </c>
      <c r="GG9" s="3">
        <v>-0.4900000000000001</v>
      </c>
      <c r="GH9" s="3">
        <v>5.0000000000000044E-2</v>
      </c>
      <c r="GI9" s="3">
        <v>0.53</v>
      </c>
      <c r="GJ9" s="3">
        <v>-0.15999999999999992</v>
      </c>
      <c r="GK9" s="3">
        <v>-0.15000000000000013</v>
      </c>
      <c r="GL9" s="3">
        <v>-0.41999999999999993</v>
      </c>
      <c r="GM9" s="3">
        <v>-2.0000000000000018E-2</v>
      </c>
      <c r="GN9" s="3">
        <v>-0.71000000000000019</v>
      </c>
      <c r="GO9" s="3">
        <v>-1.4</v>
      </c>
      <c r="GP9" s="3">
        <v>-0.20999999999999996</v>
      </c>
      <c r="GQ9" s="3">
        <v>1.2599999999999998</v>
      </c>
      <c r="GR9" s="3">
        <v>-0.37000000000000011</v>
      </c>
      <c r="GS9" s="3">
        <v>-0.18000000000000005</v>
      </c>
      <c r="GT9" s="3">
        <v>-7.0000000000000062E-2</v>
      </c>
      <c r="GU9" s="3">
        <v>-0.22999999999999998</v>
      </c>
      <c r="GV9" s="3">
        <v>-7.999999999999996E-2</v>
      </c>
      <c r="GW9" s="3">
        <v>-0.21999999999999997</v>
      </c>
      <c r="GX9" s="3">
        <v>-5.84</v>
      </c>
      <c r="GY9" t="s">
        <v>265</v>
      </c>
      <c r="GZ9" t="s">
        <v>265</v>
      </c>
      <c r="HA9" t="s">
        <v>265</v>
      </c>
      <c r="HB9" t="s">
        <v>265</v>
      </c>
      <c r="HC9" t="s">
        <v>265</v>
      </c>
      <c r="HD9" t="s">
        <v>265</v>
      </c>
      <c r="HE9" t="s">
        <v>265</v>
      </c>
      <c r="HF9" t="s">
        <v>265</v>
      </c>
      <c r="HG9" t="s">
        <v>265</v>
      </c>
      <c r="HH9" t="s">
        <v>265</v>
      </c>
      <c r="HI9" t="s">
        <v>265</v>
      </c>
      <c r="HJ9" t="s">
        <v>265</v>
      </c>
      <c r="HK9" t="s">
        <v>265</v>
      </c>
      <c r="HL9" t="s">
        <v>265</v>
      </c>
      <c r="HM9" t="s">
        <v>265</v>
      </c>
      <c r="HN9" t="s">
        <v>265</v>
      </c>
      <c r="HO9" t="s">
        <v>265</v>
      </c>
      <c r="HP9" t="s">
        <v>265</v>
      </c>
      <c r="HQ9" t="s">
        <v>265</v>
      </c>
      <c r="HR9" t="s">
        <v>265</v>
      </c>
      <c r="HS9" t="s">
        <v>265</v>
      </c>
      <c r="HT9" t="s">
        <v>265</v>
      </c>
      <c r="HU9" t="s">
        <v>265</v>
      </c>
      <c r="HV9" t="s">
        <v>265</v>
      </c>
    </row>
    <row r="10" spans="2:230" x14ac:dyDescent="0.55000000000000004">
      <c r="B10" s="12" t="s">
        <v>269</v>
      </c>
      <c r="C10" s="6" t="str">
        <f t="shared" si="8"/>
        <v>土曜日</v>
      </c>
      <c r="D10" s="6"/>
      <c r="E10" s="6" t="str">
        <f t="shared" si="9"/>
        <v>〇</v>
      </c>
      <c r="F10" s="6" t="s">
        <v>197</v>
      </c>
      <c r="G10" s="6" t="s">
        <v>261</v>
      </c>
      <c r="H10" s="3">
        <v>1.19</v>
      </c>
      <c r="I10" s="3">
        <v>35.5929</v>
      </c>
      <c r="J10" s="3">
        <v>-0.42000000000000004</v>
      </c>
      <c r="K10" s="3">
        <v>-12.562200000000001</v>
      </c>
      <c r="L10" s="3">
        <v>-0.29000000000000004</v>
      </c>
      <c r="M10" s="3">
        <v>-8.6739000000000033</v>
      </c>
      <c r="N10" s="3">
        <v>-0.30000000000000004</v>
      </c>
      <c r="O10" s="3">
        <v>-8.9730000000000025</v>
      </c>
      <c r="P10" s="3">
        <v>0.14000000000000001</v>
      </c>
      <c r="Q10" s="3">
        <v>4.1874000000000002</v>
      </c>
      <c r="R10" s="3">
        <v>1.9999999999999907E-2</v>
      </c>
      <c r="S10" s="3">
        <v>0.59819999999999851</v>
      </c>
      <c r="T10" s="3">
        <v>0.41000000000000003</v>
      </c>
      <c r="U10" s="3">
        <v>12.263100000000001</v>
      </c>
      <c r="V10" s="3">
        <v>1.95</v>
      </c>
      <c r="W10" s="3">
        <v>72.11099999999999</v>
      </c>
      <c r="X10" s="3">
        <v>0.37</v>
      </c>
      <c r="Y10" s="3">
        <v>13.824</v>
      </c>
      <c r="Z10" s="3">
        <v>4.9999999999999996E-2</v>
      </c>
      <c r="AA10" s="3">
        <v>1.9196999999999997</v>
      </c>
      <c r="AB10" s="3">
        <v>-0.02</v>
      </c>
      <c r="AC10" s="3">
        <v>-0.59820000000000007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-0.01</v>
      </c>
      <c r="AM10" s="3">
        <v>-0.29910000000000003</v>
      </c>
      <c r="AN10" s="3">
        <v>-0.04</v>
      </c>
      <c r="AO10" s="3">
        <v>-1.1964000000000001</v>
      </c>
      <c r="AP10" s="3">
        <v>-1.53</v>
      </c>
      <c r="AQ10" s="3">
        <v>-45.762300000000003</v>
      </c>
      <c r="AR10" s="3">
        <v>5.0000000000000044E-2</v>
      </c>
      <c r="AS10" s="3">
        <v>7.8584999999999958</v>
      </c>
      <c r="AT10" s="3">
        <v>7.999999999999996E-2</v>
      </c>
      <c r="AU10" s="3">
        <v>9.3920999999999992</v>
      </c>
      <c r="AV10" s="3">
        <v>-0.25</v>
      </c>
      <c r="AW10" s="3">
        <v>-1.8215000000000003</v>
      </c>
      <c r="AX10" s="3">
        <v>0.33999999999999997</v>
      </c>
      <c r="AY10" s="3">
        <v>10.1694</v>
      </c>
      <c r="AZ10" s="3">
        <v>-3.9999999999999925E-2</v>
      </c>
      <c r="BA10" s="3">
        <v>-1.196399999999997</v>
      </c>
      <c r="BB10" s="3">
        <v>4.32</v>
      </c>
      <c r="BC10" s="3">
        <v>129.21119999999999</v>
      </c>
      <c r="BD10" s="3">
        <v>6.0200000000000049</v>
      </c>
      <c r="BE10" s="3">
        <v>216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-0.54999999999999993</v>
      </c>
      <c r="BN10" s="3">
        <v>-0.78</v>
      </c>
      <c r="BO10" s="3">
        <v>-1.58</v>
      </c>
      <c r="BP10" s="3">
        <v>-2.4499999999999997</v>
      </c>
      <c r="BQ10" s="3">
        <v>-0.87000000000000011</v>
      </c>
      <c r="BR10" s="3">
        <v>-1.28</v>
      </c>
      <c r="BS10" s="3">
        <v>9.9999999999999645E-2</v>
      </c>
      <c r="BT10" s="3">
        <v>-0.77</v>
      </c>
      <c r="BU10" s="3">
        <v>-1.5499999999999998</v>
      </c>
      <c r="BV10" s="3">
        <v>-0.44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-0.01</v>
      </c>
      <c r="CU10" s="3">
        <v>-0.16</v>
      </c>
      <c r="CV10" s="3">
        <v>0.11</v>
      </c>
      <c r="CW10" s="3">
        <v>1.76</v>
      </c>
      <c r="CX10" s="3">
        <v>-0.21999999999999997</v>
      </c>
      <c r="CY10" s="3">
        <v>-3.5199999999999996</v>
      </c>
      <c r="CZ10" s="3">
        <v>-0.34000000000000008</v>
      </c>
      <c r="DA10" s="3">
        <v>-5.4400000000000013</v>
      </c>
      <c r="DB10" s="3">
        <v>-0.8899999999999999</v>
      </c>
      <c r="DC10" s="3">
        <v>-14.239999999999998</v>
      </c>
      <c r="DD10" s="3">
        <v>0.26000000000000023</v>
      </c>
      <c r="DE10" s="3">
        <v>4.1600000000000037</v>
      </c>
      <c r="DF10" s="3">
        <v>-0.27</v>
      </c>
      <c r="DG10" s="3">
        <v>-4.32</v>
      </c>
      <c r="DH10" s="3">
        <v>9.0000000000000011E-2</v>
      </c>
      <c r="DI10" s="3">
        <v>1.4400000000000002</v>
      </c>
      <c r="DJ10" s="3">
        <v>-0.01</v>
      </c>
      <c r="DK10" s="3">
        <v>-0.16</v>
      </c>
      <c r="DL10" s="3">
        <v>-0.01</v>
      </c>
      <c r="DM10" s="3">
        <v>-0.16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-1.2899999999999991</v>
      </c>
      <c r="EA10" s="3">
        <v>-21</v>
      </c>
      <c r="EB10" s="3">
        <v>0.6399999999999999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0.03</v>
      </c>
      <c r="EI10" s="3">
        <v>0</v>
      </c>
      <c r="EJ10" s="3">
        <v>0.01</v>
      </c>
      <c r="EK10" s="3">
        <v>-0.74</v>
      </c>
      <c r="EL10" s="3">
        <v>-1.37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-0.03</v>
      </c>
      <c r="EU10" s="3">
        <v>9.9999999999999985E-3</v>
      </c>
      <c r="EV10" s="3">
        <v>0</v>
      </c>
      <c r="EW10" s="3">
        <v>0</v>
      </c>
      <c r="EX10" s="3">
        <v>0</v>
      </c>
      <c r="EY10" s="3">
        <v>4.3099999999999996</v>
      </c>
      <c r="EZ10" s="3">
        <v>2.8599999999999977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-0.27</v>
      </c>
      <c r="FH10" s="3">
        <v>-0.39</v>
      </c>
      <c r="FI10" s="3">
        <v>-1.06</v>
      </c>
      <c r="FJ10" s="3">
        <v>0</v>
      </c>
      <c r="FK10" s="3">
        <v>0</v>
      </c>
      <c r="FL10" s="3">
        <v>-0.14000000000000001</v>
      </c>
      <c r="FM10" s="3">
        <v>-0.08</v>
      </c>
      <c r="FN10" s="3">
        <v>0</v>
      </c>
      <c r="FO10" s="3">
        <v>-0.16</v>
      </c>
      <c r="FP10" s="3">
        <v>-0.55000000000000004</v>
      </c>
      <c r="FQ10" s="3">
        <v>-0.51000000000000023</v>
      </c>
      <c r="FR10" s="3">
        <v>0.92999999999999994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-1.7100000000000009</v>
      </c>
      <c r="FZ10" s="3">
        <v>0.55000000000000004</v>
      </c>
      <c r="GA10" s="3">
        <v>-0.42000000000000004</v>
      </c>
      <c r="GB10" s="3">
        <v>-0.28999999999999992</v>
      </c>
      <c r="GC10" s="3">
        <v>-0.29999999999999993</v>
      </c>
      <c r="GD10" s="3">
        <v>0.14000000000000001</v>
      </c>
      <c r="GE10" s="3">
        <v>2.0000000000000018E-2</v>
      </c>
      <c r="GF10" s="3">
        <v>0.10999999999999999</v>
      </c>
      <c r="GG10" s="3">
        <v>1.01</v>
      </c>
      <c r="GH10" s="3">
        <v>-1.4699999999999998</v>
      </c>
      <c r="GI10" s="3">
        <v>-0.89999999999999991</v>
      </c>
      <c r="GJ10" s="3">
        <v>-0.87999999999999989</v>
      </c>
      <c r="GK10" s="3">
        <v>-0.67</v>
      </c>
      <c r="GL10" s="3">
        <v>-0.47</v>
      </c>
      <c r="GM10" s="3">
        <v>-0.16000000000000003</v>
      </c>
      <c r="GN10" s="3">
        <v>-0.65999999999999992</v>
      </c>
      <c r="GO10" s="3">
        <v>-2.2000000000000002</v>
      </c>
      <c r="GP10" s="3">
        <v>-0.98</v>
      </c>
      <c r="GQ10" s="3">
        <v>-0.5900000000000003</v>
      </c>
      <c r="GR10" s="3">
        <v>0.6</v>
      </c>
      <c r="GS10" s="3">
        <v>6.9999999999999951E-2</v>
      </c>
      <c r="GT10" s="3">
        <v>-0.25</v>
      </c>
      <c r="GU10" s="3">
        <v>0.33999999999999986</v>
      </c>
      <c r="GV10" s="3">
        <v>-4.0000000000000036E-2</v>
      </c>
      <c r="GW10" s="3">
        <v>1.0000000000000009E-2</v>
      </c>
      <c r="GX10" s="3">
        <v>-7.4299999999999962</v>
      </c>
      <c r="GY10" t="s">
        <v>265</v>
      </c>
      <c r="GZ10" t="s">
        <v>265</v>
      </c>
      <c r="HA10" t="s">
        <v>265</v>
      </c>
      <c r="HB10" t="s">
        <v>265</v>
      </c>
      <c r="HC10" t="s">
        <v>265</v>
      </c>
      <c r="HD10" t="s">
        <v>265</v>
      </c>
      <c r="HE10" t="s">
        <v>265</v>
      </c>
      <c r="HF10" t="s">
        <v>265</v>
      </c>
      <c r="HG10" t="s">
        <v>265</v>
      </c>
      <c r="HH10" t="s">
        <v>265</v>
      </c>
      <c r="HI10" t="s">
        <v>265</v>
      </c>
      <c r="HJ10" t="s">
        <v>265</v>
      </c>
      <c r="HK10" t="s">
        <v>265</v>
      </c>
      <c r="HL10" t="s">
        <v>265</v>
      </c>
      <c r="HM10" t="s">
        <v>265</v>
      </c>
      <c r="HN10" t="s">
        <v>265</v>
      </c>
      <c r="HO10" t="s">
        <v>265</v>
      </c>
      <c r="HP10" t="s">
        <v>265</v>
      </c>
      <c r="HQ10" t="s">
        <v>265</v>
      </c>
      <c r="HR10" t="s">
        <v>265</v>
      </c>
      <c r="HS10" t="s">
        <v>265</v>
      </c>
      <c r="HT10" t="s">
        <v>265</v>
      </c>
      <c r="HU10" t="s">
        <v>265</v>
      </c>
      <c r="HV10" t="s">
        <v>265</v>
      </c>
    </row>
    <row r="11" spans="2:230" x14ac:dyDescent="0.55000000000000004">
      <c r="B11" s="12" t="s">
        <v>270</v>
      </c>
      <c r="C11" s="6" t="str">
        <f t="shared" si="8"/>
        <v>日曜日</v>
      </c>
      <c r="D11" s="6"/>
      <c r="E11" s="6" t="str">
        <f t="shared" si="9"/>
        <v>〇</v>
      </c>
      <c r="F11" s="6" t="s">
        <v>197</v>
      </c>
      <c r="G11" s="6" t="s">
        <v>261</v>
      </c>
      <c r="H11" s="3">
        <v>2.12</v>
      </c>
      <c r="I11" s="3">
        <v>63.409200000000006</v>
      </c>
      <c r="J11" s="3">
        <v>0.16000000000000003</v>
      </c>
      <c r="K11" s="3">
        <v>4.7856000000000023</v>
      </c>
      <c r="L11" s="3">
        <v>-0.12</v>
      </c>
      <c r="M11" s="3">
        <v>-3.5892000000000017</v>
      </c>
      <c r="N11" s="3">
        <v>-0.32999999999999996</v>
      </c>
      <c r="O11" s="3">
        <v>-9.8702999999999967</v>
      </c>
      <c r="P11" s="3">
        <v>-0.10000000000000009</v>
      </c>
      <c r="Q11" s="3">
        <v>-2.9910000000000068</v>
      </c>
      <c r="R11" s="3">
        <v>0.27</v>
      </c>
      <c r="S11" s="3">
        <v>8.0757000000000012</v>
      </c>
      <c r="T11" s="3">
        <v>-0.10000000000000009</v>
      </c>
      <c r="U11" s="3">
        <v>-2.9909999999999997</v>
      </c>
      <c r="V11" s="3">
        <v>-1.0499999999999998</v>
      </c>
      <c r="W11" s="3">
        <v>-38.828999999999994</v>
      </c>
      <c r="X11" s="3">
        <v>-0.06</v>
      </c>
      <c r="Y11" s="3">
        <v>-2.2187999999999999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0.01</v>
      </c>
      <c r="AM11" s="3">
        <v>0.36979999999999996</v>
      </c>
      <c r="AN11" s="3">
        <v>0.01</v>
      </c>
      <c r="AO11" s="3">
        <v>0.36979999999999996</v>
      </c>
      <c r="AP11" s="3">
        <v>0.27</v>
      </c>
      <c r="AQ11" s="3">
        <v>9.9845999999999968</v>
      </c>
      <c r="AR11" s="3">
        <v>0.21999999999999997</v>
      </c>
      <c r="AS11" s="3">
        <v>8.1356000000000037</v>
      </c>
      <c r="AT11" s="3">
        <v>-0.58000000000000007</v>
      </c>
      <c r="AU11" s="3">
        <v>-21.448399999999999</v>
      </c>
      <c r="AV11" s="3">
        <v>-0.60000000000000009</v>
      </c>
      <c r="AW11" s="3">
        <v>-22.188000000000002</v>
      </c>
      <c r="AX11" s="3">
        <v>-0.87999999999999989</v>
      </c>
      <c r="AY11" s="3">
        <v>-26.320799999999995</v>
      </c>
      <c r="AZ11" s="3">
        <v>-0.41000000000000003</v>
      </c>
      <c r="BA11" s="3">
        <v>-12.263099999999998</v>
      </c>
      <c r="BB11" s="3">
        <v>4.13</v>
      </c>
      <c r="BC11" s="3">
        <v>123.5283</v>
      </c>
      <c r="BD11" s="3">
        <v>2.9599999999999973</v>
      </c>
      <c r="BE11" s="3">
        <v>76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-0.01</v>
      </c>
      <c r="BM11" s="3">
        <v>1.0000000000000009E-2</v>
      </c>
      <c r="BN11" s="3">
        <v>-0.41000000000000014</v>
      </c>
      <c r="BO11" s="3">
        <v>1.79</v>
      </c>
      <c r="BP11" s="3">
        <v>2.83</v>
      </c>
      <c r="BQ11" s="3">
        <v>3.3799999999999994</v>
      </c>
      <c r="BR11" s="3">
        <v>2.81</v>
      </c>
      <c r="BS11" s="3">
        <v>1.5999999999999999</v>
      </c>
      <c r="BT11" s="3">
        <v>-1.0399999999999998</v>
      </c>
      <c r="BU11" s="3">
        <v>-0.63</v>
      </c>
      <c r="BV11" s="3">
        <v>-0.16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0.03</v>
      </c>
      <c r="CS11" s="3">
        <v>0.48</v>
      </c>
      <c r="CT11" s="3">
        <v>0.72</v>
      </c>
      <c r="CU11" s="3">
        <v>11.52</v>
      </c>
      <c r="CV11" s="3">
        <v>3.4200000000000004</v>
      </c>
      <c r="CW11" s="3">
        <v>54.720000000000006</v>
      </c>
      <c r="CX11" s="3">
        <v>4.8600000000000003</v>
      </c>
      <c r="CY11" s="3">
        <v>77.760000000000005</v>
      </c>
      <c r="CZ11" s="3">
        <v>4.1900000000000004</v>
      </c>
      <c r="DA11" s="3">
        <v>67.040000000000006</v>
      </c>
      <c r="DB11" s="3">
        <v>2.79</v>
      </c>
      <c r="DC11" s="3">
        <v>44.64</v>
      </c>
      <c r="DD11" s="3">
        <v>1.5600000000000003</v>
      </c>
      <c r="DE11" s="3">
        <v>24.960000000000004</v>
      </c>
      <c r="DF11" s="3">
        <v>8.9999999999999969E-2</v>
      </c>
      <c r="DG11" s="3">
        <v>1.4399999999999995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17.660000000000004</v>
      </c>
      <c r="EA11" s="3">
        <v>282</v>
      </c>
      <c r="EB11" s="3">
        <v>2.33</v>
      </c>
      <c r="EC11" s="3">
        <v>0</v>
      </c>
      <c r="ED11" s="3">
        <v>-9.9999999999999985E-3</v>
      </c>
      <c r="EE11" s="3">
        <v>0</v>
      </c>
      <c r="EF11" s="3">
        <v>0</v>
      </c>
      <c r="EG11" s="3">
        <v>0</v>
      </c>
      <c r="EH11" s="3">
        <v>0.01</v>
      </c>
      <c r="EI11" s="3">
        <v>0</v>
      </c>
      <c r="EJ11" s="3">
        <v>-1.27</v>
      </c>
      <c r="EK11" s="3">
        <v>-1.93</v>
      </c>
      <c r="EL11" s="3">
        <v>-2.2600000000000002</v>
      </c>
      <c r="EM11" s="3">
        <v>-1.03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4.49</v>
      </c>
      <c r="EZ11" s="3">
        <v>0.33999999999999631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-0.30000000000000004</v>
      </c>
      <c r="FP11" s="3">
        <v>5.0000000000000044E-2</v>
      </c>
      <c r="FQ11" s="3">
        <v>-0.14999999999999991</v>
      </c>
      <c r="FR11" s="3">
        <v>0.33000000000000007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-5.9999999999999609E-2</v>
      </c>
      <c r="FZ11" s="3">
        <v>-0.21000000000000008</v>
      </c>
      <c r="GA11" s="3">
        <v>0.16000000000000003</v>
      </c>
      <c r="GB11" s="3">
        <v>-0.10999999999999999</v>
      </c>
      <c r="GC11" s="3">
        <v>-0.32999999999999996</v>
      </c>
      <c r="GD11" s="3">
        <v>-0.10000000000000009</v>
      </c>
      <c r="GE11" s="3">
        <v>0.26999999999999991</v>
      </c>
      <c r="GF11" s="3">
        <v>-0.11999999999999988</v>
      </c>
      <c r="GG11" s="3">
        <v>-1.07</v>
      </c>
      <c r="GH11" s="3">
        <v>9.0000000000000024E-2</v>
      </c>
      <c r="GI11" s="3">
        <v>0.3</v>
      </c>
      <c r="GJ11" s="3">
        <v>0.23000000000000004</v>
      </c>
      <c r="GK11" s="3">
        <v>0.22000000000000003</v>
      </c>
      <c r="GL11" s="3">
        <v>2.0000000000000018E-2</v>
      </c>
      <c r="GM11" s="3">
        <v>3.0000000000000027E-2</v>
      </c>
      <c r="GN11" s="3">
        <v>-1.43</v>
      </c>
      <c r="GO11" s="3">
        <v>-0.57000000000000028</v>
      </c>
      <c r="GP11" s="3">
        <v>-0.29999999999999982</v>
      </c>
      <c r="GQ11" s="3">
        <v>0.59999999999999987</v>
      </c>
      <c r="GR11" s="3">
        <v>0.21999999999999997</v>
      </c>
      <c r="GS11" s="3">
        <v>-0.57999999999999996</v>
      </c>
      <c r="GT11" s="3">
        <v>-0.60000000000000009</v>
      </c>
      <c r="GU11" s="3">
        <v>-0.87999999999999989</v>
      </c>
      <c r="GV11" s="3">
        <v>-0.41000000000000003</v>
      </c>
      <c r="GW11" s="3">
        <v>-0.36</v>
      </c>
      <c r="GX11" s="3">
        <v>-4.93</v>
      </c>
      <c r="GY11" t="s">
        <v>265</v>
      </c>
      <c r="GZ11" t="s">
        <v>265</v>
      </c>
      <c r="HA11" t="s">
        <v>265</v>
      </c>
      <c r="HB11" t="s">
        <v>265</v>
      </c>
      <c r="HC11" t="s">
        <v>265</v>
      </c>
      <c r="HD11" t="s">
        <v>265</v>
      </c>
      <c r="HE11" t="s">
        <v>265</v>
      </c>
      <c r="HF11" t="s">
        <v>265</v>
      </c>
      <c r="HG11" t="s">
        <v>265</v>
      </c>
      <c r="HH11" t="s">
        <v>265</v>
      </c>
      <c r="HI11" t="s">
        <v>265</v>
      </c>
      <c r="HJ11" t="s">
        <v>265</v>
      </c>
      <c r="HK11" t="s">
        <v>265</v>
      </c>
      <c r="HL11" t="s">
        <v>265</v>
      </c>
      <c r="HM11" t="s">
        <v>265</v>
      </c>
      <c r="HN11" t="s">
        <v>265</v>
      </c>
      <c r="HO11" t="s">
        <v>265</v>
      </c>
      <c r="HP11" t="s">
        <v>265</v>
      </c>
      <c r="HQ11" t="s">
        <v>265</v>
      </c>
      <c r="HR11" t="s">
        <v>265</v>
      </c>
      <c r="HS11" t="s">
        <v>265</v>
      </c>
      <c r="HT11" t="s">
        <v>265</v>
      </c>
      <c r="HU11" t="s">
        <v>265</v>
      </c>
      <c r="HV11" t="s">
        <v>265</v>
      </c>
    </row>
    <row r="12" spans="2:230" x14ac:dyDescent="0.55000000000000004">
      <c r="B12" s="12" t="s">
        <v>271</v>
      </c>
      <c r="C12" s="6" t="str">
        <f t="shared" si="8"/>
        <v>月曜日</v>
      </c>
      <c r="D12" s="6"/>
      <c r="E12" s="6" t="str">
        <f t="shared" si="9"/>
        <v/>
      </c>
      <c r="F12" s="6" t="s">
        <v>197</v>
      </c>
      <c r="G12" s="6" t="s">
        <v>261</v>
      </c>
      <c r="H12" s="3">
        <v>1.7199999999999998</v>
      </c>
      <c r="I12" s="3">
        <v>51.445199999999993</v>
      </c>
      <c r="J12" s="3">
        <v>0.48</v>
      </c>
      <c r="K12" s="3">
        <v>14.356799999999996</v>
      </c>
      <c r="L12" s="3">
        <v>-0.37</v>
      </c>
      <c r="M12" s="3">
        <v>-11.066699999999997</v>
      </c>
      <c r="N12" s="3">
        <v>-0.59000000000000008</v>
      </c>
      <c r="O12" s="3">
        <v>-17.646900000000006</v>
      </c>
      <c r="P12" s="3">
        <v>-0.35</v>
      </c>
      <c r="Q12" s="3">
        <v>-10.468499999999995</v>
      </c>
      <c r="R12" s="3">
        <v>-0.51</v>
      </c>
      <c r="S12" s="3">
        <v>-15.254100000000001</v>
      </c>
      <c r="T12" s="3">
        <v>-0.51</v>
      </c>
      <c r="U12" s="3">
        <v>-15.254099999999998</v>
      </c>
      <c r="V12" s="3">
        <v>0.13</v>
      </c>
      <c r="W12" s="3">
        <v>4.8073999999999995</v>
      </c>
      <c r="X12" s="3">
        <v>1.23</v>
      </c>
      <c r="Y12" s="3">
        <v>45.485399999999998</v>
      </c>
      <c r="Z12" s="3">
        <v>0.09</v>
      </c>
      <c r="AA12" s="3">
        <v>3.3281999999999994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0.25</v>
      </c>
      <c r="AQ12" s="3">
        <v>9.2449999999999992</v>
      </c>
      <c r="AR12" s="3">
        <v>0.17000000000000004</v>
      </c>
      <c r="AS12" s="3">
        <v>6.2866</v>
      </c>
      <c r="AT12" s="3">
        <v>-0.44999999999999996</v>
      </c>
      <c r="AU12" s="3">
        <v>-16.640999999999998</v>
      </c>
      <c r="AV12" s="3">
        <v>-0.72</v>
      </c>
      <c r="AW12" s="3">
        <v>-26.625599999999995</v>
      </c>
      <c r="AX12" s="3">
        <v>-0.54</v>
      </c>
      <c r="AY12" s="3">
        <v>-16.151399999999999</v>
      </c>
      <c r="AZ12" s="3">
        <v>-0.61</v>
      </c>
      <c r="BA12" s="3">
        <v>-18.245100000000001</v>
      </c>
      <c r="BB12" s="3">
        <v>3.96</v>
      </c>
      <c r="BC12" s="3">
        <v>118.44359999999999</v>
      </c>
      <c r="BD12" s="3">
        <v>3.379999999999999</v>
      </c>
      <c r="BE12" s="3">
        <v>106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-0.01</v>
      </c>
      <c r="BM12" s="3">
        <v>-0.68</v>
      </c>
      <c r="BN12" s="3">
        <v>-2.8000000000000003</v>
      </c>
      <c r="BO12" s="3">
        <v>-5.1100000000000003</v>
      </c>
      <c r="BP12" s="3">
        <v>-5.9399999999999995</v>
      </c>
      <c r="BQ12" s="3">
        <v>-6.13</v>
      </c>
      <c r="BR12" s="3">
        <v>-5.47</v>
      </c>
      <c r="BS12" s="3">
        <v>-2.8600000000000003</v>
      </c>
      <c r="BT12" s="3">
        <v>-0.90000000000000013</v>
      </c>
      <c r="BU12" s="3">
        <v>-0.78</v>
      </c>
      <c r="BV12" s="3">
        <v>-0.5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-0.68</v>
      </c>
      <c r="CU12" s="3">
        <v>-10.88</v>
      </c>
      <c r="CV12" s="3">
        <v>-1.89</v>
      </c>
      <c r="CW12" s="3">
        <v>-30.24</v>
      </c>
      <c r="CX12" s="3">
        <v>-4.5199999999999996</v>
      </c>
      <c r="CY12" s="3">
        <v>-72.319999999999993</v>
      </c>
      <c r="CZ12" s="3">
        <v>-6.26</v>
      </c>
      <c r="DA12" s="3">
        <v>-100.16</v>
      </c>
      <c r="DB12" s="3">
        <v>-5.5600000000000005</v>
      </c>
      <c r="DC12" s="3">
        <v>-88.960000000000008</v>
      </c>
      <c r="DD12" s="3">
        <v>-2.09</v>
      </c>
      <c r="DE12" s="3">
        <v>-33.44</v>
      </c>
      <c r="DF12" s="3">
        <v>0.75</v>
      </c>
      <c r="DG12" s="3">
        <v>12</v>
      </c>
      <c r="DH12" s="3">
        <v>0.42</v>
      </c>
      <c r="DI12" s="3">
        <v>6.72</v>
      </c>
      <c r="DJ12" s="3">
        <v>-0.01</v>
      </c>
      <c r="DK12" s="3">
        <v>-0.16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-19.840000000000003</v>
      </c>
      <c r="EA12" s="3">
        <v>-318</v>
      </c>
      <c r="EB12" s="3">
        <v>2.2000000000000002</v>
      </c>
      <c r="EC12" s="3">
        <v>0</v>
      </c>
      <c r="ED12" s="3">
        <v>0</v>
      </c>
      <c r="EE12" s="3">
        <v>-1.0000000000000002E-2</v>
      </c>
      <c r="EF12" s="3">
        <v>-1.0000000000000002E-2</v>
      </c>
      <c r="EG12" s="3">
        <v>-1.0000000000000002E-2</v>
      </c>
      <c r="EH12" s="3">
        <v>0</v>
      </c>
      <c r="EI12" s="3">
        <v>-0.14000000000000001</v>
      </c>
      <c r="EJ12" s="3">
        <v>-1.9</v>
      </c>
      <c r="EK12" s="3">
        <v>-3.14</v>
      </c>
      <c r="EL12" s="3">
        <v>-1.45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</v>
      </c>
      <c r="EV12" s="3">
        <v>-9.9999999999999985E-3</v>
      </c>
      <c r="EW12" s="3">
        <v>0</v>
      </c>
      <c r="EX12" s="3">
        <v>0</v>
      </c>
      <c r="EY12" s="3">
        <v>4.43</v>
      </c>
      <c r="EZ12" s="3">
        <v>-2.6645352591003757E-15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-0.01</v>
      </c>
      <c r="FO12" s="3">
        <v>-0.25</v>
      </c>
      <c r="FP12" s="3">
        <v>-0.10999999999999999</v>
      </c>
      <c r="FQ12" s="3">
        <v>0.51</v>
      </c>
      <c r="FR12" s="3">
        <v>0.31000000000000005</v>
      </c>
      <c r="FS12" s="3">
        <v>-0.68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-0.22999999999999954</v>
      </c>
      <c r="FZ12" s="3">
        <v>-0.48</v>
      </c>
      <c r="GA12" s="3">
        <v>0.48</v>
      </c>
      <c r="GB12" s="3">
        <v>-0.37</v>
      </c>
      <c r="GC12" s="3">
        <v>-0.58000000000000007</v>
      </c>
      <c r="GD12" s="3">
        <v>-0.33999999999999997</v>
      </c>
      <c r="GE12" s="3">
        <v>-0.5</v>
      </c>
      <c r="GF12" s="3">
        <v>-0.52</v>
      </c>
      <c r="GG12" s="3">
        <v>-0.40999999999999992</v>
      </c>
      <c r="GH12" s="3">
        <v>1.01</v>
      </c>
      <c r="GI12" s="3">
        <v>1.0000000000000009E-2</v>
      </c>
      <c r="GJ12" s="3">
        <v>3.0000000000000027E-2</v>
      </c>
      <c r="GK12" s="3">
        <v>0.13000000000000006</v>
      </c>
      <c r="GL12" s="3">
        <v>8.0000000000000016E-2</v>
      </c>
      <c r="GM12" s="3">
        <v>-0.78</v>
      </c>
      <c r="GN12" s="3">
        <v>-1.9</v>
      </c>
      <c r="GO12" s="3">
        <v>-1.31</v>
      </c>
      <c r="GP12" s="3">
        <v>2.0000000000000018E-2</v>
      </c>
      <c r="GQ12" s="3">
        <v>0.56000000000000005</v>
      </c>
      <c r="GR12" s="3">
        <v>-0.54</v>
      </c>
      <c r="GS12" s="3">
        <v>-0.44999999999999996</v>
      </c>
      <c r="GT12" s="3">
        <v>-0.71</v>
      </c>
      <c r="GU12" s="3">
        <v>-0.54</v>
      </c>
      <c r="GV12" s="3">
        <v>-0.61</v>
      </c>
      <c r="GW12" s="3">
        <v>-0.47000000000000008</v>
      </c>
      <c r="GX12" s="3">
        <v>-8.1899999999999942</v>
      </c>
      <c r="GY12" t="s">
        <v>265</v>
      </c>
      <c r="GZ12" t="s">
        <v>265</v>
      </c>
      <c r="HA12" t="s">
        <v>265</v>
      </c>
      <c r="HB12" t="s">
        <v>265</v>
      </c>
      <c r="HC12" t="s">
        <v>265</v>
      </c>
      <c r="HD12" t="s">
        <v>265</v>
      </c>
      <c r="HE12" t="s">
        <v>265</v>
      </c>
      <c r="HF12" t="s">
        <v>265</v>
      </c>
      <c r="HG12" t="s">
        <v>265</v>
      </c>
      <c r="HH12" t="s">
        <v>265</v>
      </c>
      <c r="HI12" t="s">
        <v>265</v>
      </c>
      <c r="HJ12" t="s">
        <v>265</v>
      </c>
      <c r="HK12" t="s">
        <v>265</v>
      </c>
      <c r="HL12" t="s">
        <v>265</v>
      </c>
      <c r="HM12" t="s">
        <v>265</v>
      </c>
      <c r="HN12" t="s">
        <v>265</v>
      </c>
      <c r="HO12" t="s">
        <v>265</v>
      </c>
      <c r="HP12" t="s">
        <v>265</v>
      </c>
      <c r="HQ12" t="s">
        <v>265</v>
      </c>
      <c r="HR12" t="s">
        <v>265</v>
      </c>
      <c r="HS12" t="s">
        <v>265</v>
      </c>
      <c r="HT12" t="s">
        <v>265</v>
      </c>
      <c r="HU12" t="s">
        <v>265</v>
      </c>
      <c r="HV12" t="s">
        <v>265</v>
      </c>
    </row>
    <row r="13" spans="2:230" x14ac:dyDescent="0.55000000000000004">
      <c r="B13" s="12" t="s">
        <v>272</v>
      </c>
      <c r="C13" s="6" t="str">
        <f t="shared" si="8"/>
        <v>火曜日</v>
      </c>
      <c r="D13" s="6"/>
      <c r="E13" s="6" t="str">
        <f t="shared" si="9"/>
        <v/>
      </c>
      <c r="F13" s="6" t="s">
        <v>197</v>
      </c>
      <c r="G13" s="6" t="s">
        <v>261</v>
      </c>
      <c r="H13" s="3">
        <v>1.78</v>
      </c>
      <c r="I13" s="3">
        <v>53.239800000000002</v>
      </c>
      <c r="J13" s="3">
        <v>-0.62000000000000011</v>
      </c>
      <c r="K13" s="3">
        <v>-18.544200000000007</v>
      </c>
      <c r="L13" s="3">
        <v>-0.52</v>
      </c>
      <c r="M13" s="3">
        <v>-15.553199999999999</v>
      </c>
      <c r="N13" s="3">
        <v>0.62999999999999989</v>
      </c>
      <c r="O13" s="3">
        <v>18.843299999999996</v>
      </c>
      <c r="P13" s="3">
        <v>-0.64</v>
      </c>
      <c r="Q13" s="3">
        <v>-19.142400000000002</v>
      </c>
      <c r="R13" s="3">
        <v>-0.53999999999999992</v>
      </c>
      <c r="S13" s="3">
        <v>-16.151399999999995</v>
      </c>
      <c r="T13" s="3">
        <v>-0.30000000000000004</v>
      </c>
      <c r="U13" s="3">
        <v>-8.9730000000000025</v>
      </c>
      <c r="V13" s="3">
        <v>-0.33999999999999997</v>
      </c>
      <c r="W13" s="3">
        <v>-12.573199999999996</v>
      </c>
      <c r="X13" s="3">
        <v>0.06</v>
      </c>
      <c r="Y13" s="3">
        <v>2.2187999999999999</v>
      </c>
      <c r="Z13" s="3">
        <v>0.5</v>
      </c>
      <c r="AA13" s="3">
        <v>18.489999999999998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-0.01</v>
      </c>
      <c r="AM13" s="3">
        <v>-0.36979999999999996</v>
      </c>
      <c r="AN13" s="3">
        <v>0</v>
      </c>
      <c r="AO13" s="3">
        <v>0</v>
      </c>
      <c r="AP13" s="3">
        <v>0.77</v>
      </c>
      <c r="AQ13" s="3">
        <v>28.474599999999999</v>
      </c>
      <c r="AR13" s="3">
        <v>1.01</v>
      </c>
      <c r="AS13" s="3">
        <v>37.349799999999995</v>
      </c>
      <c r="AT13" s="3">
        <v>-0.46999999999999986</v>
      </c>
      <c r="AU13" s="3">
        <v>-17.380599999999994</v>
      </c>
      <c r="AV13" s="3">
        <v>-0.50000000000000011</v>
      </c>
      <c r="AW13" s="3">
        <v>-18.490000000000002</v>
      </c>
      <c r="AX13" s="3">
        <v>-0.47</v>
      </c>
      <c r="AY13" s="3">
        <v>-14.057699999999997</v>
      </c>
      <c r="AZ13" s="3">
        <v>-0.73</v>
      </c>
      <c r="BA13" s="3">
        <v>-21.834300000000002</v>
      </c>
      <c r="BB13" s="3">
        <v>3.7300000000000004</v>
      </c>
      <c r="BC13" s="3">
        <v>111.5643</v>
      </c>
      <c r="BD13" s="3">
        <v>3.3400000000000034</v>
      </c>
      <c r="BE13" s="3">
        <v>107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-0.01</v>
      </c>
      <c r="BM13" s="3">
        <v>-0.37000000000000005</v>
      </c>
      <c r="BN13" s="3">
        <v>-1.8199999999999998</v>
      </c>
      <c r="BO13" s="3">
        <v>-3.67</v>
      </c>
      <c r="BP13" s="3">
        <v>-5.6899999999999995</v>
      </c>
      <c r="BQ13" s="3">
        <v>-4.28</v>
      </c>
      <c r="BR13" s="3">
        <v>-1.82</v>
      </c>
      <c r="BS13" s="3">
        <v>-1.32</v>
      </c>
      <c r="BT13" s="3">
        <v>-3.13</v>
      </c>
      <c r="BU13" s="3">
        <v>-1.85</v>
      </c>
      <c r="BV13" s="3">
        <v>-0.24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0.03</v>
      </c>
      <c r="CS13" s="3">
        <v>0.48</v>
      </c>
      <c r="CT13" s="3">
        <v>-0.51</v>
      </c>
      <c r="CU13" s="3">
        <v>-8.16</v>
      </c>
      <c r="CV13" s="3">
        <v>-1.9300000000000002</v>
      </c>
      <c r="CW13" s="3">
        <v>-30.880000000000003</v>
      </c>
      <c r="CX13" s="3">
        <v>-2.69</v>
      </c>
      <c r="CY13" s="3">
        <v>-43.04</v>
      </c>
      <c r="CZ13" s="3">
        <v>-4.09</v>
      </c>
      <c r="DA13" s="3">
        <v>-65.44</v>
      </c>
      <c r="DB13" s="3">
        <v>-1.9200000000000002</v>
      </c>
      <c r="DC13" s="3">
        <v>-30.720000000000002</v>
      </c>
      <c r="DD13" s="3">
        <v>-0.7</v>
      </c>
      <c r="DE13" s="3">
        <v>-11.2</v>
      </c>
      <c r="DF13" s="3">
        <v>-1.18</v>
      </c>
      <c r="DG13" s="3">
        <v>-18.88</v>
      </c>
      <c r="DH13" s="3">
        <v>-0.01</v>
      </c>
      <c r="DI13" s="3">
        <v>-0.16</v>
      </c>
      <c r="DJ13" s="3">
        <v>-0.01</v>
      </c>
      <c r="DK13" s="3">
        <v>-0.16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-13.009999999999998</v>
      </c>
      <c r="EA13" s="3">
        <v>-208</v>
      </c>
      <c r="EB13" s="3">
        <v>2.2199999999999998</v>
      </c>
      <c r="EC13" s="3">
        <v>-1.0000000000000002E-2</v>
      </c>
      <c r="ED13" s="3">
        <v>-1.0000000000000002E-2</v>
      </c>
      <c r="EE13" s="3">
        <v>-1.0000000000000002E-2</v>
      </c>
      <c r="EF13" s="3">
        <v>-1.0000000000000002E-2</v>
      </c>
      <c r="EG13" s="3">
        <v>0</v>
      </c>
      <c r="EH13" s="3">
        <v>9.9999999999999985E-3</v>
      </c>
      <c r="EI13" s="3">
        <v>-0.17</v>
      </c>
      <c r="EJ13" s="3">
        <v>-1.3</v>
      </c>
      <c r="EK13" s="3">
        <v>-2.09</v>
      </c>
      <c r="EL13" s="3">
        <v>-2.94</v>
      </c>
      <c r="EM13" s="3">
        <v>-0.3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1.9999999999999997E-2</v>
      </c>
      <c r="EV13" s="3">
        <v>1.0000000000000002E-2</v>
      </c>
      <c r="EW13" s="3">
        <v>1.0000000000000002E-2</v>
      </c>
      <c r="EX13" s="3">
        <v>0.02</v>
      </c>
      <c r="EY13" s="3">
        <v>4.3999999999999995</v>
      </c>
      <c r="EZ13" s="3">
        <v>-0.13000000000000167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1.9999999999999962E-2</v>
      </c>
      <c r="FO13" s="3">
        <v>0.19000000000000003</v>
      </c>
      <c r="FP13" s="3">
        <v>0.39999999999999997</v>
      </c>
      <c r="FQ13" s="3">
        <v>0.3600000000000001</v>
      </c>
      <c r="FR13" s="3">
        <v>-0.39999999999999991</v>
      </c>
      <c r="FS13" s="3">
        <v>-0.89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-0.25</v>
      </c>
      <c r="FZ13" s="3">
        <v>-0.44000000000000006</v>
      </c>
      <c r="GA13" s="3">
        <v>-0.6100000000000001</v>
      </c>
      <c r="GB13" s="3">
        <v>-0.51</v>
      </c>
      <c r="GC13" s="3">
        <v>0.64000000000000012</v>
      </c>
      <c r="GD13" s="3">
        <v>-0.62999999999999989</v>
      </c>
      <c r="GE13" s="3">
        <v>-0.54000000000000015</v>
      </c>
      <c r="GF13" s="3">
        <v>-0.31999999999999995</v>
      </c>
      <c r="GG13" s="3">
        <v>-0.56000000000000005</v>
      </c>
      <c r="GH13" s="3">
        <v>5.0000000000000044E-2</v>
      </c>
      <c r="GI13" s="3">
        <v>0.85</v>
      </c>
      <c r="GJ13" s="3">
        <v>-3.999999999999998E-2</v>
      </c>
      <c r="GK13" s="3">
        <v>0.12000000000000005</v>
      </c>
      <c r="GL13" s="3">
        <v>0.13999999999999996</v>
      </c>
      <c r="GM13" s="3">
        <v>-0.60000000000000009</v>
      </c>
      <c r="GN13" s="3">
        <v>-1.76</v>
      </c>
      <c r="GO13" s="3">
        <v>-1.4499999999999997</v>
      </c>
      <c r="GP13" s="3">
        <v>0.12999999999999989</v>
      </c>
      <c r="GQ13" s="3">
        <v>0.36999999999999988</v>
      </c>
      <c r="GR13" s="3">
        <v>8.9999999999999969E-2</v>
      </c>
      <c r="GS13" s="3">
        <v>-0.48999999999999988</v>
      </c>
      <c r="GT13" s="3">
        <v>-0.51</v>
      </c>
      <c r="GU13" s="3">
        <v>-0.48</v>
      </c>
      <c r="GV13" s="3">
        <v>-0.75</v>
      </c>
      <c r="GW13" s="3">
        <v>-0.66999999999999993</v>
      </c>
      <c r="GX13" s="3">
        <v>-7.9699999999999953</v>
      </c>
      <c r="GY13" t="s">
        <v>265</v>
      </c>
      <c r="GZ13" t="s">
        <v>265</v>
      </c>
      <c r="HA13" t="s">
        <v>265</v>
      </c>
      <c r="HB13" t="s">
        <v>265</v>
      </c>
      <c r="HC13" t="s">
        <v>265</v>
      </c>
      <c r="HD13" t="s">
        <v>265</v>
      </c>
      <c r="HE13" t="s">
        <v>265</v>
      </c>
      <c r="HF13" t="s">
        <v>265</v>
      </c>
      <c r="HG13" t="s">
        <v>265</v>
      </c>
      <c r="HH13" t="s">
        <v>265</v>
      </c>
      <c r="HI13" t="s">
        <v>265</v>
      </c>
      <c r="HJ13" t="s">
        <v>265</v>
      </c>
      <c r="HK13" t="s">
        <v>265</v>
      </c>
      <c r="HL13" t="s">
        <v>265</v>
      </c>
      <c r="HM13" t="s">
        <v>265</v>
      </c>
      <c r="HN13" t="s">
        <v>265</v>
      </c>
      <c r="HO13" t="s">
        <v>265</v>
      </c>
      <c r="HP13" t="s">
        <v>265</v>
      </c>
      <c r="HQ13" t="s">
        <v>265</v>
      </c>
      <c r="HR13" t="s">
        <v>265</v>
      </c>
      <c r="HS13" t="s">
        <v>265</v>
      </c>
      <c r="HT13" t="s">
        <v>265</v>
      </c>
      <c r="HU13" t="s">
        <v>265</v>
      </c>
      <c r="HV13" t="s">
        <v>265</v>
      </c>
    </row>
    <row r="14" spans="2:230" x14ac:dyDescent="0.55000000000000004">
      <c r="B14" s="12" t="s">
        <v>273</v>
      </c>
      <c r="C14" s="6" t="str">
        <f t="shared" si="8"/>
        <v>水曜日</v>
      </c>
      <c r="D14" s="6"/>
      <c r="E14" s="6" t="str">
        <f t="shared" si="9"/>
        <v/>
      </c>
      <c r="F14" s="6" t="s">
        <v>197</v>
      </c>
      <c r="G14" s="6" t="s">
        <v>261</v>
      </c>
      <c r="H14" s="3">
        <v>1.6800000000000002</v>
      </c>
      <c r="I14" s="3">
        <v>50.24880000000001</v>
      </c>
      <c r="J14" s="3">
        <v>-0.59999999999999987</v>
      </c>
      <c r="K14" s="3">
        <v>-17.945999999999998</v>
      </c>
      <c r="L14" s="3">
        <v>-0.4900000000000001</v>
      </c>
      <c r="M14" s="3">
        <v>-14.655900000000003</v>
      </c>
      <c r="N14" s="3">
        <v>-0.59000000000000008</v>
      </c>
      <c r="O14" s="3">
        <v>-17.646899999999999</v>
      </c>
      <c r="P14" s="3">
        <v>-0.66</v>
      </c>
      <c r="Q14" s="3">
        <v>-19.740600000000001</v>
      </c>
      <c r="R14" s="3">
        <v>0.44000000000000017</v>
      </c>
      <c r="S14" s="3">
        <v>13.160400000000003</v>
      </c>
      <c r="T14" s="3">
        <v>-0.37000000000000011</v>
      </c>
      <c r="U14" s="3">
        <v>-11.066700000000004</v>
      </c>
      <c r="V14" s="3">
        <v>-0.43000000000000005</v>
      </c>
      <c r="W14" s="3">
        <v>-15.901399999999999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-0.01</v>
      </c>
      <c r="AM14" s="3">
        <v>-0.36979999999999996</v>
      </c>
      <c r="AN14" s="3">
        <v>0.01</v>
      </c>
      <c r="AO14" s="3">
        <v>0.36979999999999996</v>
      </c>
      <c r="AP14" s="3">
        <v>-1.33</v>
      </c>
      <c r="AQ14" s="3">
        <v>-49.183399999999999</v>
      </c>
      <c r="AR14" s="3">
        <v>-0.66000000000000014</v>
      </c>
      <c r="AS14" s="3">
        <v>-24.406800000000004</v>
      </c>
      <c r="AT14" s="3">
        <v>-0.31999999999999995</v>
      </c>
      <c r="AU14" s="3">
        <v>-11.833599999999997</v>
      </c>
      <c r="AV14" s="3">
        <v>-0.10999999999999999</v>
      </c>
      <c r="AW14" s="3">
        <v>-4.0677999999999983</v>
      </c>
      <c r="AX14" s="3">
        <v>-0.65000000000000013</v>
      </c>
      <c r="AY14" s="3">
        <v>-19.441500000000005</v>
      </c>
      <c r="AZ14" s="3">
        <v>-0.29999999999999993</v>
      </c>
      <c r="BA14" s="3">
        <v>-8.9729999999999954</v>
      </c>
      <c r="BB14" s="3">
        <v>4.51</v>
      </c>
      <c r="BC14" s="3">
        <v>134.89409999999998</v>
      </c>
      <c r="BD14" s="3">
        <v>0.12000000000000099</v>
      </c>
      <c r="BE14" s="3">
        <v>-16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-0.02</v>
      </c>
      <c r="BM14" s="3">
        <v>-0.29999999999999993</v>
      </c>
      <c r="BN14" s="3">
        <v>-0.80000000000000027</v>
      </c>
      <c r="BO14" s="3">
        <v>0.49000000000000021</v>
      </c>
      <c r="BP14" s="3">
        <v>-0.14000000000000057</v>
      </c>
      <c r="BQ14" s="3">
        <v>0.32000000000000028</v>
      </c>
      <c r="BR14" s="3">
        <v>-1.63</v>
      </c>
      <c r="BS14" s="3">
        <v>-2.7699999999999996</v>
      </c>
      <c r="BT14" s="3">
        <v>0.25</v>
      </c>
      <c r="BU14" s="3">
        <v>-0.78999999999999992</v>
      </c>
      <c r="BV14" s="3">
        <v>-0.23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0.17</v>
      </c>
      <c r="CS14" s="3">
        <v>2.72</v>
      </c>
      <c r="CT14" s="3">
        <v>1.1200000000000001</v>
      </c>
      <c r="CU14" s="3">
        <v>17.920000000000002</v>
      </c>
      <c r="CV14" s="3">
        <v>2.8</v>
      </c>
      <c r="CW14" s="3">
        <v>44.8</v>
      </c>
      <c r="CX14" s="3">
        <v>2.0099999999999998</v>
      </c>
      <c r="CY14" s="3">
        <v>32.159999999999997</v>
      </c>
      <c r="CZ14" s="3">
        <v>0.37000000000000011</v>
      </c>
      <c r="DA14" s="3">
        <v>5.9200000000000017</v>
      </c>
      <c r="DB14" s="3">
        <v>-1.7199999999999998</v>
      </c>
      <c r="DC14" s="3">
        <v>-27.519999999999996</v>
      </c>
      <c r="DD14" s="3">
        <v>-3.31</v>
      </c>
      <c r="DE14" s="3">
        <v>-52.96</v>
      </c>
      <c r="DF14" s="3">
        <v>0.64000000000000012</v>
      </c>
      <c r="DG14" s="3">
        <v>10.240000000000002</v>
      </c>
      <c r="DH14" s="3">
        <v>0.11</v>
      </c>
      <c r="DI14" s="3">
        <v>1.76</v>
      </c>
      <c r="DJ14" s="3">
        <v>0</v>
      </c>
      <c r="DK14" s="3">
        <v>0</v>
      </c>
      <c r="DL14" s="3">
        <v>0.01</v>
      </c>
      <c r="DM14" s="3">
        <v>0.16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2.2000000000000028</v>
      </c>
      <c r="EA14" s="3">
        <v>35</v>
      </c>
      <c r="EB14" s="3">
        <v>2.2200000000000002</v>
      </c>
      <c r="EC14" s="3">
        <v>0</v>
      </c>
      <c r="ED14" s="3">
        <v>-1.0000000000000002E-2</v>
      </c>
      <c r="EE14" s="3">
        <v>-1.0000000000000002E-2</v>
      </c>
      <c r="EF14" s="3">
        <v>-0.02</v>
      </c>
      <c r="EG14" s="3">
        <v>-1.0000000000000002E-2</v>
      </c>
      <c r="EH14" s="3">
        <v>0</v>
      </c>
      <c r="EI14" s="3">
        <v>-0.34</v>
      </c>
      <c r="EJ14" s="3">
        <v>-1.98</v>
      </c>
      <c r="EK14" s="3">
        <v>-2.33</v>
      </c>
      <c r="EL14" s="3">
        <v>-2.23</v>
      </c>
      <c r="EM14" s="3">
        <v>-0.09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</v>
      </c>
      <c r="ET14" s="3">
        <v>-0.04</v>
      </c>
      <c r="EU14" s="3">
        <v>-0.02</v>
      </c>
      <c r="EV14" s="3">
        <v>0</v>
      </c>
      <c r="EW14" s="3">
        <v>-2.0000000000000004E-2</v>
      </c>
      <c r="EX14" s="3">
        <v>-1.0000000000000002E-2</v>
      </c>
      <c r="EY14" s="3">
        <v>4.8899999999999997</v>
      </c>
      <c r="EZ14" s="3">
        <v>-1.0000000000002451E-2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-0.33</v>
      </c>
      <c r="FP14" s="3">
        <v>-5.9999999999999831E-2</v>
      </c>
      <c r="FQ14" s="3">
        <v>4.0000000000000036E-2</v>
      </c>
      <c r="FR14" s="3">
        <v>0.42000000000000015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0.11999999999999922</v>
      </c>
      <c r="FZ14" s="3">
        <v>-0.54</v>
      </c>
      <c r="GA14" s="3">
        <v>-0.60000000000000009</v>
      </c>
      <c r="GB14" s="3">
        <v>-0.48000000000000009</v>
      </c>
      <c r="GC14" s="3">
        <v>-0.58000000000000007</v>
      </c>
      <c r="GD14" s="3">
        <v>-0.64</v>
      </c>
      <c r="GE14" s="3">
        <v>0.45000000000000018</v>
      </c>
      <c r="GF14" s="3">
        <v>-0.39000000000000012</v>
      </c>
      <c r="GG14" s="3">
        <v>-0.55999999999999994</v>
      </c>
      <c r="GH14" s="3">
        <v>7.0000000000000007E-2</v>
      </c>
      <c r="GI14" s="3">
        <v>3.0000000000000027E-2</v>
      </c>
      <c r="GJ14" s="3">
        <v>9.0000000000000024E-2</v>
      </c>
      <c r="GK14" s="3">
        <v>4.0000000000000036E-2</v>
      </c>
      <c r="GL14" s="3">
        <v>8.9999999999999969E-2</v>
      </c>
      <c r="GM14" s="3">
        <v>0.56000000000000005</v>
      </c>
      <c r="GN14" s="3">
        <v>-0.72000000000000008</v>
      </c>
      <c r="GO14" s="3">
        <v>-0.97</v>
      </c>
      <c r="GP14" s="3">
        <v>-0.18000000000000016</v>
      </c>
      <c r="GQ14" s="3">
        <v>-0.91999999999999993</v>
      </c>
      <c r="GR14" s="3">
        <v>-0.6100000000000001</v>
      </c>
      <c r="GS14" s="3">
        <v>-0.29999999999999993</v>
      </c>
      <c r="GT14" s="3">
        <v>-0.10999999999999999</v>
      </c>
      <c r="GU14" s="3">
        <v>-0.63</v>
      </c>
      <c r="GV14" s="3">
        <v>-0.28999999999999992</v>
      </c>
      <c r="GW14" s="3">
        <v>-0.38</v>
      </c>
      <c r="GX14" s="3">
        <v>-7.5700000000000038</v>
      </c>
      <c r="GY14" t="s">
        <v>265</v>
      </c>
      <c r="GZ14" t="s">
        <v>265</v>
      </c>
      <c r="HA14" t="s">
        <v>265</v>
      </c>
      <c r="HB14" t="s">
        <v>265</v>
      </c>
      <c r="HC14" t="s">
        <v>265</v>
      </c>
      <c r="HD14" t="s">
        <v>265</v>
      </c>
      <c r="HE14" t="s">
        <v>265</v>
      </c>
      <c r="HF14" t="s">
        <v>265</v>
      </c>
      <c r="HG14" t="s">
        <v>265</v>
      </c>
      <c r="HH14" t="s">
        <v>265</v>
      </c>
      <c r="HI14" t="s">
        <v>265</v>
      </c>
      <c r="HJ14" t="s">
        <v>265</v>
      </c>
      <c r="HK14" t="s">
        <v>265</v>
      </c>
      <c r="HL14" t="s">
        <v>265</v>
      </c>
      <c r="HM14" t="s">
        <v>265</v>
      </c>
      <c r="HN14" t="s">
        <v>265</v>
      </c>
      <c r="HO14" t="s">
        <v>265</v>
      </c>
      <c r="HP14" t="s">
        <v>265</v>
      </c>
      <c r="HQ14" t="s">
        <v>265</v>
      </c>
      <c r="HR14" t="s">
        <v>265</v>
      </c>
      <c r="HS14" t="s">
        <v>265</v>
      </c>
      <c r="HT14" t="s">
        <v>265</v>
      </c>
      <c r="HU14" t="s">
        <v>265</v>
      </c>
      <c r="HV14" t="s">
        <v>265</v>
      </c>
    </row>
    <row r="15" spans="2:230" x14ac:dyDescent="0.55000000000000004">
      <c r="B15" s="12" t="s">
        <v>274</v>
      </c>
      <c r="C15" s="6" t="str">
        <f t="shared" si="8"/>
        <v>木曜日</v>
      </c>
      <c r="D15" s="6"/>
      <c r="E15" s="6" t="str">
        <f t="shared" si="9"/>
        <v/>
      </c>
      <c r="F15" s="6" t="s">
        <v>197</v>
      </c>
      <c r="G15" s="6" t="s">
        <v>261</v>
      </c>
      <c r="H15" s="3">
        <v>1.7999999999999998</v>
      </c>
      <c r="I15" s="3">
        <v>53.837999999999994</v>
      </c>
      <c r="J15" s="3">
        <v>-0.64</v>
      </c>
      <c r="K15" s="3">
        <v>-19.142400000000002</v>
      </c>
      <c r="L15" s="3">
        <v>-0.49</v>
      </c>
      <c r="M15" s="3">
        <v>-14.655899999999999</v>
      </c>
      <c r="N15" s="3">
        <v>-0.26999999999999991</v>
      </c>
      <c r="O15" s="3">
        <v>-8.0756999999999977</v>
      </c>
      <c r="P15" s="3">
        <v>-0.43000000000000005</v>
      </c>
      <c r="Q15" s="3">
        <v>-12.861300000000004</v>
      </c>
      <c r="R15" s="3">
        <v>-0.32999999999999996</v>
      </c>
      <c r="S15" s="3">
        <v>-9.8703000000000003</v>
      </c>
      <c r="T15" s="3">
        <v>-0.55999999999999994</v>
      </c>
      <c r="U15" s="3">
        <v>-16.749600000000001</v>
      </c>
      <c r="V15" s="3">
        <v>-0.21000000000000002</v>
      </c>
      <c r="W15" s="3">
        <v>-9.9574999999999978</v>
      </c>
      <c r="X15" s="3">
        <v>7.0000000000000007E-2</v>
      </c>
      <c r="Y15" s="3">
        <v>2.0937000000000001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-7.069999999999993E-2</v>
      </c>
      <c r="AP15" s="3">
        <v>-0.43000000000000005</v>
      </c>
      <c r="AQ15" s="3">
        <v>-19.295000000000002</v>
      </c>
      <c r="AR15" s="3">
        <v>-0.91</v>
      </c>
      <c r="AS15" s="3">
        <v>-39.590599999999995</v>
      </c>
      <c r="AT15" s="3">
        <v>-0.39999999999999991</v>
      </c>
      <c r="AU15" s="3">
        <v>-20.023799999999998</v>
      </c>
      <c r="AV15" s="3">
        <v>-0.26000000000000012</v>
      </c>
      <c r="AW15" s="3">
        <v>-15.412200000000002</v>
      </c>
      <c r="AX15" s="3">
        <v>-0.79</v>
      </c>
      <c r="AY15" s="3">
        <v>-23.628899999999998</v>
      </c>
      <c r="AZ15" s="3">
        <v>-0.44999999999999996</v>
      </c>
      <c r="BA15" s="3">
        <v>-13.4595</v>
      </c>
      <c r="BB15" s="3">
        <v>4.8</v>
      </c>
      <c r="BC15" s="3">
        <v>143.56800000000001</v>
      </c>
      <c r="BD15" s="3">
        <v>0.5</v>
      </c>
      <c r="BE15" s="3">
        <v>-23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-0.03</v>
      </c>
      <c r="BM15" s="3">
        <v>-0.62</v>
      </c>
      <c r="BN15" s="3">
        <v>-1.25</v>
      </c>
      <c r="BO15" s="3">
        <v>-1.4500000000000002</v>
      </c>
      <c r="BP15" s="3">
        <v>-1.9699999999999998</v>
      </c>
      <c r="BQ15" s="3">
        <v>-0.89999999999999947</v>
      </c>
      <c r="BR15" s="3">
        <v>-2.9499999999999997</v>
      </c>
      <c r="BS15" s="3">
        <v>-4.75</v>
      </c>
      <c r="BT15" s="3">
        <v>-3.4400000000000004</v>
      </c>
      <c r="BU15" s="3">
        <v>-1.69</v>
      </c>
      <c r="BV15" s="3">
        <v>-0.35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0.02</v>
      </c>
      <c r="CS15" s="3">
        <v>0.32</v>
      </c>
      <c r="CT15" s="3">
        <v>1.18</v>
      </c>
      <c r="CU15" s="3">
        <v>18.88</v>
      </c>
      <c r="CV15" s="3">
        <v>1.1700000000000002</v>
      </c>
      <c r="CW15" s="3">
        <v>18.720000000000002</v>
      </c>
      <c r="CX15" s="3">
        <v>-2.4</v>
      </c>
      <c r="CY15" s="3">
        <v>-38.4</v>
      </c>
      <c r="CZ15" s="3">
        <v>-0.90000000000000036</v>
      </c>
      <c r="DA15" s="3">
        <v>-14.400000000000006</v>
      </c>
      <c r="DB15" s="3">
        <v>-2.87</v>
      </c>
      <c r="DC15" s="3">
        <v>-45.92</v>
      </c>
      <c r="DD15" s="3">
        <v>-4.24</v>
      </c>
      <c r="DE15" s="3">
        <v>-67.84</v>
      </c>
      <c r="DF15" s="3">
        <v>-2.21</v>
      </c>
      <c r="DG15" s="3">
        <v>-35.36</v>
      </c>
      <c r="DH15" s="3">
        <v>-0.11</v>
      </c>
      <c r="DI15" s="3">
        <v>-1.76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-10.360000000000008</v>
      </c>
      <c r="EA15" s="3">
        <v>-166</v>
      </c>
      <c r="EB15" s="3">
        <v>1.8699999999999999</v>
      </c>
      <c r="EC15" s="3">
        <v>-1.0000000000000002E-2</v>
      </c>
      <c r="ED15" s="3">
        <v>-1.0000000000000002E-2</v>
      </c>
      <c r="EE15" s="3">
        <v>-1.0000000000000002E-2</v>
      </c>
      <c r="EF15" s="3">
        <v>0</v>
      </c>
      <c r="EG15" s="3">
        <v>-1.0000000000000002E-2</v>
      </c>
      <c r="EH15" s="3">
        <v>-9.9999999999999985E-3</v>
      </c>
      <c r="EI15" s="3">
        <v>-0.37</v>
      </c>
      <c r="EJ15" s="3">
        <v>-2.8400000000000003</v>
      </c>
      <c r="EK15" s="3">
        <v>-3.23</v>
      </c>
      <c r="EL15" s="3">
        <v>-0.04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1.0000000000000002E-2</v>
      </c>
      <c r="EV15" s="3">
        <v>0</v>
      </c>
      <c r="EW15" s="3">
        <v>0</v>
      </c>
      <c r="EX15" s="3">
        <v>0</v>
      </c>
      <c r="EY15" s="3">
        <v>5.31</v>
      </c>
      <c r="EZ15" s="3">
        <v>0.65999999999999837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0.44</v>
      </c>
      <c r="FP15" s="3">
        <v>-0.39</v>
      </c>
      <c r="FQ15" s="3">
        <v>-0.38000000000000012</v>
      </c>
      <c r="FR15" s="3">
        <v>-9.0000000000000302E-2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-1.0000000000000675E-2</v>
      </c>
      <c r="FZ15" s="3">
        <v>-7.0000000000000062E-2</v>
      </c>
      <c r="GA15" s="3">
        <v>-0.63</v>
      </c>
      <c r="GB15" s="3">
        <v>-0.48</v>
      </c>
      <c r="GC15" s="3">
        <v>-0.26</v>
      </c>
      <c r="GD15" s="3">
        <v>-0.43</v>
      </c>
      <c r="GE15" s="3">
        <v>-0.31999999999999995</v>
      </c>
      <c r="GF15" s="3">
        <v>-0.57999999999999985</v>
      </c>
      <c r="GG15" s="3">
        <v>-0.47</v>
      </c>
      <c r="GH15" s="3">
        <v>0.48</v>
      </c>
      <c r="GI15" s="3">
        <v>0.60999999999999988</v>
      </c>
      <c r="GJ15" s="3">
        <v>0.48</v>
      </c>
      <c r="GK15" s="3">
        <v>0</v>
      </c>
      <c r="GL15" s="3">
        <v>-3.0000000000000027E-2</v>
      </c>
      <c r="GM15" s="3">
        <v>-0.17000000000000004</v>
      </c>
      <c r="GN15" s="3">
        <v>-0.79</v>
      </c>
      <c r="GO15" s="3">
        <v>-1.9700000000000002</v>
      </c>
      <c r="GP15" s="3">
        <v>-0.72999999999999976</v>
      </c>
      <c r="GQ15" s="3">
        <v>-0.52</v>
      </c>
      <c r="GR15" s="3">
        <v>-0.90999999999999992</v>
      </c>
      <c r="GS15" s="3">
        <v>-0.41000000000000014</v>
      </c>
      <c r="GT15" s="3">
        <v>-0.26</v>
      </c>
      <c r="GU15" s="3">
        <v>-0.78999999999999992</v>
      </c>
      <c r="GV15" s="3">
        <v>-0.45</v>
      </c>
      <c r="GW15" s="3">
        <v>-0.51</v>
      </c>
      <c r="GX15" s="3">
        <v>-9.2099999999999937</v>
      </c>
      <c r="GY15" t="s">
        <v>265</v>
      </c>
      <c r="GZ15" t="s">
        <v>265</v>
      </c>
      <c r="HA15" t="s">
        <v>265</v>
      </c>
      <c r="HB15" t="s">
        <v>265</v>
      </c>
      <c r="HC15" t="s">
        <v>265</v>
      </c>
      <c r="HD15" t="s">
        <v>265</v>
      </c>
      <c r="HE15" t="s">
        <v>265</v>
      </c>
      <c r="HF15" t="s">
        <v>265</v>
      </c>
      <c r="HG15" t="s">
        <v>265</v>
      </c>
      <c r="HH15" t="s">
        <v>265</v>
      </c>
      <c r="HI15" t="s">
        <v>265</v>
      </c>
      <c r="HJ15" t="s">
        <v>265</v>
      </c>
      <c r="HK15" t="s">
        <v>265</v>
      </c>
      <c r="HL15" t="s">
        <v>265</v>
      </c>
      <c r="HM15" t="s">
        <v>265</v>
      </c>
      <c r="HN15" t="s">
        <v>265</v>
      </c>
      <c r="HO15" t="s">
        <v>265</v>
      </c>
      <c r="HP15" t="s">
        <v>265</v>
      </c>
      <c r="HQ15" t="s">
        <v>265</v>
      </c>
      <c r="HR15" t="s">
        <v>265</v>
      </c>
      <c r="HS15" t="s">
        <v>265</v>
      </c>
      <c r="HT15" t="s">
        <v>265</v>
      </c>
      <c r="HU15" t="s">
        <v>265</v>
      </c>
      <c r="HV15" t="s">
        <v>265</v>
      </c>
    </row>
    <row r="16" spans="2:230" x14ac:dyDescent="0.55000000000000004">
      <c r="B16" s="12" t="s">
        <v>275</v>
      </c>
      <c r="C16" s="6" t="str">
        <f t="shared" si="8"/>
        <v>金曜日</v>
      </c>
      <c r="D16" s="6"/>
      <c r="E16" s="6" t="str">
        <f t="shared" si="9"/>
        <v/>
      </c>
      <c r="F16" s="6" t="s">
        <v>197</v>
      </c>
      <c r="G16" s="6" t="s">
        <v>261</v>
      </c>
      <c r="H16" s="3">
        <v>0.77</v>
      </c>
      <c r="I16" s="3">
        <v>23.0307</v>
      </c>
      <c r="J16" s="3">
        <v>-0.71000000000000008</v>
      </c>
      <c r="K16" s="3">
        <v>-21.236100000000008</v>
      </c>
      <c r="L16" s="3">
        <v>-0.41</v>
      </c>
      <c r="M16" s="3">
        <v>-12.263099999999998</v>
      </c>
      <c r="N16" s="3">
        <v>-0.58000000000000007</v>
      </c>
      <c r="O16" s="3">
        <v>-17.347799999999999</v>
      </c>
      <c r="P16" s="3">
        <v>-0.73</v>
      </c>
      <c r="Q16" s="3">
        <v>-21.834299999999999</v>
      </c>
      <c r="R16" s="3">
        <v>-0.54</v>
      </c>
      <c r="S16" s="3">
        <v>-16.151399999999999</v>
      </c>
      <c r="T16" s="3">
        <v>-1.74</v>
      </c>
      <c r="U16" s="3">
        <v>-52.043399999999998</v>
      </c>
      <c r="V16" s="3">
        <v>0.15999999999999998</v>
      </c>
      <c r="W16" s="3">
        <v>4.7855999999999987</v>
      </c>
      <c r="X16" s="3">
        <v>1.08</v>
      </c>
      <c r="Y16" s="3">
        <v>32.302800000000005</v>
      </c>
      <c r="Z16" s="3">
        <v>0.22</v>
      </c>
      <c r="AA16" s="3">
        <v>6.5802000000000005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0.03</v>
      </c>
      <c r="AO16" s="3">
        <v>0.89729999999999999</v>
      </c>
      <c r="AP16" s="3">
        <v>0.78999999999999992</v>
      </c>
      <c r="AQ16" s="3">
        <v>23.628899999999994</v>
      </c>
      <c r="AR16" s="3">
        <v>7.0000000000000062E-2</v>
      </c>
      <c r="AS16" s="3">
        <v>2.0936999999999983</v>
      </c>
      <c r="AT16" s="3">
        <v>6.9999999999999951E-2</v>
      </c>
      <c r="AU16" s="3">
        <v>2.0936999999999983</v>
      </c>
      <c r="AV16" s="3">
        <v>4.9999999999999933E-2</v>
      </c>
      <c r="AW16" s="3">
        <v>1.4954999999999963</v>
      </c>
      <c r="AX16" s="3">
        <v>-2.0000000000000018E-2</v>
      </c>
      <c r="AY16" s="3">
        <v>-0.59819999999999851</v>
      </c>
      <c r="AZ16" s="3">
        <v>-0.45999999999999996</v>
      </c>
      <c r="BA16" s="3">
        <v>-13.758599999999999</v>
      </c>
      <c r="BB16" s="3">
        <v>4.7200000000000006</v>
      </c>
      <c r="BC16" s="3">
        <v>141.17520000000002</v>
      </c>
      <c r="BD16" s="3">
        <v>2.769999999999996</v>
      </c>
      <c r="BE16" s="3">
        <v>83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-0.02</v>
      </c>
      <c r="BM16" s="3">
        <v>-0.7</v>
      </c>
      <c r="BN16" s="3">
        <v>-3.19</v>
      </c>
      <c r="BO16" s="3">
        <v>-3.24</v>
      </c>
      <c r="BP16" s="3">
        <v>-3.8999999999999995</v>
      </c>
      <c r="BQ16" s="3">
        <v>-3.7899999999999996</v>
      </c>
      <c r="BR16" s="3">
        <v>-2.37</v>
      </c>
      <c r="BS16" s="3">
        <v>-1.0299999999999998</v>
      </c>
      <c r="BT16" s="3">
        <v>-0.20999999999999996</v>
      </c>
      <c r="BU16" s="3">
        <v>-0.36000000000000004</v>
      </c>
      <c r="BV16" s="3">
        <v>-0.14000000000000001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-0.97</v>
      </c>
      <c r="CU16" s="3">
        <v>-15.52</v>
      </c>
      <c r="CV16" s="3">
        <v>-0.18</v>
      </c>
      <c r="CW16" s="3">
        <v>-2.88</v>
      </c>
      <c r="CX16" s="3">
        <v>-2.67</v>
      </c>
      <c r="CY16" s="3">
        <v>-42.72</v>
      </c>
      <c r="CZ16" s="3">
        <v>-3.13</v>
      </c>
      <c r="DA16" s="3">
        <v>-50.08</v>
      </c>
      <c r="DB16" s="3">
        <v>-2.48</v>
      </c>
      <c r="DC16" s="3">
        <v>-39.68</v>
      </c>
      <c r="DD16" s="3">
        <v>-1.08</v>
      </c>
      <c r="DE16" s="3">
        <v>-17.28</v>
      </c>
      <c r="DF16" s="3">
        <v>-0.26000000000000012</v>
      </c>
      <c r="DG16" s="3">
        <v>-4.1600000000000019</v>
      </c>
      <c r="DH16" s="3">
        <v>-0.22000000000000003</v>
      </c>
      <c r="DI16" s="3">
        <v>-3.5200000000000005</v>
      </c>
      <c r="DJ16" s="3">
        <v>0.01</v>
      </c>
      <c r="DK16" s="3">
        <v>0.16</v>
      </c>
      <c r="DL16" s="3">
        <v>0.01</v>
      </c>
      <c r="DM16" s="3">
        <v>0.16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-10.97</v>
      </c>
      <c r="EA16" s="3">
        <v>-175</v>
      </c>
      <c r="EB16" s="3">
        <v>1.32</v>
      </c>
      <c r="EC16" s="3">
        <v>-1.0000000000000002E-2</v>
      </c>
      <c r="ED16" s="3">
        <v>-1.0000000000000002E-2</v>
      </c>
      <c r="EE16" s="3">
        <v>-1.0000000000000002E-2</v>
      </c>
      <c r="EF16" s="3">
        <v>0</v>
      </c>
      <c r="EG16" s="3">
        <v>-1.0000000000000002E-2</v>
      </c>
      <c r="EH16" s="3">
        <v>9.9999999999999985E-3</v>
      </c>
      <c r="EI16" s="3">
        <v>-0.15</v>
      </c>
      <c r="EJ16" s="3">
        <v>-2.0099999999999998</v>
      </c>
      <c r="EK16" s="3">
        <v>-3.03</v>
      </c>
      <c r="EL16" s="3">
        <v>-1.32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-9.9999999999999985E-3</v>
      </c>
      <c r="EU16" s="3">
        <v>0</v>
      </c>
      <c r="EV16" s="3">
        <v>1.0000000000000002E-2</v>
      </c>
      <c r="EW16" s="3">
        <v>1.0000000000000002E-2</v>
      </c>
      <c r="EX16" s="3">
        <v>1.0000000000000002E-2</v>
      </c>
      <c r="EY16" s="3">
        <v>4.9799999999999995</v>
      </c>
      <c r="EZ16" s="3">
        <v>-0.22000000000000064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9.000000000000008E-2</v>
      </c>
      <c r="FQ16" s="3">
        <v>0.39999999999999991</v>
      </c>
      <c r="FR16" s="3">
        <v>-0.73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4.0000000000000924E-2</v>
      </c>
      <c r="FZ16" s="3">
        <v>-0.55000000000000004</v>
      </c>
      <c r="GA16" s="3">
        <v>-0.70000000000000007</v>
      </c>
      <c r="GB16" s="3">
        <v>-0.4</v>
      </c>
      <c r="GC16" s="3">
        <v>-0.56999999999999995</v>
      </c>
      <c r="GD16" s="3">
        <v>-0.73000000000000009</v>
      </c>
      <c r="GE16" s="3">
        <v>-0.53</v>
      </c>
      <c r="GF16" s="3">
        <v>-1.77</v>
      </c>
      <c r="GG16" s="3">
        <v>-0.39</v>
      </c>
      <c r="GH16" s="3">
        <v>0.87000000000000011</v>
      </c>
      <c r="GI16" s="3">
        <v>0.2</v>
      </c>
      <c r="GJ16" s="3">
        <v>0.11000000000000004</v>
      </c>
      <c r="GK16" s="3">
        <v>-0.53999999999999992</v>
      </c>
      <c r="GL16" s="3">
        <v>0.22999999999999998</v>
      </c>
      <c r="GM16" s="3">
        <v>0.06</v>
      </c>
      <c r="GN16" s="3">
        <v>4.9999999999999989E-2</v>
      </c>
      <c r="GO16" s="3">
        <v>-5.0000000000000044E-2</v>
      </c>
      <c r="GP16" s="3">
        <v>0.2799999999999998</v>
      </c>
      <c r="GQ16" s="3">
        <v>4.9999999999999822E-2</v>
      </c>
      <c r="GR16" s="3">
        <v>8.0000000000000071E-2</v>
      </c>
      <c r="GS16" s="3">
        <v>7.0000000000000062E-2</v>
      </c>
      <c r="GT16" s="3">
        <v>4.0000000000000036E-2</v>
      </c>
      <c r="GU16" s="3">
        <v>-2.9999999999999916E-2</v>
      </c>
      <c r="GV16" s="3">
        <v>-0.47000000000000003</v>
      </c>
      <c r="GW16" s="3">
        <v>-0.25999999999999995</v>
      </c>
      <c r="GX16" s="3">
        <v>-4.9499999999999957</v>
      </c>
      <c r="GY16" t="s">
        <v>265</v>
      </c>
      <c r="GZ16" t="s">
        <v>265</v>
      </c>
      <c r="HA16" t="s">
        <v>265</v>
      </c>
      <c r="HB16" t="s">
        <v>265</v>
      </c>
      <c r="HC16" t="s">
        <v>265</v>
      </c>
      <c r="HD16" t="s">
        <v>265</v>
      </c>
      <c r="HE16" t="s">
        <v>265</v>
      </c>
      <c r="HF16" t="s">
        <v>265</v>
      </c>
      <c r="HG16" t="s">
        <v>265</v>
      </c>
      <c r="HH16" t="s">
        <v>265</v>
      </c>
      <c r="HI16" t="s">
        <v>265</v>
      </c>
      <c r="HJ16" t="s">
        <v>265</v>
      </c>
      <c r="HK16" t="s">
        <v>265</v>
      </c>
      <c r="HL16" t="s">
        <v>265</v>
      </c>
      <c r="HM16" t="s">
        <v>265</v>
      </c>
      <c r="HN16" t="s">
        <v>265</v>
      </c>
      <c r="HO16" t="s">
        <v>265</v>
      </c>
      <c r="HP16" t="s">
        <v>265</v>
      </c>
      <c r="HQ16" t="s">
        <v>265</v>
      </c>
      <c r="HR16" t="s">
        <v>265</v>
      </c>
      <c r="HS16" t="s">
        <v>265</v>
      </c>
      <c r="HT16" t="s">
        <v>265</v>
      </c>
      <c r="HU16" t="s">
        <v>265</v>
      </c>
      <c r="HV16" t="s">
        <v>265</v>
      </c>
    </row>
    <row r="17" spans="2:230" x14ac:dyDescent="0.55000000000000004">
      <c r="B17" s="12" t="s">
        <v>276</v>
      </c>
      <c r="C17" s="6" t="str">
        <f t="shared" si="8"/>
        <v>土曜日</v>
      </c>
      <c r="D17" s="6"/>
      <c r="E17" s="6" t="str">
        <f t="shared" si="9"/>
        <v>〇</v>
      </c>
      <c r="F17" s="6" t="s">
        <v>197</v>
      </c>
      <c r="G17" s="6" t="s">
        <v>261</v>
      </c>
      <c r="H17" s="3">
        <v>1.33</v>
      </c>
      <c r="I17" s="3">
        <v>39.780300000000011</v>
      </c>
      <c r="J17" s="3">
        <v>-2.9999999999999916E-2</v>
      </c>
      <c r="K17" s="3">
        <v>-0.89729999999999777</v>
      </c>
      <c r="L17" s="3">
        <v>-0.41999999999999993</v>
      </c>
      <c r="M17" s="3">
        <v>-12.562199999999997</v>
      </c>
      <c r="N17" s="3">
        <v>-0.33999999999999997</v>
      </c>
      <c r="O17" s="3">
        <v>-10.1694</v>
      </c>
      <c r="P17" s="3">
        <v>0.91000000000000014</v>
      </c>
      <c r="Q17" s="3">
        <v>27.218100000000003</v>
      </c>
      <c r="R17" s="3">
        <v>-0.26</v>
      </c>
      <c r="S17" s="3">
        <v>-7.776600000000002</v>
      </c>
      <c r="T17" s="3">
        <v>-0.39</v>
      </c>
      <c r="U17" s="3">
        <v>-11.664900000000003</v>
      </c>
      <c r="V17" s="3">
        <v>-2.1</v>
      </c>
      <c r="W17" s="3">
        <v>-60.124400000000001</v>
      </c>
      <c r="X17" s="3">
        <v>-0.13</v>
      </c>
      <c r="Y17" s="3">
        <v>-3.8883000000000001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-0.01</v>
      </c>
      <c r="AM17" s="3">
        <v>-0.29910000000000003</v>
      </c>
      <c r="AN17" s="3">
        <v>-7.0000000000000007E-2</v>
      </c>
      <c r="AO17" s="3">
        <v>-2.0937000000000001</v>
      </c>
      <c r="AP17" s="3">
        <v>-2.3199999999999998</v>
      </c>
      <c r="AQ17" s="3">
        <v>-69.391199999999998</v>
      </c>
      <c r="AR17" s="3">
        <v>-9.9999999999999978E-2</v>
      </c>
      <c r="AS17" s="3">
        <v>2.6649999999999991</v>
      </c>
      <c r="AT17" s="3">
        <v>0.32000000000000006</v>
      </c>
      <c r="AU17" s="3">
        <v>19.186399999999999</v>
      </c>
      <c r="AV17" s="3">
        <v>-0.20999999999999996</v>
      </c>
      <c r="AW17" s="3">
        <v>-1.120000000000001</v>
      </c>
      <c r="AX17" s="3">
        <v>-0.44999999999999996</v>
      </c>
      <c r="AY17" s="3">
        <v>-13.459499999999998</v>
      </c>
      <c r="AZ17" s="3">
        <v>3.9999999999999925E-2</v>
      </c>
      <c r="BA17" s="3">
        <v>1.1964000000000006</v>
      </c>
      <c r="BB17" s="3">
        <v>4.17</v>
      </c>
      <c r="BC17" s="3">
        <v>124.7247</v>
      </c>
      <c r="BD17" s="3">
        <v>-5.9999999999998721E-2</v>
      </c>
      <c r="BE17" s="3">
        <v>21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2.9999999999999971E-2</v>
      </c>
      <c r="BN17" s="3">
        <v>0.56000000000000005</v>
      </c>
      <c r="BO17" s="3">
        <v>-0.95000000000000018</v>
      </c>
      <c r="BP17" s="3">
        <v>-1.4400000000000004</v>
      </c>
      <c r="BQ17" s="3">
        <v>-0.80999999999999961</v>
      </c>
      <c r="BR17" s="3">
        <v>0.89000000000000057</v>
      </c>
      <c r="BS17" s="3">
        <v>0.26999999999999957</v>
      </c>
      <c r="BT17" s="3">
        <v>-1.1799999999999997</v>
      </c>
      <c r="BU17" s="3">
        <v>-1.57</v>
      </c>
      <c r="BV17" s="3">
        <v>-0.39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0.12</v>
      </c>
      <c r="CS17" s="3">
        <v>1.92</v>
      </c>
      <c r="CT17" s="3">
        <v>2.1900000000000004</v>
      </c>
      <c r="CU17" s="3">
        <v>35.040000000000006</v>
      </c>
      <c r="CV17" s="3">
        <v>2.77</v>
      </c>
      <c r="CW17" s="3">
        <v>44.32</v>
      </c>
      <c r="CX17" s="3">
        <v>2.4599999999999995</v>
      </c>
      <c r="CY17" s="3">
        <v>39.359999999999992</v>
      </c>
      <c r="CZ17" s="3">
        <v>0.14999999999999947</v>
      </c>
      <c r="DA17" s="3">
        <v>2.3999999999999915</v>
      </c>
      <c r="DB17" s="3">
        <v>1.0399999999999996</v>
      </c>
      <c r="DC17" s="3">
        <v>16.639999999999993</v>
      </c>
      <c r="DD17" s="3">
        <v>0.81</v>
      </c>
      <c r="DE17" s="3">
        <v>12.96</v>
      </c>
      <c r="DF17" s="3">
        <v>-0.16999999999999993</v>
      </c>
      <c r="DG17" s="3">
        <v>-2.7199999999999989</v>
      </c>
      <c r="DH17" s="3">
        <v>0.24999999999999997</v>
      </c>
      <c r="DI17" s="3">
        <v>3.9999999999999996</v>
      </c>
      <c r="DJ17" s="3">
        <v>-0.01</v>
      </c>
      <c r="DK17" s="3">
        <v>-0.16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9.6099999999999959</v>
      </c>
      <c r="EA17" s="3">
        <v>154</v>
      </c>
      <c r="EB17" s="3">
        <v>1.68</v>
      </c>
      <c r="EC17" s="3">
        <v>0</v>
      </c>
      <c r="ED17" s="3">
        <v>0</v>
      </c>
      <c r="EE17" s="3">
        <v>-1.0000000000000002E-2</v>
      </c>
      <c r="EF17" s="3">
        <v>-1.0000000000000002E-2</v>
      </c>
      <c r="EG17" s="3">
        <v>-1.0000000000000002E-2</v>
      </c>
      <c r="EH17" s="3">
        <v>0</v>
      </c>
      <c r="EI17" s="3">
        <v>-0.08</v>
      </c>
      <c r="EJ17" s="3">
        <v>-0.66</v>
      </c>
      <c r="EK17" s="3">
        <v>-3.06</v>
      </c>
      <c r="EL17" s="3">
        <v>-2.76</v>
      </c>
      <c r="EM17" s="3">
        <v>-0.08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-0.03</v>
      </c>
      <c r="EU17" s="3">
        <v>0</v>
      </c>
      <c r="EV17" s="3">
        <v>0</v>
      </c>
      <c r="EW17" s="3">
        <v>0</v>
      </c>
      <c r="EX17" s="3">
        <v>0</v>
      </c>
      <c r="EY17" s="3">
        <v>4.5</v>
      </c>
      <c r="EZ17" s="3">
        <v>-0.50000000000000089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-0.24</v>
      </c>
      <c r="FP17" s="3">
        <v>-0.61999999999999988</v>
      </c>
      <c r="FQ17" s="3">
        <v>-1.37</v>
      </c>
      <c r="FR17" s="3">
        <v>2.23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0.33999999999999986</v>
      </c>
      <c r="FZ17" s="3">
        <v>-0.35</v>
      </c>
      <c r="GA17" s="3">
        <v>-3.0000000000000027E-2</v>
      </c>
      <c r="GB17" s="3">
        <v>-0.41999999999999993</v>
      </c>
      <c r="GC17" s="3">
        <v>-0.33000000000000007</v>
      </c>
      <c r="GD17" s="3">
        <v>0.92</v>
      </c>
      <c r="GE17" s="3">
        <v>-0.25</v>
      </c>
      <c r="GF17" s="3">
        <v>-0.39</v>
      </c>
      <c r="GG17" s="3">
        <v>-2.11</v>
      </c>
      <c r="GH17" s="3">
        <v>-1.1000000000000001</v>
      </c>
      <c r="GI17" s="3">
        <v>-0.66</v>
      </c>
      <c r="GJ17" s="3">
        <v>-1.1400000000000001</v>
      </c>
      <c r="GK17" s="3">
        <v>-0.88000000000000012</v>
      </c>
      <c r="GL17" s="3">
        <v>-0.16000000000000003</v>
      </c>
      <c r="GM17" s="3">
        <v>-0.54</v>
      </c>
      <c r="GN17" s="3">
        <v>-1.26</v>
      </c>
      <c r="GO17" s="3">
        <v>-2.4499999999999997</v>
      </c>
      <c r="GP17" s="3">
        <v>-1.8200000000000003</v>
      </c>
      <c r="GQ17" s="3">
        <v>-8.9999999999999858E-2</v>
      </c>
      <c r="GR17" s="3">
        <v>0.26999999999999991</v>
      </c>
      <c r="GS17" s="3">
        <v>0.32000000000000006</v>
      </c>
      <c r="GT17" s="3">
        <v>-0.21000000000000008</v>
      </c>
      <c r="GU17" s="3">
        <v>-0.45000000000000007</v>
      </c>
      <c r="GV17" s="3">
        <v>3.9999999999999925E-2</v>
      </c>
      <c r="GW17" s="3">
        <v>-0.32999999999999996</v>
      </c>
      <c r="GX17" s="3">
        <v>-13.420000000000002</v>
      </c>
      <c r="GY17" t="s">
        <v>265</v>
      </c>
      <c r="GZ17" t="s">
        <v>265</v>
      </c>
      <c r="HA17" t="s">
        <v>265</v>
      </c>
      <c r="HB17" t="s">
        <v>265</v>
      </c>
      <c r="HC17" t="s">
        <v>265</v>
      </c>
      <c r="HD17" t="s">
        <v>265</v>
      </c>
      <c r="HE17" t="s">
        <v>265</v>
      </c>
      <c r="HF17" t="s">
        <v>265</v>
      </c>
      <c r="HG17" t="s">
        <v>265</v>
      </c>
      <c r="HH17" t="s">
        <v>265</v>
      </c>
      <c r="HI17" t="s">
        <v>265</v>
      </c>
      <c r="HJ17" t="s">
        <v>265</v>
      </c>
      <c r="HK17" t="s">
        <v>265</v>
      </c>
      <c r="HL17" t="s">
        <v>265</v>
      </c>
      <c r="HM17" t="s">
        <v>265</v>
      </c>
      <c r="HN17" t="s">
        <v>265</v>
      </c>
      <c r="HO17" t="s">
        <v>265</v>
      </c>
      <c r="HP17" t="s">
        <v>265</v>
      </c>
      <c r="HQ17" t="s">
        <v>265</v>
      </c>
      <c r="HR17" t="s">
        <v>265</v>
      </c>
      <c r="HS17" t="s">
        <v>265</v>
      </c>
      <c r="HT17" t="s">
        <v>265</v>
      </c>
      <c r="HU17" t="s">
        <v>265</v>
      </c>
      <c r="HV17" t="s">
        <v>265</v>
      </c>
    </row>
    <row r="18" spans="2:230" x14ac:dyDescent="0.55000000000000004">
      <c r="B18" s="12" t="s">
        <v>277</v>
      </c>
      <c r="C18" s="6" t="str">
        <f t="shared" si="8"/>
        <v>日曜日</v>
      </c>
      <c r="D18" s="6"/>
      <c r="E18" s="6" t="str">
        <f t="shared" si="9"/>
        <v>〇</v>
      </c>
      <c r="F18" s="6" t="s">
        <v>197</v>
      </c>
      <c r="G18" s="6" t="s">
        <v>261</v>
      </c>
      <c r="H18" s="3">
        <v>2.3200000000000003</v>
      </c>
      <c r="I18" s="3">
        <v>69.391199999999998</v>
      </c>
      <c r="J18" s="3">
        <v>-0.28000000000000003</v>
      </c>
      <c r="K18" s="3">
        <v>-8.3748000000000005</v>
      </c>
      <c r="L18" s="3">
        <v>-1.54</v>
      </c>
      <c r="M18" s="3">
        <v>-46.061400000000006</v>
      </c>
      <c r="N18" s="3">
        <v>-0.35</v>
      </c>
      <c r="O18" s="3">
        <v>-10.468499999999999</v>
      </c>
      <c r="P18" s="3">
        <v>-0.22000000000000008</v>
      </c>
      <c r="Q18" s="3">
        <v>-6.5802000000000014</v>
      </c>
      <c r="R18" s="3">
        <v>-0.53000000000000014</v>
      </c>
      <c r="S18" s="3">
        <v>-15.852300000000007</v>
      </c>
      <c r="T18" s="3">
        <v>-0.31000000000000005</v>
      </c>
      <c r="U18" s="3">
        <v>-9.2721000000000053</v>
      </c>
      <c r="V18" s="3">
        <v>0.28999999999999992</v>
      </c>
      <c r="W18" s="3">
        <v>10.724199999999994</v>
      </c>
      <c r="X18" s="3">
        <v>0.25</v>
      </c>
      <c r="Y18" s="3">
        <v>9.2449999999999992</v>
      </c>
      <c r="Z18" s="3">
        <v>0.24</v>
      </c>
      <c r="AA18" s="3">
        <v>8.8751999999999995</v>
      </c>
      <c r="AB18" s="3">
        <v>0</v>
      </c>
      <c r="AC18" s="3">
        <v>0</v>
      </c>
      <c r="AD18" s="3">
        <v>0.01</v>
      </c>
      <c r="AE18" s="3">
        <v>0.36979999999999996</v>
      </c>
      <c r="AF18" s="3">
        <v>0.01</v>
      </c>
      <c r="AG18" s="3">
        <v>0.36979999999999996</v>
      </c>
      <c r="AH18" s="3">
        <v>0.01</v>
      </c>
      <c r="AI18" s="3">
        <v>0.36979999999999996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1.24</v>
      </c>
      <c r="AQ18" s="3">
        <v>45.855199999999996</v>
      </c>
      <c r="AR18" s="3">
        <v>-1.58</v>
      </c>
      <c r="AS18" s="3">
        <v>-58.428399999999996</v>
      </c>
      <c r="AT18" s="3">
        <v>0.28000000000000003</v>
      </c>
      <c r="AU18" s="3">
        <v>10.354400000000002</v>
      </c>
      <c r="AV18" s="3">
        <v>-0.63</v>
      </c>
      <c r="AW18" s="3">
        <v>-23.2974</v>
      </c>
      <c r="AX18" s="3">
        <v>-0.29999999999999982</v>
      </c>
      <c r="AY18" s="3">
        <v>-8.9729999999999919</v>
      </c>
      <c r="AZ18" s="3">
        <v>-0.1399999999999999</v>
      </c>
      <c r="BA18" s="3">
        <v>-4.1873999999999967</v>
      </c>
      <c r="BB18" s="3">
        <v>4.2</v>
      </c>
      <c r="BC18" s="3">
        <v>125.622</v>
      </c>
      <c r="BD18" s="3">
        <v>2.9700000000000024</v>
      </c>
      <c r="BE18" s="3">
        <v>90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-0.03</v>
      </c>
      <c r="BM18" s="3">
        <v>-0.77999999999999992</v>
      </c>
      <c r="BN18" s="3">
        <v>-3.25</v>
      </c>
      <c r="BO18" s="3">
        <v>-5.03</v>
      </c>
      <c r="BP18" s="3">
        <v>-6.1300000000000008</v>
      </c>
      <c r="BQ18" s="3">
        <v>-4.8499999999999996</v>
      </c>
      <c r="BR18" s="3">
        <v>-5.93</v>
      </c>
      <c r="BS18" s="3">
        <v>-6</v>
      </c>
      <c r="BT18" s="3">
        <v>-4.68</v>
      </c>
      <c r="BU18" s="3">
        <v>-2.2400000000000002</v>
      </c>
      <c r="BV18" s="3">
        <v>-0.49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-0.89999999999999991</v>
      </c>
      <c r="CU18" s="3">
        <v>-14.399999999999999</v>
      </c>
      <c r="CV18" s="3">
        <v>-0.48</v>
      </c>
      <c r="CW18" s="3">
        <v>-7.68</v>
      </c>
      <c r="CX18" s="3">
        <v>-3.6399999999999997</v>
      </c>
      <c r="CY18" s="3">
        <v>-58.239999999999995</v>
      </c>
      <c r="CZ18" s="3">
        <v>-4.92</v>
      </c>
      <c r="DA18" s="3">
        <v>-78.72</v>
      </c>
      <c r="DB18" s="3">
        <v>-5.9</v>
      </c>
      <c r="DC18" s="3">
        <v>-94.4</v>
      </c>
      <c r="DD18" s="3">
        <v>-5.75</v>
      </c>
      <c r="DE18" s="3">
        <v>-92</v>
      </c>
      <c r="DF18" s="3">
        <v>-4.16</v>
      </c>
      <c r="DG18" s="3">
        <v>-66.56</v>
      </c>
      <c r="DH18" s="3">
        <v>-1.02</v>
      </c>
      <c r="DI18" s="3">
        <v>-16.32</v>
      </c>
      <c r="DJ18" s="3">
        <v>-0.01</v>
      </c>
      <c r="DK18" s="3">
        <v>-0.16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-26.780000000000005</v>
      </c>
      <c r="EA18" s="3">
        <v>-428</v>
      </c>
      <c r="EB18" s="3">
        <v>2.2100000000000004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9.9999999999999985E-3</v>
      </c>
      <c r="EI18" s="3">
        <v>-0.03</v>
      </c>
      <c r="EJ18" s="3">
        <v>-1.49</v>
      </c>
      <c r="EK18" s="3">
        <v>-2.41</v>
      </c>
      <c r="EL18" s="3">
        <v>-2.3199999999999998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-0.32</v>
      </c>
      <c r="EU18" s="3">
        <v>1.0000000000000002E-2</v>
      </c>
      <c r="EV18" s="3">
        <v>1.0000000000000002E-2</v>
      </c>
      <c r="EW18" s="3">
        <v>1.0000000000000002E-2</v>
      </c>
      <c r="EX18" s="3">
        <v>1.0000000000000002E-2</v>
      </c>
      <c r="EY18" s="3">
        <v>4.3</v>
      </c>
      <c r="EZ18" s="3">
        <v>-1.0000000000001563E-2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0.31000000000000005</v>
      </c>
      <c r="FQ18" s="3">
        <v>0.45999999999999996</v>
      </c>
      <c r="FR18" s="3">
        <v>-1.58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0.1899999999999995</v>
      </c>
      <c r="FZ18" s="3">
        <v>0.10999999999999999</v>
      </c>
      <c r="GA18" s="3">
        <v>-0.27999999999999992</v>
      </c>
      <c r="GB18" s="3">
        <v>-1.5399999999999998</v>
      </c>
      <c r="GC18" s="3">
        <v>-0.35</v>
      </c>
      <c r="GD18" s="3">
        <v>-0.21999999999999997</v>
      </c>
      <c r="GE18" s="3">
        <v>-0.53</v>
      </c>
      <c r="GF18" s="3">
        <v>-0.35000000000000009</v>
      </c>
      <c r="GG18" s="3">
        <v>-0.45999999999999996</v>
      </c>
      <c r="GH18" s="3">
        <v>-0.6100000000000001</v>
      </c>
      <c r="GI18" s="3">
        <v>-1.9000000000000001</v>
      </c>
      <c r="GJ18" s="3">
        <v>1.0000000000000009E-2</v>
      </c>
      <c r="GK18" s="3">
        <v>0.12</v>
      </c>
      <c r="GL18" s="3">
        <v>0.20999999999999996</v>
      </c>
      <c r="GM18" s="3">
        <v>0</v>
      </c>
      <c r="GN18" s="3">
        <v>-0.21000000000000008</v>
      </c>
      <c r="GO18" s="3">
        <v>-0.91000000000000014</v>
      </c>
      <c r="GP18" s="3">
        <v>-2.0000000000000018E-2</v>
      </c>
      <c r="GQ18" s="3">
        <v>-0.33999999999999986</v>
      </c>
      <c r="GR18" s="3">
        <v>-1.2599999999999998</v>
      </c>
      <c r="GS18" s="3">
        <v>0.26999999999999991</v>
      </c>
      <c r="GT18" s="3">
        <v>-0.64</v>
      </c>
      <c r="GU18" s="3">
        <v>-0.31000000000000005</v>
      </c>
      <c r="GV18" s="3">
        <v>-0.15000000000000002</v>
      </c>
      <c r="GW18" s="3">
        <v>-9.9999999999999978E-2</v>
      </c>
      <c r="GX18" s="3">
        <v>-9.4600000000000044</v>
      </c>
      <c r="GY18" t="s">
        <v>265</v>
      </c>
      <c r="GZ18" t="s">
        <v>265</v>
      </c>
      <c r="HA18" t="s">
        <v>265</v>
      </c>
      <c r="HB18" t="s">
        <v>265</v>
      </c>
      <c r="HC18" t="s">
        <v>265</v>
      </c>
      <c r="HD18" t="s">
        <v>265</v>
      </c>
      <c r="HE18" t="s">
        <v>265</v>
      </c>
      <c r="HF18" t="s">
        <v>265</v>
      </c>
      <c r="HG18" t="s">
        <v>265</v>
      </c>
      <c r="HH18" t="s">
        <v>265</v>
      </c>
      <c r="HI18" t="s">
        <v>265</v>
      </c>
      <c r="HJ18" t="s">
        <v>265</v>
      </c>
      <c r="HK18" t="s">
        <v>265</v>
      </c>
      <c r="HL18" t="s">
        <v>265</v>
      </c>
      <c r="HM18" t="s">
        <v>265</v>
      </c>
      <c r="HN18" t="s">
        <v>265</v>
      </c>
      <c r="HO18" t="s">
        <v>265</v>
      </c>
      <c r="HP18" t="s">
        <v>265</v>
      </c>
      <c r="HQ18" t="s">
        <v>265</v>
      </c>
      <c r="HR18" t="s">
        <v>265</v>
      </c>
      <c r="HS18" t="s">
        <v>265</v>
      </c>
      <c r="HT18" t="s">
        <v>265</v>
      </c>
      <c r="HU18" t="s">
        <v>265</v>
      </c>
      <c r="HV18" t="s">
        <v>265</v>
      </c>
    </row>
    <row r="19" spans="2:230" x14ac:dyDescent="0.55000000000000004">
      <c r="B19" s="12" t="s">
        <v>278</v>
      </c>
      <c r="C19" s="6" t="str">
        <f t="shared" si="8"/>
        <v>月曜日</v>
      </c>
      <c r="D19" s="6"/>
      <c r="E19" s="6" t="str">
        <f t="shared" si="9"/>
        <v/>
      </c>
      <c r="F19" s="6" t="s">
        <v>197</v>
      </c>
      <c r="G19" s="6" t="s">
        <v>261</v>
      </c>
      <c r="H19" s="3">
        <v>2.4299999999999997</v>
      </c>
      <c r="I19" s="3">
        <v>72.681299999999993</v>
      </c>
      <c r="J19" s="3">
        <v>-0.19000000000000006</v>
      </c>
      <c r="K19" s="3">
        <v>-5.6829000000000036</v>
      </c>
      <c r="L19" s="3">
        <v>-0.25</v>
      </c>
      <c r="M19" s="3">
        <v>-7.4774999999999991</v>
      </c>
      <c r="N19" s="3">
        <v>-0.19999999999999996</v>
      </c>
      <c r="O19" s="3">
        <v>-5.9819999999999993</v>
      </c>
      <c r="P19" s="3">
        <v>-0.47</v>
      </c>
      <c r="Q19" s="3">
        <v>-14.057699999999997</v>
      </c>
      <c r="R19" s="3">
        <v>-0.96000000000000008</v>
      </c>
      <c r="S19" s="3">
        <v>-28.713600000000003</v>
      </c>
      <c r="T19" s="3">
        <v>-1.7200000000000002</v>
      </c>
      <c r="U19" s="3">
        <v>-51.445200000000014</v>
      </c>
      <c r="V19" s="3">
        <v>0.14000000000000001</v>
      </c>
      <c r="W19" s="3">
        <v>5.1771999999999991</v>
      </c>
      <c r="X19" s="3">
        <v>0.01</v>
      </c>
      <c r="Y19" s="3">
        <v>0.36979999999999996</v>
      </c>
      <c r="Z19" s="3">
        <v>-0.01</v>
      </c>
      <c r="AA19" s="3">
        <v>-0.36979999999999996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-0.01</v>
      </c>
      <c r="AM19" s="3">
        <v>-0.36979999999999996</v>
      </c>
      <c r="AN19" s="3">
        <v>0.01</v>
      </c>
      <c r="AO19" s="3">
        <v>0.36979999999999996</v>
      </c>
      <c r="AP19" s="3">
        <v>2.73</v>
      </c>
      <c r="AQ19" s="3">
        <v>100.9554</v>
      </c>
      <c r="AR19" s="3">
        <v>-0.28000000000000003</v>
      </c>
      <c r="AS19" s="3">
        <v>-10.354400000000005</v>
      </c>
      <c r="AT19" s="3">
        <v>0.21999999999999997</v>
      </c>
      <c r="AU19" s="3">
        <v>8.1356000000000002</v>
      </c>
      <c r="AV19" s="3">
        <v>-0.15000000000000002</v>
      </c>
      <c r="AW19" s="3">
        <v>-5.546999999999997</v>
      </c>
      <c r="AX19" s="3">
        <v>-0.5099999999999999</v>
      </c>
      <c r="AY19" s="3">
        <v>-15.254099999999994</v>
      </c>
      <c r="AZ19" s="3">
        <v>0.16999999999999993</v>
      </c>
      <c r="BA19" s="3">
        <v>5.084699999999998</v>
      </c>
      <c r="BB19" s="3">
        <v>4.84</v>
      </c>
      <c r="BC19" s="3">
        <v>144.76439999999999</v>
      </c>
      <c r="BD19" s="3">
        <v>5.8000000000000007</v>
      </c>
      <c r="BE19" s="3">
        <v>193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-0.02</v>
      </c>
      <c r="BM19" s="3">
        <v>-0.76</v>
      </c>
      <c r="BN19" s="3">
        <v>-2.4099999999999997</v>
      </c>
      <c r="BO19" s="3">
        <v>-4.6300000000000008</v>
      </c>
      <c r="BP19" s="3">
        <v>-2.56</v>
      </c>
      <c r="BQ19" s="3">
        <v>2.66</v>
      </c>
      <c r="BR19" s="3">
        <v>1.4699999999999998</v>
      </c>
      <c r="BS19" s="3">
        <v>-1.5799999999999996</v>
      </c>
      <c r="BT19" s="3">
        <v>-1.3</v>
      </c>
      <c r="BU19" s="3">
        <v>-0.47000000000000003</v>
      </c>
      <c r="BV19" s="3">
        <v>-0.09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0.03</v>
      </c>
      <c r="CS19" s="3">
        <v>0.48</v>
      </c>
      <c r="CT19" s="3">
        <v>-0.59</v>
      </c>
      <c r="CU19" s="3">
        <v>-9.44</v>
      </c>
      <c r="CV19" s="3">
        <v>-0.78000000000000014</v>
      </c>
      <c r="CW19" s="3">
        <v>-12.480000000000002</v>
      </c>
      <c r="CX19" s="3">
        <v>-1.2500000000000004</v>
      </c>
      <c r="CY19" s="3">
        <v>-20.000000000000007</v>
      </c>
      <c r="CZ19" s="3">
        <v>2.8899999999999997</v>
      </c>
      <c r="DA19" s="3">
        <v>46.239999999999995</v>
      </c>
      <c r="DB19" s="3">
        <v>1.67</v>
      </c>
      <c r="DC19" s="3">
        <v>26.72</v>
      </c>
      <c r="DD19" s="3">
        <v>-1.3800000000000003</v>
      </c>
      <c r="DE19" s="3">
        <v>-22.080000000000005</v>
      </c>
      <c r="DF19" s="3">
        <v>-1.3499999999999999</v>
      </c>
      <c r="DG19" s="3">
        <v>-21.599999999999998</v>
      </c>
      <c r="DH19" s="3">
        <v>-0.11</v>
      </c>
      <c r="DI19" s="3">
        <v>-1.76</v>
      </c>
      <c r="DJ19" s="3">
        <v>0</v>
      </c>
      <c r="DK19" s="3">
        <v>0</v>
      </c>
      <c r="DL19" s="3">
        <v>-0.01</v>
      </c>
      <c r="DM19" s="3">
        <v>-0.16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-0.88000000000000256</v>
      </c>
      <c r="EA19" s="3">
        <v>-14</v>
      </c>
      <c r="EB19" s="3">
        <v>2.3200000000000003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9.9999999999999985E-3</v>
      </c>
      <c r="EI19" s="3">
        <v>-0.22</v>
      </c>
      <c r="EJ19" s="3">
        <v>-1.26</v>
      </c>
      <c r="EK19" s="3">
        <v>-3.53</v>
      </c>
      <c r="EL19" s="3">
        <v>-1.07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-0.02</v>
      </c>
      <c r="EU19" s="3">
        <v>-1.0000000000000002E-2</v>
      </c>
      <c r="EV19" s="3">
        <v>-1.0000000000000002E-2</v>
      </c>
      <c r="EW19" s="3">
        <v>-1.0000000000000002E-2</v>
      </c>
      <c r="EX19" s="3">
        <v>-1.0000000000000002E-2</v>
      </c>
      <c r="EY19" s="3">
        <v>4.46</v>
      </c>
      <c r="EZ19" s="3">
        <v>0.97999999999999776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0.66000000000000014</v>
      </c>
      <c r="FQ19" s="3">
        <v>8.9999999999999858E-2</v>
      </c>
      <c r="FR19" s="3">
        <v>-1.94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-0.45999999999999996</v>
      </c>
      <c r="FZ19" s="3">
        <v>0.10999999999999999</v>
      </c>
      <c r="GA19" s="3">
        <v>-0.19000000000000006</v>
      </c>
      <c r="GB19" s="3">
        <v>-0.25</v>
      </c>
      <c r="GC19" s="3">
        <v>-0.20000000000000007</v>
      </c>
      <c r="GD19" s="3">
        <v>-0.46999999999999986</v>
      </c>
      <c r="GE19" s="3">
        <v>-0.96</v>
      </c>
      <c r="GF19" s="3">
        <v>-1.75</v>
      </c>
      <c r="GG19" s="3">
        <v>-0.42000000000000004</v>
      </c>
      <c r="GH19" s="3">
        <v>-0.55000000000000004</v>
      </c>
      <c r="GI19" s="3">
        <v>-0.33000000000000007</v>
      </c>
      <c r="GJ19" s="3">
        <v>-0.24</v>
      </c>
      <c r="GK19" s="3">
        <v>-0.22999999999999998</v>
      </c>
      <c r="GL19" s="3">
        <v>-0.19999999999999996</v>
      </c>
      <c r="GM19" s="3">
        <v>-0.2</v>
      </c>
      <c r="GN19" s="3">
        <v>0.77</v>
      </c>
      <c r="GO19" s="3">
        <v>0.29000000000000026</v>
      </c>
      <c r="GP19" s="3">
        <v>9.9999999999997868E-3</v>
      </c>
      <c r="GQ19" s="3">
        <v>0.4700000000000002</v>
      </c>
      <c r="GR19" s="3">
        <v>-0.26</v>
      </c>
      <c r="GS19" s="3">
        <v>0.22999999999999998</v>
      </c>
      <c r="GT19" s="3">
        <v>-0.14000000000000001</v>
      </c>
      <c r="GU19" s="3">
        <v>-0.50000000000000011</v>
      </c>
      <c r="GV19" s="3">
        <v>0.17999999999999994</v>
      </c>
      <c r="GW19" s="3">
        <v>0.38</v>
      </c>
      <c r="GX19" s="3">
        <v>-4.4499999999999957</v>
      </c>
      <c r="GY19" t="s">
        <v>265</v>
      </c>
      <c r="GZ19" t="s">
        <v>265</v>
      </c>
      <c r="HA19" t="s">
        <v>265</v>
      </c>
      <c r="HB19" t="s">
        <v>265</v>
      </c>
      <c r="HC19" t="s">
        <v>265</v>
      </c>
      <c r="HD19" t="s">
        <v>265</v>
      </c>
      <c r="HE19" t="s">
        <v>265</v>
      </c>
      <c r="HF19" t="s">
        <v>265</v>
      </c>
      <c r="HG19" t="s">
        <v>265</v>
      </c>
      <c r="HH19" t="s">
        <v>265</v>
      </c>
      <c r="HI19" t="s">
        <v>265</v>
      </c>
      <c r="HJ19" t="s">
        <v>265</v>
      </c>
      <c r="HK19" t="s">
        <v>265</v>
      </c>
      <c r="HL19" t="s">
        <v>265</v>
      </c>
      <c r="HM19" t="s">
        <v>265</v>
      </c>
      <c r="HN19" t="s">
        <v>265</v>
      </c>
      <c r="HO19" t="s">
        <v>265</v>
      </c>
      <c r="HP19" t="s">
        <v>265</v>
      </c>
      <c r="HQ19" t="s">
        <v>265</v>
      </c>
      <c r="HR19" t="s">
        <v>265</v>
      </c>
      <c r="HS19" t="s">
        <v>265</v>
      </c>
      <c r="HT19" t="s">
        <v>265</v>
      </c>
      <c r="HU19" t="s">
        <v>265</v>
      </c>
      <c r="HV19" t="s">
        <v>265</v>
      </c>
    </row>
    <row r="20" spans="2:230" x14ac:dyDescent="0.55000000000000004">
      <c r="B20" s="12" t="s">
        <v>279</v>
      </c>
      <c r="C20" s="6" t="str">
        <f t="shared" si="8"/>
        <v>火曜日</v>
      </c>
      <c r="D20" s="6"/>
      <c r="E20" s="6" t="str">
        <f t="shared" si="9"/>
        <v/>
      </c>
      <c r="F20" s="6" t="s">
        <v>197</v>
      </c>
      <c r="G20" s="6" t="s">
        <v>261</v>
      </c>
      <c r="H20" s="3">
        <v>1.85</v>
      </c>
      <c r="I20" s="3">
        <v>55.333500000000001</v>
      </c>
      <c r="J20" s="3">
        <v>7.0000000000000062E-2</v>
      </c>
      <c r="K20" s="3">
        <v>2.0937000000000019</v>
      </c>
      <c r="L20" s="3">
        <v>6.0000000000000053E-2</v>
      </c>
      <c r="M20" s="3">
        <v>1.7946000000000026</v>
      </c>
      <c r="N20" s="3">
        <v>0.95</v>
      </c>
      <c r="O20" s="3">
        <v>28.4145</v>
      </c>
      <c r="P20" s="3">
        <v>1.0000000000000009E-2</v>
      </c>
      <c r="Q20" s="3">
        <v>0.29909999999999926</v>
      </c>
      <c r="R20" s="3">
        <v>4.0000000000000036E-2</v>
      </c>
      <c r="S20" s="3">
        <v>1.1964000000000006</v>
      </c>
      <c r="T20" s="3">
        <v>-3.0000000000000027E-2</v>
      </c>
      <c r="U20" s="3">
        <v>-0.89730000000000132</v>
      </c>
      <c r="V20" s="3">
        <v>-0.15000000000000002</v>
      </c>
      <c r="W20" s="3">
        <v>-5.5470000000000006</v>
      </c>
      <c r="X20" s="3">
        <v>-0.64</v>
      </c>
      <c r="Y20" s="3">
        <v>-23.667199999999998</v>
      </c>
      <c r="Z20" s="3">
        <v>0</v>
      </c>
      <c r="AA20" s="3">
        <v>0</v>
      </c>
      <c r="AB20" s="3">
        <v>0</v>
      </c>
      <c r="AC20" s="3">
        <v>0</v>
      </c>
      <c r="AD20" s="3">
        <v>-0.01</v>
      </c>
      <c r="AE20" s="3">
        <v>-0.36979999999999996</v>
      </c>
      <c r="AF20" s="3">
        <v>-0.01</v>
      </c>
      <c r="AG20" s="3">
        <v>-0.36979999999999996</v>
      </c>
      <c r="AH20" s="3">
        <v>-0.01</v>
      </c>
      <c r="AI20" s="3">
        <v>-0.36979999999999996</v>
      </c>
      <c r="AJ20" s="3">
        <v>0</v>
      </c>
      <c r="AK20" s="3">
        <v>0</v>
      </c>
      <c r="AL20" s="3">
        <v>-0.01</v>
      </c>
      <c r="AM20" s="3">
        <v>-0.36979999999999996</v>
      </c>
      <c r="AN20" s="3">
        <v>-0.01</v>
      </c>
      <c r="AO20" s="3">
        <v>-0.36979999999999996</v>
      </c>
      <c r="AP20" s="3">
        <v>0.13</v>
      </c>
      <c r="AQ20" s="3">
        <v>4.8074000000000012</v>
      </c>
      <c r="AR20" s="3">
        <v>-1.0000000000000009E-2</v>
      </c>
      <c r="AS20" s="3">
        <v>-0.36979999999999791</v>
      </c>
      <c r="AT20" s="3">
        <v>0.36999999999999988</v>
      </c>
      <c r="AU20" s="3">
        <v>13.682599999999994</v>
      </c>
      <c r="AV20" s="3">
        <v>0.21000000000000008</v>
      </c>
      <c r="AW20" s="3">
        <v>7.7658000000000023</v>
      </c>
      <c r="AX20" s="3">
        <v>-5.0000000000000044E-2</v>
      </c>
      <c r="AY20" s="3">
        <v>-1.4954999999999998</v>
      </c>
      <c r="AZ20" s="3">
        <v>0.57000000000000006</v>
      </c>
      <c r="BA20" s="3">
        <v>17.048700000000004</v>
      </c>
      <c r="BB20" s="3">
        <v>4.8599999999999994</v>
      </c>
      <c r="BC20" s="3">
        <v>145.36259999999999</v>
      </c>
      <c r="BD20" s="3">
        <v>8.1900000000000031</v>
      </c>
      <c r="BE20" s="3">
        <v>244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0.27</v>
      </c>
      <c r="BN20" s="3">
        <v>1.7100000000000002</v>
      </c>
      <c r="BO20" s="3">
        <v>3.3499999999999996</v>
      </c>
      <c r="BP20" s="3">
        <v>2.04</v>
      </c>
      <c r="BQ20" s="3">
        <v>0.7200000000000002</v>
      </c>
      <c r="BR20" s="3">
        <v>0.38999999999999968</v>
      </c>
      <c r="BS20" s="3">
        <v>1.32</v>
      </c>
      <c r="BT20" s="3">
        <v>1.8</v>
      </c>
      <c r="BU20" s="3">
        <v>5.0000000000000017E-2</v>
      </c>
      <c r="BV20" s="3">
        <v>-0.22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0.08</v>
      </c>
      <c r="CS20" s="3">
        <v>1.28</v>
      </c>
      <c r="CT20" s="3">
        <v>2.2000000000000002</v>
      </c>
      <c r="CU20" s="3">
        <v>35.200000000000003</v>
      </c>
      <c r="CV20" s="3">
        <v>3.77</v>
      </c>
      <c r="CW20" s="3">
        <v>60.32</v>
      </c>
      <c r="CX20" s="3">
        <v>2.4500000000000002</v>
      </c>
      <c r="CY20" s="3">
        <v>39.200000000000003</v>
      </c>
      <c r="CZ20" s="3">
        <v>1.7</v>
      </c>
      <c r="DA20" s="3">
        <v>27.2</v>
      </c>
      <c r="DB20" s="3">
        <v>2.66</v>
      </c>
      <c r="DC20" s="3">
        <v>42.56</v>
      </c>
      <c r="DD20" s="3">
        <v>2.91</v>
      </c>
      <c r="DE20" s="3">
        <v>46.56</v>
      </c>
      <c r="DF20" s="3">
        <v>1.9</v>
      </c>
      <c r="DG20" s="3">
        <v>30.4</v>
      </c>
      <c r="DH20" s="3">
        <v>1.9999999999999997E-2</v>
      </c>
      <c r="DI20" s="3">
        <v>0.31999999999999995</v>
      </c>
      <c r="DJ20" s="3">
        <v>-0.01</v>
      </c>
      <c r="DK20" s="3">
        <v>-0.16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17.68</v>
      </c>
      <c r="EA20" s="3">
        <v>283</v>
      </c>
      <c r="EB20" s="3">
        <v>1.65</v>
      </c>
      <c r="EC20" s="3">
        <v>-1.0000000000000002E-2</v>
      </c>
      <c r="ED20" s="3">
        <v>-1.0000000000000002E-2</v>
      </c>
      <c r="EE20" s="3">
        <v>-0.02</v>
      </c>
      <c r="EF20" s="3">
        <v>-1.0000000000000002E-2</v>
      </c>
      <c r="EG20" s="3">
        <v>-1.0000000000000002E-2</v>
      </c>
      <c r="EH20" s="3">
        <v>-9.9999999999999985E-3</v>
      </c>
      <c r="EI20" s="3">
        <v>-0.02</v>
      </c>
      <c r="EJ20" s="3">
        <v>-7.0000000000000007E-2</v>
      </c>
      <c r="EK20" s="3">
        <v>-0.21</v>
      </c>
      <c r="EL20" s="3">
        <v>-0.31</v>
      </c>
      <c r="EM20" s="3">
        <v>-1.37</v>
      </c>
      <c r="EN20" s="3">
        <v>-2.2000000000000002</v>
      </c>
      <c r="EO20" s="3">
        <v>-1.47</v>
      </c>
      <c r="EP20" s="3">
        <v>-0.01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4.25</v>
      </c>
      <c r="EZ20" s="3">
        <v>0.16999999999999904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-0.85000000000000009</v>
      </c>
      <c r="FQ20" s="3">
        <v>0.29999999999999982</v>
      </c>
      <c r="FR20" s="3">
        <v>0.74999999999999978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0.41999999999999904</v>
      </c>
      <c r="FZ20" s="3">
        <v>0.19999999999999996</v>
      </c>
      <c r="GA20" s="3">
        <v>7.999999999999996E-2</v>
      </c>
      <c r="GB20" s="3">
        <v>6.9999999999999951E-2</v>
      </c>
      <c r="GC20" s="3">
        <v>0.97</v>
      </c>
      <c r="GD20" s="3">
        <v>2.0000000000000018E-2</v>
      </c>
      <c r="GE20" s="3">
        <v>4.9999999999999933E-2</v>
      </c>
      <c r="GF20" s="3">
        <v>-2.0000000000000018E-2</v>
      </c>
      <c r="GG20" s="3">
        <v>5.9999999999999942E-2</v>
      </c>
      <c r="GH20" s="3">
        <v>-1.06</v>
      </c>
      <c r="GI20" s="3">
        <v>-0.20999999999999996</v>
      </c>
      <c r="GJ20" s="3">
        <v>-9.9999999999999978E-2</v>
      </c>
      <c r="GK20" s="3">
        <v>0.58000000000000007</v>
      </c>
      <c r="GL20" s="3">
        <v>-0.06</v>
      </c>
      <c r="GM20" s="3">
        <v>-0.13</v>
      </c>
      <c r="GN20" s="3">
        <v>-9.0000000000000024E-2</v>
      </c>
      <c r="GO20" s="3">
        <v>-0.83000000000000007</v>
      </c>
      <c r="GP20" s="3">
        <v>7.9999999999999627E-2</v>
      </c>
      <c r="GQ20" s="3">
        <v>0.87999999999999989</v>
      </c>
      <c r="GR20" s="3">
        <v>-1.0000000000000009E-2</v>
      </c>
      <c r="GS20" s="3">
        <v>0.37000000000000011</v>
      </c>
      <c r="GT20" s="3">
        <v>0.20999999999999996</v>
      </c>
      <c r="GU20" s="3">
        <v>-4.9999999999999822E-2</v>
      </c>
      <c r="GV20" s="3">
        <v>0.56999999999999995</v>
      </c>
      <c r="GW20" s="3">
        <v>0.6100000000000001</v>
      </c>
      <c r="GX20" s="3">
        <v>2.1899999999999977</v>
      </c>
      <c r="GY20" t="s">
        <v>265</v>
      </c>
      <c r="GZ20" t="s">
        <v>265</v>
      </c>
      <c r="HA20" t="s">
        <v>265</v>
      </c>
      <c r="HB20" t="s">
        <v>265</v>
      </c>
      <c r="HC20" t="s">
        <v>265</v>
      </c>
      <c r="HD20" t="s">
        <v>265</v>
      </c>
      <c r="HE20" t="s">
        <v>265</v>
      </c>
      <c r="HF20" t="s">
        <v>265</v>
      </c>
      <c r="HG20" t="s">
        <v>265</v>
      </c>
      <c r="HH20" t="s">
        <v>265</v>
      </c>
      <c r="HI20" t="s">
        <v>265</v>
      </c>
      <c r="HJ20" t="s">
        <v>265</v>
      </c>
      <c r="HK20" t="s">
        <v>265</v>
      </c>
      <c r="HL20" t="s">
        <v>265</v>
      </c>
      <c r="HM20" t="s">
        <v>265</v>
      </c>
      <c r="HN20" t="s">
        <v>265</v>
      </c>
      <c r="HO20" t="s">
        <v>265</v>
      </c>
      <c r="HP20" t="s">
        <v>265</v>
      </c>
      <c r="HQ20" t="s">
        <v>265</v>
      </c>
      <c r="HR20" t="s">
        <v>265</v>
      </c>
      <c r="HS20" t="s">
        <v>265</v>
      </c>
      <c r="HT20" t="s">
        <v>265</v>
      </c>
      <c r="HU20" t="s">
        <v>265</v>
      </c>
      <c r="HV20" t="s">
        <v>265</v>
      </c>
    </row>
    <row r="21" spans="2:230" x14ac:dyDescent="0.55000000000000004">
      <c r="B21" s="12" t="s">
        <v>280</v>
      </c>
      <c r="C21" s="6" t="str">
        <f t="shared" si="8"/>
        <v>水曜日</v>
      </c>
      <c r="D21" s="6"/>
      <c r="E21" s="6" t="str">
        <f t="shared" si="9"/>
        <v/>
      </c>
      <c r="F21" s="6" t="s">
        <v>197</v>
      </c>
      <c r="G21" s="6" t="s">
        <v>261</v>
      </c>
      <c r="H21" s="3">
        <v>2.7699999999999996</v>
      </c>
      <c r="I21" s="3">
        <v>82.850699999999989</v>
      </c>
      <c r="J21" s="3">
        <v>0.44999999999999996</v>
      </c>
      <c r="K21" s="3">
        <v>13.459499999999998</v>
      </c>
      <c r="L21" s="3">
        <v>0.30000000000000004</v>
      </c>
      <c r="M21" s="3">
        <v>8.9730000000000025</v>
      </c>
      <c r="N21" s="3">
        <v>0.49</v>
      </c>
      <c r="O21" s="3">
        <v>14.655900000000001</v>
      </c>
      <c r="P21" s="3">
        <v>0.17000000000000004</v>
      </c>
      <c r="Q21" s="3">
        <v>5.0847000000000016</v>
      </c>
      <c r="R21" s="3">
        <v>0.32999999999999996</v>
      </c>
      <c r="S21" s="3">
        <v>9.8703000000000003</v>
      </c>
      <c r="T21" s="3">
        <v>0.25</v>
      </c>
      <c r="U21" s="3">
        <v>7.4774999999999991</v>
      </c>
      <c r="V21" s="3">
        <v>0.47</v>
      </c>
      <c r="W21" s="3">
        <v>17.380599999999998</v>
      </c>
      <c r="X21" s="3">
        <v>0.16000000000000003</v>
      </c>
      <c r="Y21" s="3">
        <v>5.9168000000000003</v>
      </c>
      <c r="Z21" s="3">
        <v>0.39</v>
      </c>
      <c r="AA21" s="3">
        <v>14.422199999999997</v>
      </c>
      <c r="AB21" s="3">
        <v>0</v>
      </c>
      <c r="AC21" s="3">
        <v>0</v>
      </c>
      <c r="AD21" s="3">
        <v>-0.4</v>
      </c>
      <c r="AE21" s="3">
        <v>-14.792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2.1700000000000004</v>
      </c>
      <c r="AM21" s="3">
        <v>80.246600000000001</v>
      </c>
      <c r="AN21" s="3">
        <v>1.25</v>
      </c>
      <c r="AO21" s="3">
        <v>46.225000000000001</v>
      </c>
      <c r="AP21" s="3">
        <v>0.92000000000000015</v>
      </c>
      <c r="AQ21" s="3">
        <v>34.021600000000007</v>
      </c>
      <c r="AR21" s="3">
        <v>1.99</v>
      </c>
      <c r="AS21" s="3">
        <v>73.59020000000001</v>
      </c>
      <c r="AT21" s="3">
        <v>0.4</v>
      </c>
      <c r="AU21" s="3">
        <v>14.791999999999998</v>
      </c>
      <c r="AV21" s="3">
        <v>-0.19999999999999996</v>
      </c>
      <c r="AW21" s="3">
        <v>-7.3960000000000008</v>
      </c>
      <c r="AX21" s="3">
        <v>-0.19000000000000006</v>
      </c>
      <c r="AY21" s="3">
        <v>-5.6829000000000036</v>
      </c>
      <c r="AZ21" s="3">
        <v>-1.0000000000000009E-2</v>
      </c>
      <c r="BA21" s="3">
        <v>-0.29910000000000281</v>
      </c>
      <c r="BB21" s="3">
        <v>4.18</v>
      </c>
      <c r="BC21" s="3">
        <v>125.02379999999998</v>
      </c>
      <c r="BD21" s="3">
        <v>15.89</v>
      </c>
      <c r="BE21" s="3">
        <v>526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-2.0000000000000004E-2</v>
      </c>
      <c r="BO21" s="3">
        <v>-0.28000000000000003</v>
      </c>
      <c r="BP21" s="3">
        <v>-0.22000000000000003</v>
      </c>
      <c r="BQ21" s="3">
        <v>-0.32999999999999996</v>
      </c>
      <c r="BR21" s="3">
        <v>-0.53</v>
      </c>
      <c r="BS21" s="3">
        <v>-0.99</v>
      </c>
      <c r="BT21" s="3">
        <v>-0.58000000000000007</v>
      </c>
      <c r="BU21" s="3">
        <v>-0.25</v>
      </c>
      <c r="BV21" s="3">
        <v>-0.03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-0.01</v>
      </c>
      <c r="CY21" s="3">
        <v>-0.16</v>
      </c>
      <c r="CZ21" s="3">
        <v>0</v>
      </c>
      <c r="DA21" s="3">
        <v>0</v>
      </c>
      <c r="DB21" s="3">
        <v>0</v>
      </c>
      <c r="DC21" s="3">
        <v>0</v>
      </c>
      <c r="DD21" s="3">
        <v>-0.01</v>
      </c>
      <c r="DE21" s="3">
        <v>-0.16</v>
      </c>
      <c r="DF21" s="3">
        <v>-0.01</v>
      </c>
      <c r="DG21" s="3">
        <v>-0.16</v>
      </c>
      <c r="DH21" s="3">
        <v>-0.01</v>
      </c>
      <c r="DI21" s="3">
        <v>-0.16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-0.04</v>
      </c>
      <c r="EA21" s="3">
        <v>-1</v>
      </c>
      <c r="EB21" s="3">
        <v>2.35</v>
      </c>
      <c r="EC21" s="3">
        <v>-0.02</v>
      </c>
      <c r="ED21" s="3">
        <v>-1.0000000000000002E-2</v>
      </c>
      <c r="EE21" s="3">
        <v>-1.0000000000000002E-2</v>
      </c>
      <c r="EF21" s="3">
        <v>-1.0000000000000002E-2</v>
      </c>
      <c r="EG21" s="3">
        <v>-1.0000000000000002E-2</v>
      </c>
      <c r="EH21" s="3">
        <v>-1.0000000000000002E-2</v>
      </c>
      <c r="EI21" s="3">
        <v>-0.01</v>
      </c>
      <c r="EJ21" s="3">
        <v>-0.02</v>
      </c>
      <c r="EK21" s="3">
        <v>-0.14000000000000001</v>
      </c>
      <c r="EL21" s="3">
        <v>-0.05</v>
      </c>
      <c r="EM21" s="3">
        <v>0</v>
      </c>
      <c r="EN21" s="3">
        <v>-0.41</v>
      </c>
      <c r="EO21" s="3">
        <v>-0.84</v>
      </c>
      <c r="EP21" s="3">
        <v>-0.45</v>
      </c>
      <c r="EQ21" s="3">
        <v>0</v>
      </c>
      <c r="ER21" s="3">
        <v>0.03</v>
      </c>
      <c r="ES21" s="3">
        <v>-1.0000000000000002E-2</v>
      </c>
      <c r="ET21" s="3">
        <v>-1.0000000000000002E-2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4.1899999999999995</v>
      </c>
      <c r="EZ21" s="3">
        <v>4.5199999999999978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0.64</v>
      </c>
      <c r="FM21" s="3">
        <v>0.56999999999999995</v>
      </c>
      <c r="FN21" s="3">
        <v>0.54</v>
      </c>
      <c r="FO21" s="3">
        <v>2.0699999999999998</v>
      </c>
      <c r="FP21" s="3">
        <v>-0.67</v>
      </c>
      <c r="FQ21" s="3">
        <v>-0.28999999999999998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3.2799999999999989</v>
      </c>
      <c r="FZ21" s="3">
        <v>0.42000000000000004</v>
      </c>
      <c r="GA21" s="3">
        <v>0.47</v>
      </c>
      <c r="GB21" s="3">
        <v>0.31</v>
      </c>
      <c r="GC21" s="3">
        <v>0.5</v>
      </c>
      <c r="GD21" s="3">
        <v>0.18000000000000005</v>
      </c>
      <c r="GE21" s="3">
        <v>0.33999999999999997</v>
      </c>
      <c r="GF21" s="3">
        <v>0.26</v>
      </c>
      <c r="GG21" s="3">
        <v>0.51</v>
      </c>
      <c r="GH21" s="3">
        <v>0.15999999999999998</v>
      </c>
      <c r="GI21" s="3">
        <v>0.25</v>
      </c>
      <c r="GJ21" s="3">
        <v>0.26</v>
      </c>
      <c r="GK21" s="3">
        <v>-8.9999999999999969E-2</v>
      </c>
      <c r="GL21" s="3">
        <v>0.45</v>
      </c>
      <c r="GM21" s="3">
        <v>0.39999999999999997</v>
      </c>
      <c r="GN21" s="3">
        <v>1.95</v>
      </c>
      <c r="GO21" s="3">
        <v>1.26</v>
      </c>
      <c r="GP21" s="3">
        <v>0.90000000000000013</v>
      </c>
      <c r="GQ21" s="3">
        <v>0.92999999999999994</v>
      </c>
      <c r="GR21" s="3">
        <v>1.9999999999999998</v>
      </c>
      <c r="GS21" s="3">
        <v>0.41000000000000003</v>
      </c>
      <c r="GT21" s="3">
        <v>-0.18999999999999995</v>
      </c>
      <c r="GU21" s="3">
        <v>-0.17999999999999994</v>
      </c>
      <c r="GV21" s="3">
        <v>0</v>
      </c>
      <c r="GW21" s="3">
        <v>-1.0000000000000009E-2</v>
      </c>
      <c r="GX21" s="3">
        <v>11.490000000000002</v>
      </c>
      <c r="GY21" t="s">
        <v>265</v>
      </c>
      <c r="GZ21" t="s">
        <v>265</v>
      </c>
      <c r="HA21" t="s">
        <v>265</v>
      </c>
      <c r="HB21" t="s">
        <v>265</v>
      </c>
      <c r="HC21" t="s">
        <v>265</v>
      </c>
      <c r="HD21" t="s">
        <v>265</v>
      </c>
      <c r="HE21" t="s">
        <v>265</v>
      </c>
      <c r="HF21" t="s">
        <v>265</v>
      </c>
      <c r="HG21" t="s">
        <v>265</v>
      </c>
      <c r="HH21" t="s">
        <v>265</v>
      </c>
      <c r="HI21" t="s">
        <v>265</v>
      </c>
      <c r="HJ21" t="s">
        <v>265</v>
      </c>
      <c r="HK21" t="s">
        <v>265</v>
      </c>
      <c r="HL21" t="s">
        <v>265</v>
      </c>
      <c r="HM21" t="s">
        <v>265</v>
      </c>
      <c r="HN21" t="s">
        <v>265</v>
      </c>
      <c r="HO21" t="s">
        <v>265</v>
      </c>
      <c r="HP21" t="s">
        <v>265</v>
      </c>
      <c r="HQ21" t="s">
        <v>265</v>
      </c>
      <c r="HR21" t="s">
        <v>265</v>
      </c>
      <c r="HS21" t="s">
        <v>265</v>
      </c>
      <c r="HT21" t="s">
        <v>265</v>
      </c>
      <c r="HU21" t="s">
        <v>265</v>
      </c>
      <c r="HV21" t="s">
        <v>265</v>
      </c>
    </row>
    <row r="22" spans="2:230" x14ac:dyDescent="0.55000000000000004">
      <c r="B22" s="12" t="s">
        <v>281</v>
      </c>
      <c r="C22" s="6" t="str">
        <f t="shared" si="8"/>
        <v>木曜日</v>
      </c>
      <c r="D22" s="6"/>
      <c r="E22" s="6" t="str">
        <f t="shared" si="9"/>
        <v/>
      </c>
      <c r="F22" s="6" t="s">
        <v>197</v>
      </c>
      <c r="G22" s="6" t="s">
        <v>261</v>
      </c>
      <c r="H22" s="3">
        <v>1.9000000000000004</v>
      </c>
      <c r="I22" s="3">
        <v>56.829000000000008</v>
      </c>
      <c r="J22" s="3">
        <v>0.27</v>
      </c>
      <c r="K22" s="3">
        <v>8.0757000000000012</v>
      </c>
      <c r="L22" s="3">
        <v>0.17000000000000004</v>
      </c>
      <c r="M22" s="3">
        <v>5.0847000000000016</v>
      </c>
      <c r="N22" s="3">
        <v>0.94000000000000006</v>
      </c>
      <c r="O22" s="3">
        <v>28.115400000000005</v>
      </c>
      <c r="P22" s="3">
        <v>-0.12</v>
      </c>
      <c r="Q22" s="3">
        <v>-3.5891999999999982</v>
      </c>
      <c r="R22" s="3">
        <v>-0.96000000000000008</v>
      </c>
      <c r="S22" s="3">
        <v>-28.713600000000007</v>
      </c>
      <c r="T22" s="3">
        <v>-0.15000000000000002</v>
      </c>
      <c r="U22" s="3">
        <v>-4.486500000000003</v>
      </c>
      <c r="V22" s="3">
        <v>0.37</v>
      </c>
      <c r="W22" s="3">
        <v>9.0871000000000013</v>
      </c>
      <c r="X22" s="3">
        <v>0.24</v>
      </c>
      <c r="Y22" s="3">
        <v>7.1783999999999999</v>
      </c>
      <c r="Z22" s="3">
        <v>0.16</v>
      </c>
      <c r="AA22" s="3">
        <v>4.7856000000000005</v>
      </c>
      <c r="AB22" s="3">
        <v>0</v>
      </c>
      <c r="AC22" s="3">
        <v>0</v>
      </c>
      <c r="AD22" s="3">
        <v>0.02</v>
      </c>
      <c r="AE22" s="3">
        <v>0.59820000000000007</v>
      </c>
      <c r="AF22" s="3">
        <v>0.01</v>
      </c>
      <c r="AG22" s="3">
        <v>0.29910000000000003</v>
      </c>
      <c r="AH22" s="3">
        <v>0.01</v>
      </c>
      <c r="AI22" s="3">
        <v>0.29910000000000003</v>
      </c>
      <c r="AJ22" s="3">
        <v>0.01</v>
      </c>
      <c r="AK22" s="3">
        <v>0.29910000000000003</v>
      </c>
      <c r="AL22" s="3">
        <v>0</v>
      </c>
      <c r="AM22" s="3">
        <v>0</v>
      </c>
      <c r="AN22" s="3">
        <v>1.53</v>
      </c>
      <c r="AO22" s="3">
        <v>45.691600000000001</v>
      </c>
      <c r="AP22" s="3">
        <v>2.35</v>
      </c>
      <c r="AQ22" s="3">
        <v>70.288499999999999</v>
      </c>
      <c r="AR22" s="3">
        <v>1.05</v>
      </c>
      <c r="AS22" s="3">
        <v>31.4055</v>
      </c>
      <c r="AT22" s="3">
        <v>-1.5899999999999999</v>
      </c>
      <c r="AU22" s="3">
        <v>-63.322999999999986</v>
      </c>
      <c r="AV22" s="3">
        <v>0.16999999999999993</v>
      </c>
      <c r="AW22" s="3">
        <v>-1.9146000000000001</v>
      </c>
      <c r="AX22" s="3">
        <v>-7.999999999999996E-2</v>
      </c>
      <c r="AY22" s="3">
        <v>-2.3927999999999976</v>
      </c>
      <c r="AZ22" s="3">
        <v>-0.45999999999999996</v>
      </c>
      <c r="BA22" s="3">
        <v>-13.758600000000001</v>
      </c>
      <c r="BB22" s="3">
        <v>4.1900000000000004</v>
      </c>
      <c r="BC22" s="3">
        <v>125.3229</v>
      </c>
      <c r="BD22" s="3">
        <v>10.030000000000003</v>
      </c>
      <c r="BE22" s="3">
        <v>276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-0.02</v>
      </c>
      <c r="BM22" s="3">
        <v>-0.59000000000000008</v>
      </c>
      <c r="BN22" s="3">
        <v>-2.0500000000000003</v>
      </c>
      <c r="BO22" s="3">
        <v>-5.75</v>
      </c>
      <c r="BP22" s="3">
        <v>-4.26</v>
      </c>
      <c r="BQ22" s="3">
        <v>-2.83</v>
      </c>
      <c r="BR22" s="3">
        <v>-3.48</v>
      </c>
      <c r="BS22" s="3">
        <v>-4.18</v>
      </c>
      <c r="BT22" s="3">
        <v>-4.1099999999999994</v>
      </c>
      <c r="BU22" s="3">
        <v>-1.4</v>
      </c>
      <c r="BV22" s="3">
        <v>-0.26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-0.27</v>
      </c>
      <c r="CU22" s="3">
        <v>-4.32</v>
      </c>
      <c r="CV22" s="3">
        <v>-1.89</v>
      </c>
      <c r="CW22" s="3">
        <v>-30.24</v>
      </c>
      <c r="CX22" s="3">
        <v>-3.73</v>
      </c>
      <c r="CY22" s="3">
        <v>-59.68</v>
      </c>
      <c r="CZ22" s="3">
        <v>-2.46</v>
      </c>
      <c r="DA22" s="3">
        <v>-39.36</v>
      </c>
      <c r="DB22" s="3">
        <v>-3.78</v>
      </c>
      <c r="DC22" s="3">
        <v>-60.48</v>
      </c>
      <c r="DD22" s="3">
        <v>-4.32</v>
      </c>
      <c r="DE22" s="3">
        <v>-69.12</v>
      </c>
      <c r="DF22" s="3">
        <v>-3.3400000000000003</v>
      </c>
      <c r="DG22" s="3">
        <v>-53.440000000000005</v>
      </c>
      <c r="DH22" s="3">
        <v>-0.01</v>
      </c>
      <c r="DI22" s="3">
        <v>-0.16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-19.800000000000004</v>
      </c>
      <c r="EA22" s="3">
        <v>-317</v>
      </c>
      <c r="EB22" s="3">
        <v>1.76</v>
      </c>
      <c r="EC22" s="3">
        <v>-1.0000000000000002E-2</v>
      </c>
      <c r="ED22" s="3">
        <v>0</v>
      </c>
      <c r="EE22" s="3">
        <v>-0.02</v>
      </c>
      <c r="EF22" s="3">
        <v>-1.0000000000000002E-2</v>
      </c>
      <c r="EG22" s="3">
        <v>-1.0000000000000002E-2</v>
      </c>
      <c r="EH22" s="3">
        <v>-0.02</v>
      </c>
      <c r="EI22" s="3">
        <v>-0.15</v>
      </c>
      <c r="EJ22" s="3">
        <v>-1.83</v>
      </c>
      <c r="EK22" s="3">
        <v>-4.0199999999999996</v>
      </c>
      <c r="EL22" s="3">
        <v>-0.72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-0.35000000000000003</v>
      </c>
      <c r="EV22" s="3">
        <v>1.0000000000000002E-2</v>
      </c>
      <c r="EW22" s="3">
        <v>1.0000000000000002E-2</v>
      </c>
      <c r="EX22" s="3">
        <v>2.0000000000000004E-2</v>
      </c>
      <c r="EY22" s="3">
        <v>4.6399999999999997</v>
      </c>
      <c r="EZ22" s="3">
        <v>-0.62000000000000099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1.8699999999999999</v>
      </c>
      <c r="FM22" s="3">
        <v>0.73</v>
      </c>
      <c r="FN22" s="3">
        <v>0.5</v>
      </c>
      <c r="FO22" s="3">
        <v>0.42000000000000004</v>
      </c>
      <c r="FP22" s="3">
        <v>-0.18999999999999995</v>
      </c>
      <c r="FQ22" s="3">
        <v>-0.80999999999999994</v>
      </c>
      <c r="FR22" s="3">
        <v>-1.58</v>
      </c>
      <c r="FS22" s="3">
        <v>-1.02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8.9999999999999858E-2</v>
      </c>
      <c r="FZ22" s="3">
        <v>0.1399999999999999</v>
      </c>
      <c r="GA22" s="3">
        <v>0.28000000000000003</v>
      </c>
      <c r="GB22" s="3">
        <v>0.17000000000000004</v>
      </c>
      <c r="GC22" s="3">
        <v>0.96000000000000008</v>
      </c>
      <c r="GD22" s="3">
        <v>-0.10999999999999999</v>
      </c>
      <c r="GE22" s="3">
        <v>-0.95000000000000007</v>
      </c>
      <c r="GF22" s="3">
        <v>-6.9999999999999951E-2</v>
      </c>
      <c r="GG22" s="3">
        <v>-7.0000000000000062E-2</v>
      </c>
      <c r="GH22" s="3">
        <v>0.29000000000000004</v>
      </c>
      <c r="GI22" s="3">
        <v>0.32000000000000006</v>
      </c>
      <c r="GJ22" s="3">
        <v>0.28000000000000003</v>
      </c>
      <c r="GK22" s="3">
        <v>1.5200000000000002</v>
      </c>
      <c r="GL22" s="3">
        <v>1.04</v>
      </c>
      <c r="GM22" s="3">
        <v>0.65</v>
      </c>
      <c r="GN22" s="3">
        <v>-0.33999999999999997</v>
      </c>
      <c r="GO22" s="3">
        <v>-1.58</v>
      </c>
      <c r="GP22" s="3">
        <v>0.45999999999999996</v>
      </c>
      <c r="GQ22" s="3">
        <v>0.73</v>
      </c>
      <c r="GR22" s="3">
        <v>-1.0000000000000009E-2</v>
      </c>
      <c r="GS22" s="3">
        <v>-1.2400000000000002</v>
      </c>
      <c r="GT22" s="3">
        <v>0.16000000000000014</v>
      </c>
      <c r="GU22" s="3">
        <v>-8.9999999999999969E-2</v>
      </c>
      <c r="GV22" s="3">
        <v>-0.48</v>
      </c>
      <c r="GW22" s="3">
        <v>-0.44999999999999996</v>
      </c>
      <c r="GX22" s="3">
        <v>1.6099999999999994</v>
      </c>
      <c r="GY22" t="s">
        <v>265</v>
      </c>
      <c r="GZ22" t="s">
        <v>265</v>
      </c>
      <c r="HA22" t="s">
        <v>265</v>
      </c>
      <c r="HB22" t="s">
        <v>265</v>
      </c>
      <c r="HC22" t="s">
        <v>265</v>
      </c>
      <c r="HD22" t="s">
        <v>265</v>
      </c>
      <c r="HE22" t="s">
        <v>265</v>
      </c>
      <c r="HF22" t="s">
        <v>265</v>
      </c>
      <c r="HG22" t="s">
        <v>265</v>
      </c>
      <c r="HH22" t="s">
        <v>265</v>
      </c>
      <c r="HI22" t="s">
        <v>265</v>
      </c>
      <c r="HJ22" t="s">
        <v>265</v>
      </c>
      <c r="HK22" t="s">
        <v>265</v>
      </c>
      <c r="HL22" t="s">
        <v>265</v>
      </c>
      <c r="HM22" t="s">
        <v>265</v>
      </c>
      <c r="HN22" t="s">
        <v>265</v>
      </c>
      <c r="HO22" t="s">
        <v>265</v>
      </c>
      <c r="HP22" t="s">
        <v>265</v>
      </c>
      <c r="HQ22" t="s">
        <v>265</v>
      </c>
      <c r="HR22" t="s">
        <v>265</v>
      </c>
      <c r="HS22" t="s">
        <v>265</v>
      </c>
      <c r="HT22" t="s">
        <v>265</v>
      </c>
      <c r="HU22" t="s">
        <v>265</v>
      </c>
      <c r="HV22" t="s">
        <v>265</v>
      </c>
    </row>
    <row r="23" spans="2:230" x14ac:dyDescent="0.55000000000000004">
      <c r="B23" s="12" t="s">
        <v>282</v>
      </c>
      <c r="C23" s="6" t="str">
        <f t="shared" si="8"/>
        <v>金曜日</v>
      </c>
      <c r="D23" s="6"/>
      <c r="E23" s="6" t="str">
        <f t="shared" si="9"/>
        <v/>
      </c>
      <c r="F23" s="6" t="s">
        <v>197</v>
      </c>
      <c r="G23" s="6" t="s">
        <v>261</v>
      </c>
      <c r="H23" s="3">
        <v>1.7300000000000002</v>
      </c>
      <c r="I23" s="3">
        <v>51.744299999999996</v>
      </c>
      <c r="J23" s="3">
        <v>-0.61</v>
      </c>
      <c r="K23" s="3">
        <v>-18.245100000000001</v>
      </c>
      <c r="L23" s="3">
        <v>-1.2199999999999998</v>
      </c>
      <c r="M23" s="3">
        <v>-36.490199999999994</v>
      </c>
      <c r="N23" s="3">
        <v>0.45999999999999996</v>
      </c>
      <c r="O23" s="3">
        <v>13.758599999999998</v>
      </c>
      <c r="P23" s="3">
        <v>-0.29000000000000004</v>
      </c>
      <c r="Q23" s="3">
        <v>-8.6739000000000033</v>
      </c>
      <c r="R23" s="3">
        <v>-0.4900000000000001</v>
      </c>
      <c r="S23" s="3">
        <v>-14.655900000000003</v>
      </c>
      <c r="T23" s="3">
        <v>-0.55999999999999994</v>
      </c>
      <c r="U23" s="3">
        <v>-16.749599999999994</v>
      </c>
      <c r="V23" s="3">
        <v>-0.12</v>
      </c>
      <c r="W23" s="3">
        <v>-3.5891999999999982</v>
      </c>
      <c r="X23" s="3">
        <v>0.12</v>
      </c>
      <c r="Y23" s="3">
        <v>3.5891999999999999</v>
      </c>
      <c r="Z23" s="3">
        <v>0.42</v>
      </c>
      <c r="AA23" s="3">
        <v>12.562199999999999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1.1100000000000001</v>
      </c>
      <c r="AO23" s="3">
        <v>33.200100000000006</v>
      </c>
      <c r="AP23" s="3">
        <v>4.22</v>
      </c>
      <c r="AQ23" s="3">
        <v>126.22019999999999</v>
      </c>
      <c r="AR23" s="3">
        <v>1.04</v>
      </c>
      <c r="AS23" s="3">
        <v>31.106400000000001</v>
      </c>
      <c r="AT23" s="3">
        <v>0.47000000000000008</v>
      </c>
      <c r="AU23" s="3">
        <v>14.057700000000001</v>
      </c>
      <c r="AV23" s="3">
        <v>0.5</v>
      </c>
      <c r="AW23" s="3">
        <v>14.954999999999998</v>
      </c>
      <c r="AX23" s="3">
        <v>3.0000000000000027E-2</v>
      </c>
      <c r="AY23" s="3">
        <v>0.89730000000000132</v>
      </c>
      <c r="AZ23" s="3">
        <v>0.2400000000000001</v>
      </c>
      <c r="BA23" s="3">
        <v>7.1783999999999999</v>
      </c>
      <c r="BB23" s="3">
        <v>3.1700000000000004</v>
      </c>
      <c r="BC23" s="3">
        <v>94.814700000000016</v>
      </c>
      <c r="BD23" s="3">
        <v>10.219999999999995</v>
      </c>
      <c r="BE23" s="3">
        <v>306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-0.03</v>
      </c>
      <c r="BM23" s="3">
        <v>-0.91</v>
      </c>
      <c r="BN23" s="3">
        <v>-2.92</v>
      </c>
      <c r="BO23" s="3">
        <v>-4.8900000000000006</v>
      </c>
      <c r="BP23" s="3">
        <v>-5.7799999999999994</v>
      </c>
      <c r="BQ23" s="3">
        <v>-5.54</v>
      </c>
      <c r="BR23" s="3">
        <v>-5.54</v>
      </c>
      <c r="BS23" s="3">
        <v>-5.1300000000000008</v>
      </c>
      <c r="BT23" s="3">
        <v>-4.07</v>
      </c>
      <c r="BU23" s="3">
        <v>-2.2800000000000002</v>
      </c>
      <c r="BV23" s="3">
        <v>-0.84</v>
      </c>
      <c r="BW23" s="3">
        <v>-0.01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-0.03</v>
      </c>
      <c r="CS23" s="3">
        <v>-0.48</v>
      </c>
      <c r="CT23" s="3">
        <v>-0.8899999999999999</v>
      </c>
      <c r="CU23" s="3">
        <v>-14.239999999999998</v>
      </c>
      <c r="CV23" s="3">
        <v>-2.44</v>
      </c>
      <c r="CW23" s="3">
        <v>-39.04</v>
      </c>
      <c r="CX23" s="3">
        <v>-2.9699999999999998</v>
      </c>
      <c r="CY23" s="3">
        <v>-47.519999999999996</v>
      </c>
      <c r="CZ23" s="3">
        <v>-5.53</v>
      </c>
      <c r="DA23" s="3">
        <v>-88.48</v>
      </c>
      <c r="DB23" s="3">
        <v>-6.17</v>
      </c>
      <c r="DC23" s="3">
        <v>-98.72</v>
      </c>
      <c r="DD23" s="3">
        <v>-5.35</v>
      </c>
      <c r="DE23" s="3">
        <v>-85.6</v>
      </c>
      <c r="DF23" s="3">
        <v>-2.93</v>
      </c>
      <c r="DG23" s="3">
        <v>-46.88</v>
      </c>
      <c r="DH23" s="3">
        <v>-1.3699999999999999</v>
      </c>
      <c r="DI23" s="3">
        <v>-21.919999999999998</v>
      </c>
      <c r="DJ23" s="3">
        <v>-0.01</v>
      </c>
      <c r="DK23" s="3">
        <v>-0.16</v>
      </c>
      <c r="DL23" s="3">
        <v>0</v>
      </c>
      <c r="DM23" s="3">
        <v>0</v>
      </c>
      <c r="DN23" s="3">
        <v>-0.01</v>
      </c>
      <c r="DO23" s="3">
        <v>-0.16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-27.699999999999996</v>
      </c>
      <c r="EA23" s="3">
        <v>-444</v>
      </c>
      <c r="EB23" s="3">
        <v>2.0500000000000003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9.9999999999999985E-3</v>
      </c>
      <c r="EI23" s="3">
        <v>-0.36</v>
      </c>
      <c r="EJ23" s="3">
        <v>-0.81</v>
      </c>
      <c r="EK23" s="3">
        <v>-2.19</v>
      </c>
      <c r="EL23" s="3">
        <v>-2.83</v>
      </c>
      <c r="EM23" s="3">
        <v>-7.0000000000000007E-2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</v>
      </c>
      <c r="EV23" s="3">
        <v>0</v>
      </c>
      <c r="EW23" s="3">
        <v>0</v>
      </c>
      <c r="EX23" s="3">
        <v>0</v>
      </c>
      <c r="EY23" s="3">
        <v>3.13</v>
      </c>
      <c r="EZ23" s="3">
        <v>-1.0100000000000033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1.42</v>
      </c>
      <c r="FQ23" s="3">
        <v>0.22999999999999998</v>
      </c>
      <c r="FR23" s="3">
        <v>-2.23</v>
      </c>
      <c r="FS23" s="3">
        <v>-1.18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-0.92999999999999972</v>
      </c>
      <c r="FZ23" s="3">
        <v>-0.32000000000000006</v>
      </c>
      <c r="GA23" s="3">
        <v>-0.61</v>
      </c>
      <c r="GB23" s="3">
        <v>-1.2200000000000002</v>
      </c>
      <c r="GC23" s="3">
        <v>0.45999999999999996</v>
      </c>
      <c r="GD23" s="3">
        <v>-0.29000000000000004</v>
      </c>
      <c r="GE23" s="3">
        <v>-0.4900000000000001</v>
      </c>
      <c r="GF23" s="3">
        <v>-0.6</v>
      </c>
      <c r="GG23" s="3">
        <v>-0.64</v>
      </c>
      <c r="GH23" s="3">
        <v>-1.1000000000000001</v>
      </c>
      <c r="GI23" s="3">
        <v>0.16000000000000003</v>
      </c>
      <c r="GJ23" s="3">
        <v>0.18999999999999995</v>
      </c>
      <c r="GK23" s="3">
        <v>0.06</v>
      </c>
      <c r="GL23" s="3">
        <v>0.97</v>
      </c>
      <c r="GM23" s="3">
        <v>0.3</v>
      </c>
      <c r="GN23" s="3">
        <v>-0.90000000000000013</v>
      </c>
      <c r="GO23" s="3">
        <v>0.50999999999999979</v>
      </c>
      <c r="GP23" s="3">
        <v>0.50999999999999979</v>
      </c>
      <c r="GQ23" s="3">
        <v>1.9500000000000002</v>
      </c>
      <c r="GR23" s="3">
        <v>-0.16000000000000014</v>
      </c>
      <c r="GS23" s="3">
        <v>0.47000000000000008</v>
      </c>
      <c r="GT23" s="3">
        <v>0.49999999999999989</v>
      </c>
      <c r="GU23" s="3">
        <v>3.0000000000000027E-2</v>
      </c>
      <c r="GV23" s="3">
        <v>0.2400000000000001</v>
      </c>
      <c r="GW23" s="3">
        <v>4.0000000000000036E-2</v>
      </c>
      <c r="GX23" s="3">
        <v>6.0000000000002274E-2</v>
      </c>
      <c r="GY23" t="s">
        <v>265</v>
      </c>
      <c r="GZ23" t="s">
        <v>265</v>
      </c>
      <c r="HA23" t="s">
        <v>265</v>
      </c>
      <c r="HB23" t="s">
        <v>265</v>
      </c>
      <c r="HC23" t="s">
        <v>265</v>
      </c>
      <c r="HD23" t="s">
        <v>265</v>
      </c>
      <c r="HE23" t="s">
        <v>265</v>
      </c>
      <c r="HF23" t="s">
        <v>265</v>
      </c>
      <c r="HG23" t="s">
        <v>265</v>
      </c>
      <c r="HH23" t="s">
        <v>265</v>
      </c>
      <c r="HI23" t="s">
        <v>265</v>
      </c>
      <c r="HJ23" t="s">
        <v>265</v>
      </c>
      <c r="HK23" t="s">
        <v>265</v>
      </c>
      <c r="HL23" t="s">
        <v>265</v>
      </c>
      <c r="HM23" t="s">
        <v>265</v>
      </c>
      <c r="HN23" t="s">
        <v>265</v>
      </c>
      <c r="HO23" t="s">
        <v>265</v>
      </c>
      <c r="HP23" t="s">
        <v>265</v>
      </c>
      <c r="HQ23" t="s">
        <v>265</v>
      </c>
      <c r="HR23" t="s">
        <v>265</v>
      </c>
      <c r="HS23" t="s">
        <v>265</v>
      </c>
      <c r="HT23" t="s">
        <v>265</v>
      </c>
      <c r="HU23" t="s">
        <v>265</v>
      </c>
      <c r="HV23" t="s">
        <v>265</v>
      </c>
    </row>
    <row r="24" spans="2:230" x14ac:dyDescent="0.55000000000000004">
      <c r="B24" s="12" t="s">
        <v>283</v>
      </c>
      <c r="C24" s="6" t="str">
        <f t="shared" si="8"/>
        <v>土曜日</v>
      </c>
      <c r="D24" s="6"/>
      <c r="E24" s="6" t="str">
        <f t="shared" si="9"/>
        <v>〇</v>
      </c>
      <c r="F24" s="6" t="s">
        <v>197</v>
      </c>
      <c r="G24" s="6" t="s">
        <v>261</v>
      </c>
      <c r="H24" s="3">
        <v>2.98</v>
      </c>
      <c r="I24" s="3">
        <v>89.131799999999998</v>
      </c>
      <c r="J24" s="3">
        <v>1.5300000000000002</v>
      </c>
      <c r="K24" s="3">
        <v>45.76230000000001</v>
      </c>
      <c r="L24" s="3">
        <v>0.3600000000000001</v>
      </c>
      <c r="M24" s="3">
        <v>10.767600000000005</v>
      </c>
      <c r="N24" s="3">
        <v>0.15000000000000002</v>
      </c>
      <c r="O24" s="3">
        <v>4.486500000000003</v>
      </c>
      <c r="P24" s="3">
        <v>0.15000000000000013</v>
      </c>
      <c r="Q24" s="3">
        <v>4.486500000000003</v>
      </c>
      <c r="R24" s="3">
        <v>-0.43000000000000016</v>
      </c>
      <c r="S24" s="3">
        <v>-12.8613</v>
      </c>
      <c r="T24" s="3">
        <v>1.3599999999999999</v>
      </c>
      <c r="U24" s="3">
        <v>40.677599999999998</v>
      </c>
      <c r="V24" s="3">
        <v>0.79</v>
      </c>
      <c r="W24" s="3">
        <v>30.981699999999996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-0.01</v>
      </c>
      <c r="AO24" s="3">
        <v>-0.29910000000000003</v>
      </c>
      <c r="AP24" s="3">
        <v>2.7100000000000004</v>
      </c>
      <c r="AQ24" s="3">
        <v>100.2865</v>
      </c>
      <c r="AR24" s="3">
        <v>1.85</v>
      </c>
      <c r="AS24" s="3">
        <v>68.483699999999999</v>
      </c>
      <c r="AT24" s="3">
        <v>1.1800000000000002</v>
      </c>
      <c r="AU24" s="3">
        <v>46.464399999999998</v>
      </c>
      <c r="AV24" s="3">
        <v>0.38000000000000012</v>
      </c>
      <c r="AW24" s="3">
        <v>21.051699999999997</v>
      </c>
      <c r="AX24" s="3">
        <v>0.27</v>
      </c>
      <c r="AY24" s="3">
        <v>8.0756999999999977</v>
      </c>
      <c r="AZ24" s="3">
        <v>0.72</v>
      </c>
      <c r="BA24" s="3">
        <v>21.5352</v>
      </c>
      <c r="BB24" s="3">
        <v>3.6300000000000003</v>
      </c>
      <c r="BC24" s="3">
        <v>108.57330000000002</v>
      </c>
      <c r="BD24" s="3">
        <v>17.62</v>
      </c>
      <c r="BE24" s="3">
        <v>588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-0.03</v>
      </c>
      <c r="BM24" s="3">
        <v>-0.43</v>
      </c>
      <c r="BN24" s="3">
        <v>-2.6799999999999997</v>
      </c>
      <c r="BO24" s="3">
        <v>-1.4500000000000002</v>
      </c>
      <c r="BP24" s="3">
        <v>-1.8099999999999996</v>
      </c>
      <c r="BQ24" s="3">
        <v>-2.66</v>
      </c>
      <c r="BR24" s="3">
        <v>-2.8499999999999996</v>
      </c>
      <c r="BS24" s="3">
        <v>-3.8099999999999996</v>
      </c>
      <c r="BT24" s="3">
        <v>-4.03</v>
      </c>
      <c r="BU24" s="3">
        <v>-2.6900000000000004</v>
      </c>
      <c r="BV24" s="3">
        <v>-0.84</v>
      </c>
      <c r="BW24" s="3">
        <v>-0.01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0.08</v>
      </c>
      <c r="CS24" s="3">
        <v>1.28</v>
      </c>
      <c r="CT24" s="3">
        <v>0.38</v>
      </c>
      <c r="CU24" s="3">
        <v>6.08</v>
      </c>
      <c r="CV24" s="3">
        <v>2.27</v>
      </c>
      <c r="CW24" s="3">
        <v>36.32</v>
      </c>
      <c r="CX24" s="3">
        <v>-1.6600000000000001</v>
      </c>
      <c r="CY24" s="3">
        <v>-26.560000000000002</v>
      </c>
      <c r="CZ24" s="3">
        <v>-2.6799999999999997</v>
      </c>
      <c r="DA24" s="3">
        <v>-42.879999999999995</v>
      </c>
      <c r="DB24" s="3">
        <v>-2.12</v>
      </c>
      <c r="DC24" s="3">
        <v>-33.92</v>
      </c>
      <c r="DD24" s="3">
        <v>-3.8200000000000003</v>
      </c>
      <c r="DE24" s="3">
        <v>-61.120000000000005</v>
      </c>
      <c r="DF24" s="3">
        <v>-4.29</v>
      </c>
      <c r="DG24" s="3">
        <v>-68.64</v>
      </c>
      <c r="DH24" s="3">
        <v>-1.55</v>
      </c>
      <c r="DI24" s="3">
        <v>-24.8</v>
      </c>
      <c r="DJ24" s="3">
        <v>-0.01</v>
      </c>
      <c r="DK24" s="3">
        <v>-0.16</v>
      </c>
      <c r="DL24" s="3">
        <v>-0.01</v>
      </c>
      <c r="DM24" s="3">
        <v>-0.16</v>
      </c>
      <c r="DN24" s="3">
        <v>-0.01</v>
      </c>
      <c r="DO24" s="3">
        <v>-0.16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-13.419999999999998</v>
      </c>
      <c r="EA24" s="3">
        <v>-214</v>
      </c>
      <c r="EB24" s="3">
        <v>2.8000000000000003</v>
      </c>
      <c r="EC24" s="3">
        <v>-9.9999999999999985E-3</v>
      </c>
      <c r="ED24" s="3">
        <v>-1.0000000000000002E-2</v>
      </c>
      <c r="EE24" s="3">
        <v>-2.0000000000000004E-2</v>
      </c>
      <c r="EF24" s="3">
        <v>-1.0000000000000002E-2</v>
      </c>
      <c r="EG24" s="3">
        <v>-1.0000000000000002E-2</v>
      </c>
      <c r="EH24" s="3">
        <v>0</v>
      </c>
      <c r="EI24" s="3">
        <v>-0.2</v>
      </c>
      <c r="EJ24" s="3">
        <v>-2.9</v>
      </c>
      <c r="EK24" s="3">
        <v>-3.62</v>
      </c>
      <c r="EL24" s="3">
        <v>-0.11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</v>
      </c>
      <c r="EW24" s="3">
        <v>-9.9999999999999985E-3</v>
      </c>
      <c r="EX24" s="3">
        <v>0</v>
      </c>
      <c r="EY24" s="3">
        <v>2.8000000000000003</v>
      </c>
      <c r="EZ24" s="3">
        <v>-1.0300000000000038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1.31</v>
      </c>
      <c r="FQ24" s="3">
        <v>1.0499999999999998</v>
      </c>
      <c r="FR24" s="3">
        <v>-2.94</v>
      </c>
      <c r="FS24" s="3">
        <v>-0.99</v>
      </c>
      <c r="FT24" s="3">
        <v>-0.19</v>
      </c>
      <c r="FU24" s="3">
        <v>0</v>
      </c>
      <c r="FV24" s="3">
        <v>0</v>
      </c>
      <c r="FW24" s="3">
        <v>0</v>
      </c>
      <c r="FX24" s="3">
        <v>0</v>
      </c>
      <c r="FY24" s="3">
        <v>-0.96000000000000085</v>
      </c>
      <c r="FZ24" s="3">
        <v>0.18000000000000005</v>
      </c>
      <c r="GA24" s="3">
        <v>1.54</v>
      </c>
      <c r="GB24" s="3">
        <v>0.37</v>
      </c>
      <c r="GC24" s="3">
        <v>0.16999999999999993</v>
      </c>
      <c r="GD24" s="3">
        <v>0.16000000000000003</v>
      </c>
      <c r="GE24" s="3">
        <v>-0.41999999999999993</v>
      </c>
      <c r="GF24" s="3">
        <v>1.3299999999999998</v>
      </c>
      <c r="GG24" s="3">
        <v>0.48000000000000009</v>
      </c>
      <c r="GH24" s="3">
        <v>-0.15000000000000002</v>
      </c>
      <c r="GI24" s="3">
        <v>-0.10000000000000009</v>
      </c>
      <c r="GJ24" s="3">
        <v>-3.9999999999999925E-2</v>
      </c>
      <c r="GK24" s="3">
        <v>2.0000000000000018E-2</v>
      </c>
      <c r="GL24" s="3">
        <v>-0.73</v>
      </c>
      <c r="GM24" s="3">
        <v>1.0000000000000009E-2</v>
      </c>
      <c r="GN24" s="3">
        <v>1.05</v>
      </c>
      <c r="GO24" s="3">
        <v>0.17000000000000015</v>
      </c>
      <c r="GP24" s="3">
        <v>0.20999999999999996</v>
      </c>
      <c r="GQ24" s="3">
        <v>-0.44000000000000039</v>
      </c>
      <c r="GR24" s="3">
        <v>0.84000000000000008</v>
      </c>
      <c r="GS24" s="3">
        <v>0.96000000000000008</v>
      </c>
      <c r="GT24" s="3">
        <v>0.38000000000000012</v>
      </c>
      <c r="GU24" s="3">
        <v>0.2799999999999998</v>
      </c>
      <c r="GV24" s="3">
        <v>0.72</v>
      </c>
      <c r="GW24" s="3">
        <v>0.83</v>
      </c>
      <c r="GX24" s="3">
        <v>7.8199999999999932</v>
      </c>
      <c r="GY24" t="s">
        <v>265</v>
      </c>
      <c r="GZ24" t="s">
        <v>265</v>
      </c>
      <c r="HA24" t="s">
        <v>265</v>
      </c>
      <c r="HB24" t="s">
        <v>265</v>
      </c>
      <c r="HC24" t="s">
        <v>265</v>
      </c>
      <c r="HD24" t="s">
        <v>265</v>
      </c>
      <c r="HE24" t="s">
        <v>265</v>
      </c>
      <c r="HF24" t="s">
        <v>265</v>
      </c>
      <c r="HG24" t="s">
        <v>265</v>
      </c>
      <c r="HH24" t="s">
        <v>265</v>
      </c>
      <c r="HI24" t="s">
        <v>265</v>
      </c>
      <c r="HJ24" t="s">
        <v>265</v>
      </c>
      <c r="HK24" t="s">
        <v>265</v>
      </c>
      <c r="HL24" t="s">
        <v>265</v>
      </c>
      <c r="HM24" t="s">
        <v>265</v>
      </c>
      <c r="HN24" t="s">
        <v>265</v>
      </c>
      <c r="HO24" t="s">
        <v>265</v>
      </c>
      <c r="HP24" t="s">
        <v>265</v>
      </c>
      <c r="HQ24" t="s">
        <v>265</v>
      </c>
      <c r="HR24" t="s">
        <v>265</v>
      </c>
      <c r="HS24" t="s">
        <v>265</v>
      </c>
      <c r="HT24" t="s">
        <v>265</v>
      </c>
      <c r="HU24" t="s">
        <v>265</v>
      </c>
      <c r="HV24" t="s">
        <v>265</v>
      </c>
    </row>
    <row r="25" spans="2:230" x14ac:dyDescent="0.55000000000000004">
      <c r="B25" s="12" t="s">
        <v>284</v>
      </c>
      <c r="C25" s="6" t="str">
        <f t="shared" si="8"/>
        <v>日曜日</v>
      </c>
      <c r="D25" s="6"/>
      <c r="E25" s="6" t="str">
        <f t="shared" si="9"/>
        <v>〇</v>
      </c>
      <c r="F25" s="6" t="s">
        <v>197</v>
      </c>
      <c r="G25" s="6" t="s">
        <v>261</v>
      </c>
      <c r="H25" s="3">
        <v>3.53</v>
      </c>
      <c r="I25" s="3">
        <v>105.5823</v>
      </c>
      <c r="J25" s="3">
        <v>0.55999999999999994</v>
      </c>
      <c r="K25" s="3">
        <v>16.749599999999997</v>
      </c>
      <c r="L25" s="3">
        <v>0.42000000000000004</v>
      </c>
      <c r="M25" s="3">
        <v>12.562200000000001</v>
      </c>
      <c r="N25" s="3">
        <v>0.53999999999999992</v>
      </c>
      <c r="O25" s="3">
        <v>16.151399999999999</v>
      </c>
      <c r="P25" s="3">
        <v>0.52</v>
      </c>
      <c r="Q25" s="3">
        <v>15.553200000000004</v>
      </c>
      <c r="R25" s="3">
        <v>-0.31000000000000005</v>
      </c>
      <c r="S25" s="3">
        <v>-9.2721000000000018</v>
      </c>
      <c r="T25" s="3">
        <v>0.39999999999999991</v>
      </c>
      <c r="U25" s="3">
        <v>11.963999999999995</v>
      </c>
      <c r="V25" s="3">
        <v>0.58000000000000007</v>
      </c>
      <c r="W25" s="3">
        <v>21.448399999999999</v>
      </c>
      <c r="X25" s="3">
        <v>1.9999999999999997E-2</v>
      </c>
      <c r="Y25" s="3">
        <v>0.73960000000000004</v>
      </c>
      <c r="Z25" s="3">
        <v>0</v>
      </c>
      <c r="AA25" s="3">
        <v>0</v>
      </c>
      <c r="AB25" s="3">
        <v>0</v>
      </c>
      <c r="AC25" s="3">
        <v>0</v>
      </c>
      <c r="AD25" s="3">
        <v>-0.01</v>
      </c>
      <c r="AE25" s="3">
        <v>-0.36979999999999996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1.96</v>
      </c>
      <c r="AO25" s="3">
        <v>72.480799999999988</v>
      </c>
      <c r="AP25" s="3">
        <v>2.3400000000000003</v>
      </c>
      <c r="AQ25" s="3">
        <v>86.533199999999994</v>
      </c>
      <c r="AR25" s="3">
        <v>1.39</v>
      </c>
      <c r="AS25" s="3">
        <v>51.402199999999993</v>
      </c>
      <c r="AT25" s="3">
        <v>2.0100000000000002</v>
      </c>
      <c r="AU25" s="3">
        <v>74.329799999999992</v>
      </c>
      <c r="AV25" s="3">
        <v>1.63</v>
      </c>
      <c r="AW25" s="3">
        <v>60.277399999999993</v>
      </c>
      <c r="AX25" s="3">
        <v>0.22999999999999998</v>
      </c>
      <c r="AY25" s="3">
        <v>6.8793000000000006</v>
      </c>
      <c r="AZ25" s="3">
        <v>0.74</v>
      </c>
      <c r="BA25" s="3">
        <v>22.133400000000002</v>
      </c>
      <c r="BB25" s="3">
        <v>4.13</v>
      </c>
      <c r="BC25" s="3">
        <v>123.52830000000002</v>
      </c>
      <c r="BD25" s="3">
        <v>20.68</v>
      </c>
      <c r="BE25" s="3">
        <v>688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-0.02</v>
      </c>
      <c r="BM25" s="3">
        <v>-0.22000000000000003</v>
      </c>
      <c r="BN25" s="3">
        <v>0.85000000000000009</v>
      </c>
      <c r="BO25" s="3">
        <v>0.65999999999999992</v>
      </c>
      <c r="BP25" s="3">
        <v>0.1100000000000001</v>
      </c>
      <c r="BQ25" s="3">
        <v>-2.1900000000000004</v>
      </c>
      <c r="BR25" s="3">
        <v>-3.59</v>
      </c>
      <c r="BS25" s="3">
        <v>-2.15</v>
      </c>
      <c r="BT25" s="3">
        <v>-1.9400000000000002</v>
      </c>
      <c r="BU25" s="3">
        <v>-1.55</v>
      </c>
      <c r="BV25" s="3">
        <v>-0.55000000000000004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0.97</v>
      </c>
      <c r="CU25" s="3">
        <v>15.52</v>
      </c>
      <c r="CV25" s="3">
        <v>1.22</v>
      </c>
      <c r="CW25" s="3">
        <v>19.52</v>
      </c>
      <c r="CX25" s="3">
        <v>1.38</v>
      </c>
      <c r="CY25" s="3">
        <v>22.08</v>
      </c>
      <c r="CZ25" s="3">
        <v>0.5</v>
      </c>
      <c r="DA25" s="3">
        <v>8</v>
      </c>
      <c r="DB25" s="3">
        <v>-1.9000000000000001</v>
      </c>
      <c r="DC25" s="3">
        <v>-30.400000000000002</v>
      </c>
      <c r="DD25" s="3">
        <v>-2.2600000000000002</v>
      </c>
      <c r="DE25" s="3">
        <v>-36.160000000000004</v>
      </c>
      <c r="DF25" s="3">
        <v>-2.5</v>
      </c>
      <c r="DG25" s="3">
        <v>-40</v>
      </c>
      <c r="DH25" s="3">
        <v>-1.27</v>
      </c>
      <c r="DI25" s="3">
        <v>-20.32</v>
      </c>
      <c r="DJ25" s="3">
        <v>-0.01</v>
      </c>
      <c r="DK25" s="3">
        <v>-0.16</v>
      </c>
      <c r="DL25" s="3">
        <v>-0.01</v>
      </c>
      <c r="DM25" s="3">
        <v>-0.16</v>
      </c>
      <c r="DN25" s="3">
        <v>-0.01</v>
      </c>
      <c r="DO25" s="3">
        <v>-0.16</v>
      </c>
      <c r="DP25" s="3">
        <v>-0.01</v>
      </c>
      <c r="DQ25" s="3">
        <v>-0.16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-3.8999999999999986</v>
      </c>
      <c r="EA25" s="3">
        <v>-63</v>
      </c>
      <c r="EB25" s="3">
        <v>3.03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9.9999999999999985E-3</v>
      </c>
      <c r="EI25" s="3">
        <v>-0.01</v>
      </c>
      <c r="EJ25" s="3">
        <v>-0.25</v>
      </c>
      <c r="EK25" s="3">
        <v>-0.76</v>
      </c>
      <c r="EL25" s="3">
        <v>-1.46</v>
      </c>
      <c r="EM25" s="3">
        <v>-2.91</v>
      </c>
      <c r="EN25" s="3">
        <v>-1.6</v>
      </c>
      <c r="EO25" s="3">
        <v>-0.01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</v>
      </c>
      <c r="EX25" s="3">
        <v>0</v>
      </c>
      <c r="EY25" s="3">
        <v>3.6900000000000004</v>
      </c>
      <c r="EZ25" s="3">
        <v>-0.15000000000000302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2.06</v>
      </c>
      <c r="FQ25" s="3">
        <v>-0.84000000000000008</v>
      </c>
      <c r="FR25" s="3">
        <v>-1.87</v>
      </c>
      <c r="FS25" s="3">
        <v>-0.78</v>
      </c>
      <c r="FT25" s="3">
        <v>-0.89</v>
      </c>
      <c r="FU25" s="3">
        <v>-0.66</v>
      </c>
      <c r="FV25" s="3">
        <v>0</v>
      </c>
      <c r="FW25" s="3">
        <v>0</v>
      </c>
      <c r="FX25" s="3">
        <v>0</v>
      </c>
      <c r="FY25" s="3">
        <v>-0.91999999999999993</v>
      </c>
      <c r="FZ25" s="3">
        <v>0.50000000000000011</v>
      </c>
      <c r="GA25" s="3">
        <v>0.56000000000000005</v>
      </c>
      <c r="GB25" s="3">
        <v>0.41999999999999993</v>
      </c>
      <c r="GC25" s="3">
        <v>0.54</v>
      </c>
      <c r="GD25" s="3">
        <v>0.52</v>
      </c>
      <c r="GE25" s="3">
        <v>-0.30999999999999983</v>
      </c>
      <c r="GF25" s="3">
        <v>0.36999999999999988</v>
      </c>
      <c r="GG25" s="3">
        <v>0.37</v>
      </c>
      <c r="GH25" s="3">
        <v>0.15000000000000002</v>
      </c>
      <c r="GI25" s="3">
        <v>0.19999999999999998</v>
      </c>
      <c r="GJ25" s="3">
        <v>0.19000000000000003</v>
      </c>
      <c r="GK25" s="3">
        <v>0.22</v>
      </c>
      <c r="GL25" s="3">
        <v>-8.9999999999999969E-2</v>
      </c>
      <c r="GM25" s="3">
        <v>0.39</v>
      </c>
      <c r="GN25" s="3">
        <v>2.34</v>
      </c>
      <c r="GO25" s="3">
        <v>1.78</v>
      </c>
      <c r="GP25" s="3">
        <v>0.58000000000000007</v>
      </c>
      <c r="GQ25" s="3">
        <v>0.44999999999999973</v>
      </c>
      <c r="GR25" s="3">
        <v>0.59000000000000008</v>
      </c>
      <c r="GS25" s="3">
        <v>1.1000000000000001</v>
      </c>
      <c r="GT25" s="3">
        <v>0.94000000000000006</v>
      </c>
      <c r="GU25" s="3">
        <v>0.22999999999999998</v>
      </c>
      <c r="GV25" s="3">
        <v>0.73999999999999988</v>
      </c>
      <c r="GW25" s="3">
        <v>0.43999999999999995</v>
      </c>
      <c r="GX25" s="3">
        <v>13.219999999999999</v>
      </c>
      <c r="GY25" t="s">
        <v>265</v>
      </c>
      <c r="GZ25" t="s">
        <v>265</v>
      </c>
      <c r="HA25" t="s">
        <v>265</v>
      </c>
      <c r="HB25" t="s">
        <v>265</v>
      </c>
      <c r="HC25" t="s">
        <v>265</v>
      </c>
      <c r="HD25" t="s">
        <v>265</v>
      </c>
      <c r="HE25" t="s">
        <v>265</v>
      </c>
      <c r="HF25" t="s">
        <v>265</v>
      </c>
      <c r="HG25" t="s">
        <v>265</v>
      </c>
      <c r="HH25" t="s">
        <v>265</v>
      </c>
      <c r="HI25" t="s">
        <v>265</v>
      </c>
      <c r="HJ25" t="s">
        <v>265</v>
      </c>
      <c r="HK25" t="s">
        <v>265</v>
      </c>
      <c r="HL25" t="s">
        <v>265</v>
      </c>
      <c r="HM25" t="s">
        <v>265</v>
      </c>
      <c r="HN25" t="s">
        <v>265</v>
      </c>
      <c r="HO25" t="s">
        <v>265</v>
      </c>
      <c r="HP25" t="s">
        <v>265</v>
      </c>
      <c r="HQ25" t="s">
        <v>265</v>
      </c>
      <c r="HR25" t="s">
        <v>265</v>
      </c>
      <c r="HS25" t="s">
        <v>265</v>
      </c>
      <c r="HT25" t="s">
        <v>265</v>
      </c>
      <c r="HU25" t="s">
        <v>265</v>
      </c>
      <c r="HV25" t="s">
        <v>265</v>
      </c>
    </row>
    <row r="26" spans="2:230" x14ac:dyDescent="0.55000000000000004">
      <c r="B26" s="12" t="s">
        <v>285</v>
      </c>
      <c r="C26" s="6" t="str">
        <f t="shared" si="8"/>
        <v>月曜日</v>
      </c>
      <c r="D26" s="6"/>
      <c r="E26" s="6" t="str">
        <f t="shared" si="9"/>
        <v/>
      </c>
      <c r="F26" s="6" t="s">
        <v>197</v>
      </c>
      <c r="G26" s="6" t="s">
        <v>261</v>
      </c>
      <c r="H26" s="3">
        <v>3.18</v>
      </c>
      <c r="I26" s="3">
        <v>95.113799999999998</v>
      </c>
      <c r="J26" s="3">
        <v>0.58000000000000007</v>
      </c>
      <c r="K26" s="3">
        <v>17.347799999999999</v>
      </c>
      <c r="L26" s="3">
        <v>0.73</v>
      </c>
      <c r="M26" s="3">
        <v>21.834299999999992</v>
      </c>
      <c r="N26" s="3">
        <v>0.67999999999999994</v>
      </c>
      <c r="O26" s="3">
        <v>20.338799999999999</v>
      </c>
      <c r="P26" s="3">
        <v>0.55000000000000004</v>
      </c>
      <c r="Q26" s="3">
        <v>16.450500000000002</v>
      </c>
      <c r="R26" s="3">
        <v>0.59000000000000008</v>
      </c>
      <c r="S26" s="3">
        <v>17.646899999999999</v>
      </c>
      <c r="T26" s="3">
        <v>0.73</v>
      </c>
      <c r="U26" s="3">
        <v>21.834299999999999</v>
      </c>
      <c r="V26" s="3">
        <v>0.8</v>
      </c>
      <c r="W26" s="3">
        <v>29.584</v>
      </c>
      <c r="X26" s="3">
        <v>0.27</v>
      </c>
      <c r="Y26" s="3">
        <v>9.9846000000000004</v>
      </c>
      <c r="Z26" s="3">
        <v>0.28999999999999998</v>
      </c>
      <c r="AA26" s="3">
        <v>10.724199999999998</v>
      </c>
      <c r="AB26" s="3">
        <v>-0.03</v>
      </c>
      <c r="AC26" s="3">
        <v>-1.1093999999999999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1.26</v>
      </c>
      <c r="AM26" s="3">
        <v>46.594799999999999</v>
      </c>
      <c r="AN26" s="3">
        <v>2.73</v>
      </c>
      <c r="AO26" s="3">
        <v>100.9554</v>
      </c>
      <c r="AP26" s="3">
        <v>2.29</v>
      </c>
      <c r="AQ26" s="3">
        <v>84.68419999999999</v>
      </c>
      <c r="AR26" s="3">
        <v>2.04</v>
      </c>
      <c r="AS26" s="3">
        <v>75.439199999999985</v>
      </c>
      <c r="AT26" s="3">
        <v>1.06</v>
      </c>
      <c r="AU26" s="3">
        <v>39.198799999999991</v>
      </c>
      <c r="AV26" s="3">
        <v>0.4900000000000001</v>
      </c>
      <c r="AW26" s="3">
        <v>18.120200000000004</v>
      </c>
      <c r="AX26" s="3">
        <v>0.16000000000000014</v>
      </c>
      <c r="AY26" s="3">
        <v>4.7856000000000023</v>
      </c>
      <c r="AZ26" s="3">
        <v>0.66</v>
      </c>
      <c r="BA26" s="3">
        <v>19.740600000000004</v>
      </c>
      <c r="BB26" s="3">
        <v>2.83</v>
      </c>
      <c r="BC26" s="3">
        <v>84.645300000000006</v>
      </c>
      <c r="BD26" s="3">
        <v>21.889999999999997</v>
      </c>
      <c r="BE26" s="3">
        <v>734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-0.06</v>
      </c>
      <c r="BN26" s="3">
        <v>-0.25</v>
      </c>
      <c r="BO26" s="3">
        <v>-0.71</v>
      </c>
      <c r="BP26" s="3">
        <v>-1.1299999999999999</v>
      </c>
      <c r="BQ26" s="3">
        <v>-1.8499999999999999</v>
      </c>
      <c r="BR26" s="3">
        <v>-4.71</v>
      </c>
      <c r="BS26" s="3">
        <v>-4.91</v>
      </c>
      <c r="BT26" s="3">
        <v>-2.5300000000000002</v>
      </c>
      <c r="BU26" s="3">
        <v>-2.1300000000000003</v>
      </c>
      <c r="BV26" s="3">
        <v>-0.78</v>
      </c>
      <c r="BW26" s="3">
        <v>-0.01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0.01</v>
      </c>
      <c r="CY26" s="3">
        <v>0.16</v>
      </c>
      <c r="CZ26" s="3">
        <v>-0.01</v>
      </c>
      <c r="DA26" s="3">
        <v>-0.16</v>
      </c>
      <c r="DB26" s="3">
        <v>-0.69</v>
      </c>
      <c r="DC26" s="3">
        <v>-11.04</v>
      </c>
      <c r="DD26" s="3">
        <v>-4.5</v>
      </c>
      <c r="DE26" s="3">
        <v>-72</v>
      </c>
      <c r="DF26" s="3">
        <v>-2.5100000000000002</v>
      </c>
      <c r="DG26" s="3">
        <v>-40.160000000000004</v>
      </c>
      <c r="DH26" s="3">
        <v>-0.83</v>
      </c>
      <c r="DI26" s="3">
        <v>-13.28</v>
      </c>
      <c r="DJ26" s="3">
        <v>-0.01</v>
      </c>
      <c r="DK26" s="3">
        <v>-0.16</v>
      </c>
      <c r="DL26" s="3">
        <v>0</v>
      </c>
      <c r="DM26" s="3">
        <v>0</v>
      </c>
      <c r="DN26" s="3">
        <v>-0.01</v>
      </c>
      <c r="DO26" s="3">
        <v>-0.16</v>
      </c>
      <c r="DP26" s="3">
        <v>-0.01</v>
      </c>
      <c r="DQ26" s="3">
        <v>-0.16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-8.5599999999999987</v>
      </c>
      <c r="EA26" s="3">
        <v>-137</v>
      </c>
      <c r="EB26" s="3">
        <v>2.4300000000000002</v>
      </c>
      <c r="EC26" s="3">
        <v>0</v>
      </c>
      <c r="ED26" s="3">
        <v>0</v>
      </c>
      <c r="EE26" s="3">
        <v>0</v>
      </c>
      <c r="EF26" s="3">
        <v>0</v>
      </c>
      <c r="EG26" s="3">
        <v>-1.0000000000000002E-2</v>
      </c>
      <c r="EH26" s="3">
        <v>0</v>
      </c>
      <c r="EI26" s="3">
        <v>0</v>
      </c>
      <c r="EJ26" s="3">
        <v>-7.0000000000000007E-2</v>
      </c>
      <c r="EK26" s="3">
        <v>0</v>
      </c>
      <c r="EL26" s="3">
        <v>-0.96</v>
      </c>
      <c r="EM26" s="3">
        <v>-1.72</v>
      </c>
      <c r="EN26" s="3">
        <v>-3.95</v>
      </c>
      <c r="EO26" s="3">
        <v>-0.4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</v>
      </c>
      <c r="EW26" s="3">
        <v>0</v>
      </c>
      <c r="EX26" s="3">
        <v>0</v>
      </c>
      <c r="EY26" s="3">
        <v>2.1</v>
      </c>
      <c r="EZ26" s="3">
        <v>-2.4800000000000049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-0.01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1.92</v>
      </c>
      <c r="FP26" s="3">
        <v>1.23</v>
      </c>
      <c r="FQ26" s="3">
        <v>-1.2</v>
      </c>
      <c r="FR26" s="3">
        <v>-2.34</v>
      </c>
      <c r="FS26" s="3">
        <v>-1.04</v>
      </c>
      <c r="FT26" s="3">
        <v>-1.05</v>
      </c>
      <c r="FU26" s="3">
        <v>0</v>
      </c>
      <c r="FV26" s="3">
        <v>0</v>
      </c>
      <c r="FW26" s="3">
        <v>0</v>
      </c>
      <c r="FX26" s="3">
        <v>0</v>
      </c>
      <c r="FY26" s="3">
        <v>-1.1200000000000001</v>
      </c>
      <c r="FZ26" s="3">
        <v>0.75</v>
      </c>
      <c r="GA26" s="3">
        <v>0.58000000000000007</v>
      </c>
      <c r="GB26" s="3">
        <v>0.73</v>
      </c>
      <c r="GC26" s="3">
        <v>0.68000000000000016</v>
      </c>
      <c r="GD26" s="3">
        <v>0.54999999999999993</v>
      </c>
      <c r="GE26" s="3">
        <v>0.60000000000000009</v>
      </c>
      <c r="GF26" s="3">
        <v>0.72999999999999987</v>
      </c>
      <c r="GG26" s="3">
        <v>0.74</v>
      </c>
      <c r="GH26" s="3">
        <v>8.9999999999999969E-2</v>
      </c>
      <c r="GI26" s="3">
        <v>-0.43000000000000005</v>
      </c>
      <c r="GJ26" s="3">
        <v>0.20999999999999996</v>
      </c>
      <c r="GK26" s="3">
        <v>0.29000000000000004</v>
      </c>
      <c r="GL26" s="3">
        <v>0.24</v>
      </c>
      <c r="GM26" s="3">
        <v>0.22</v>
      </c>
      <c r="GN26" s="3">
        <v>1.9</v>
      </c>
      <c r="GO26" s="3">
        <v>1.19</v>
      </c>
      <c r="GP26" s="3">
        <v>0.74</v>
      </c>
      <c r="GQ26" s="3">
        <v>-9.0000000000000302E-2</v>
      </c>
      <c r="GR26" s="3">
        <v>0.98</v>
      </c>
      <c r="GS26" s="3">
        <v>0</v>
      </c>
      <c r="GT26" s="3">
        <v>0.49</v>
      </c>
      <c r="GU26" s="3">
        <v>0.16000000000000014</v>
      </c>
      <c r="GV26" s="3">
        <v>0.66</v>
      </c>
      <c r="GW26" s="3">
        <v>0.73000000000000009</v>
      </c>
      <c r="GX26" s="3">
        <v>12.739999999999998</v>
      </c>
      <c r="GY26" t="s">
        <v>265</v>
      </c>
      <c r="GZ26" t="s">
        <v>265</v>
      </c>
      <c r="HA26" t="s">
        <v>265</v>
      </c>
      <c r="HB26" t="s">
        <v>265</v>
      </c>
      <c r="HC26" t="s">
        <v>265</v>
      </c>
      <c r="HD26" t="s">
        <v>265</v>
      </c>
      <c r="HE26" t="s">
        <v>265</v>
      </c>
      <c r="HF26" t="s">
        <v>265</v>
      </c>
      <c r="HG26" t="s">
        <v>265</v>
      </c>
      <c r="HH26" t="s">
        <v>265</v>
      </c>
      <c r="HI26" t="s">
        <v>265</v>
      </c>
      <c r="HJ26" t="s">
        <v>265</v>
      </c>
      <c r="HK26" t="s">
        <v>265</v>
      </c>
      <c r="HL26" t="s">
        <v>265</v>
      </c>
      <c r="HM26" t="s">
        <v>265</v>
      </c>
      <c r="HN26" t="s">
        <v>265</v>
      </c>
      <c r="HO26" t="s">
        <v>265</v>
      </c>
      <c r="HP26" t="s">
        <v>265</v>
      </c>
      <c r="HQ26" t="s">
        <v>265</v>
      </c>
      <c r="HR26" t="s">
        <v>265</v>
      </c>
      <c r="HS26" t="s">
        <v>265</v>
      </c>
      <c r="HT26" t="s">
        <v>265</v>
      </c>
      <c r="HU26" t="s">
        <v>265</v>
      </c>
      <c r="HV26" t="s">
        <v>265</v>
      </c>
    </row>
    <row r="27" spans="2:230" x14ac:dyDescent="0.55000000000000004">
      <c r="B27" s="12" t="s">
        <v>286</v>
      </c>
      <c r="C27" s="6" t="str">
        <f t="shared" si="8"/>
        <v>火曜日</v>
      </c>
      <c r="D27" s="6"/>
      <c r="E27" s="6" t="str">
        <f t="shared" si="9"/>
        <v/>
      </c>
      <c r="F27" s="6" t="s">
        <v>197</v>
      </c>
      <c r="G27" s="6" t="s">
        <v>261</v>
      </c>
      <c r="H27" s="3">
        <v>4.0600000000000005</v>
      </c>
      <c r="I27" s="3">
        <v>121.43459999999999</v>
      </c>
      <c r="J27" s="3">
        <v>0.73</v>
      </c>
      <c r="K27" s="3">
        <v>21.834299999999999</v>
      </c>
      <c r="L27" s="3">
        <v>0.41999999999999993</v>
      </c>
      <c r="M27" s="3">
        <v>12.562199999999994</v>
      </c>
      <c r="N27" s="3">
        <v>0.42000000000000004</v>
      </c>
      <c r="O27" s="3">
        <v>12.562200000000001</v>
      </c>
      <c r="P27" s="3">
        <v>0.27</v>
      </c>
      <c r="Q27" s="3">
        <v>8.0757000000000048</v>
      </c>
      <c r="R27" s="3">
        <v>0.36</v>
      </c>
      <c r="S27" s="3">
        <v>10.767600000000002</v>
      </c>
      <c r="T27" s="3">
        <v>0.63000000000000012</v>
      </c>
      <c r="U27" s="3">
        <v>18.843300000000006</v>
      </c>
      <c r="V27" s="3">
        <v>1.06</v>
      </c>
      <c r="W27" s="3">
        <v>39.198800000000006</v>
      </c>
      <c r="X27" s="3">
        <v>0.21</v>
      </c>
      <c r="Y27" s="3">
        <v>7.7657999999999987</v>
      </c>
      <c r="Z27" s="3">
        <v>0.26</v>
      </c>
      <c r="AA27" s="3">
        <v>9.6147999999999989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1.64</v>
      </c>
      <c r="AO27" s="3">
        <v>60.647199999999991</v>
      </c>
      <c r="AP27" s="3">
        <v>0.88000000000000012</v>
      </c>
      <c r="AQ27" s="3">
        <v>32.542399999999994</v>
      </c>
      <c r="AR27" s="3">
        <v>0.55999999999999983</v>
      </c>
      <c r="AS27" s="3">
        <v>20.708799999999989</v>
      </c>
      <c r="AT27" s="3">
        <v>-0.22999999999999998</v>
      </c>
      <c r="AU27" s="3">
        <v>-8.5053999999999945</v>
      </c>
      <c r="AV27" s="3">
        <v>0</v>
      </c>
      <c r="AW27" s="3">
        <v>0</v>
      </c>
      <c r="AX27" s="3">
        <v>-0.51</v>
      </c>
      <c r="AY27" s="3">
        <v>-15.254099999999994</v>
      </c>
      <c r="AZ27" s="3">
        <v>0.16999999999999993</v>
      </c>
      <c r="BA27" s="3">
        <v>5.084699999999998</v>
      </c>
      <c r="BB27" s="3">
        <v>2.4400000000000004</v>
      </c>
      <c r="BC27" s="3">
        <v>72.980400000000003</v>
      </c>
      <c r="BD27" s="3">
        <v>13.370000000000001</v>
      </c>
      <c r="BE27" s="3">
        <v>431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-0.03</v>
      </c>
      <c r="BM27" s="3">
        <v>-0.38</v>
      </c>
      <c r="BN27" s="3">
        <v>-0.82000000000000006</v>
      </c>
      <c r="BO27" s="3">
        <v>-1.56</v>
      </c>
      <c r="BP27" s="3">
        <v>-1.21</v>
      </c>
      <c r="BQ27" s="3">
        <v>-0.20999999999999996</v>
      </c>
      <c r="BR27" s="3">
        <v>0.19000000000000017</v>
      </c>
      <c r="BS27" s="3">
        <v>1.4000000000000001</v>
      </c>
      <c r="BT27" s="3">
        <v>0.10000000000000009</v>
      </c>
      <c r="BU27" s="3">
        <v>-0.12</v>
      </c>
      <c r="BV27" s="3">
        <v>-0.03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-0.02</v>
      </c>
      <c r="CW27" s="3">
        <v>-0.32</v>
      </c>
      <c r="CX27" s="3">
        <v>0.01</v>
      </c>
      <c r="CY27" s="3">
        <v>0.16</v>
      </c>
      <c r="CZ27" s="3">
        <v>0.21</v>
      </c>
      <c r="DA27" s="3">
        <v>3.36</v>
      </c>
      <c r="DB27" s="3">
        <v>1.1399999999999999</v>
      </c>
      <c r="DC27" s="3">
        <v>18.239999999999998</v>
      </c>
      <c r="DD27" s="3">
        <v>1.31</v>
      </c>
      <c r="DE27" s="3">
        <v>20.96</v>
      </c>
      <c r="DF27" s="3">
        <v>0.01</v>
      </c>
      <c r="DG27" s="3">
        <v>0.16</v>
      </c>
      <c r="DH27" s="3">
        <v>-0.01</v>
      </c>
      <c r="DI27" s="3">
        <v>-0.16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2.65</v>
      </c>
      <c r="EA27" s="3">
        <v>42</v>
      </c>
      <c r="EB27" s="3">
        <v>3.4400000000000004</v>
      </c>
      <c r="EC27" s="3">
        <v>0.15</v>
      </c>
      <c r="ED27" s="3">
        <v>0</v>
      </c>
      <c r="EE27" s="3">
        <v>-9.9999999999999985E-3</v>
      </c>
      <c r="EF27" s="3">
        <v>0</v>
      </c>
      <c r="EG27" s="3">
        <v>0</v>
      </c>
      <c r="EH27" s="3">
        <v>1.9999999999999997E-2</v>
      </c>
      <c r="EI27" s="3">
        <v>-1.9999999999999997E-2</v>
      </c>
      <c r="EJ27" s="3">
        <v>-0.81</v>
      </c>
      <c r="EK27" s="3">
        <v>-1.52</v>
      </c>
      <c r="EL27" s="3">
        <v>-1.29</v>
      </c>
      <c r="EM27" s="3">
        <v>-0.59</v>
      </c>
      <c r="EN27" s="3">
        <v>-1.2</v>
      </c>
      <c r="EO27" s="3">
        <v>-0.39</v>
      </c>
      <c r="EP27" s="3">
        <v>0</v>
      </c>
      <c r="EQ27" s="3">
        <v>0</v>
      </c>
      <c r="ER27" s="3">
        <v>0</v>
      </c>
      <c r="ES27" s="3">
        <v>-1.0000000000000002E-2</v>
      </c>
      <c r="ET27" s="3">
        <v>-1.0000000000000002E-2</v>
      </c>
      <c r="EU27" s="3">
        <v>0</v>
      </c>
      <c r="EV27" s="3">
        <v>-1.0000000000000002E-2</v>
      </c>
      <c r="EW27" s="3">
        <v>-0.02</v>
      </c>
      <c r="EX27" s="3">
        <v>-0.02</v>
      </c>
      <c r="EY27" s="3">
        <v>2.0700000000000003</v>
      </c>
      <c r="EZ27" s="3">
        <v>-0.22000000000000242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0.42000000000000004</v>
      </c>
      <c r="FP27" s="3">
        <v>0.31999999999999984</v>
      </c>
      <c r="FQ27" s="3">
        <v>-1.29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-0.12999999999999989</v>
      </c>
      <c r="FZ27" s="3">
        <v>0.62</v>
      </c>
      <c r="GA27" s="3">
        <v>0.57999999999999996</v>
      </c>
      <c r="GB27" s="3">
        <v>0.41999999999999993</v>
      </c>
      <c r="GC27" s="3">
        <v>0.43000000000000005</v>
      </c>
      <c r="GD27" s="3">
        <v>0.27</v>
      </c>
      <c r="GE27" s="3">
        <v>0.36</v>
      </c>
      <c r="GF27" s="3">
        <v>0.58000000000000007</v>
      </c>
      <c r="GG27" s="3">
        <v>0.70000000000000007</v>
      </c>
      <c r="GH27" s="3">
        <v>0.2</v>
      </c>
      <c r="GI27" s="3">
        <v>0.24000000000000005</v>
      </c>
      <c r="GJ27" s="3">
        <v>0.33999999999999997</v>
      </c>
      <c r="GK27" s="3">
        <v>0.27000000000000007</v>
      </c>
      <c r="GL27" s="3">
        <v>0.24999999999999997</v>
      </c>
      <c r="GM27" s="3">
        <v>0.53</v>
      </c>
      <c r="GN27" s="3">
        <v>0.51000000000000023</v>
      </c>
      <c r="GO27" s="3">
        <v>0.20999999999999996</v>
      </c>
      <c r="GP27" s="3">
        <v>0.32000000000000028</v>
      </c>
      <c r="GQ27" s="3">
        <v>0.8899999999999999</v>
      </c>
      <c r="GR27" s="3">
        <v>0.57000000000000006</v>
      </c>
      <c r="GS27" s="3">
        <v>-0.22999999999999998</v>
      </c>
      <c r="GT27" s="3">
        <v>1.0000000000000009E-2</v>
      </c>
      <c r="GU27" s="3">
        <v>-0.49</v>
      </c>
      <c r="GV27" s="3">
        <v>0.18999999999999995</v>
      </c>
      <c r="GW27" s="3">
        <v>0.37000000000000011</v>
      </c>
      <c r="GX27" s="3">
        <v>8.14</v>
      </c>
      <c r="GY27" t="s">
        <v>265</v>
      </c>
      <c r="GZ27" t="s">
        <v>265</v>
      </c>
      <c r="HA27" t="s">
        <v>265</v>
      </c>
      <c r="HB27" t="s">
        <v>265</v>
      </c>
      <c r="HC27" t="s">
        <v>265</v>
      </c>
      <c r="HD27" t="s">
        <v>265</v>
      </c>
      <c r="HE27" t="s">
        <v>265</v>
      </c>
      <c r="HF27" t="s">
        <v>265</v>
      </c>
      <c r="HG27" t="s">
        <v>265</v>
      </c>
      <c r="HH27" t="s">
        <v>265</v>
      </c>
      <c r="HI27" t="s">
        <v>265</v>
      </c>
      <c r="HJ27" t="s">
        <v>265</v>
      </c>
      <c r="HK27" t="s">
        <v>265</v>
      </c>
      <c r="HL27" t="s">
        <v>265</v>
      </c>
      <c r="HM27" t="s">
        <v>265</v>
      </c>
      <c r="HN27" t="s">
        <v>265</v>
      </c>
      <c r="HO27" t="s">
        <v>265</v>
      </c>
      <c r="HP27" t="s">
        <v>265</v>
      </c>
      <c r="HQ27" t="s">
        <v>265</v>
      </c>
      <c r="HR27" t="s">
        <v>265</v>
      </c>
      <c r="HS27" t="s">
        <v>265</v>
      </c>
      <c r="HT27" t="s">
        <v>265</v>
      </c>
      <c r="HU27" t="s">
        <v>265</v>
      </c>
      <c r="HV27" t="s">
        <v>265</v>
      </c>
    </row>
    <row r="28" spans="2:230" x14ac:dyDescent="0.55000000000000004">
      <c r="B28" s="12" t="s">
        <v>287</v>
      </c>
      <c r="C28" s="6" t="str">
        <f t="shared" si="8"/>
        <v>水曜日</v>
      </c>
      <c r="D28" s="6"/>
      <c r="E28" s="6" t="str">
        <f t="shared" si="9"/>
        <v/>
      </c>
      <c r="F28" s="6" t="s">
        <v>197</v>
      </c>
      <c r="G28" s="6" t="s">
        <v>261</v>
      </c>
      <c r="H28" s="3">
        <v>3.4299999999999997</v>
      </c>
      <c r="I28" s="3">
        <v>102.59129999999999</v>
      </c>
      <c r="J28" s="3">
        <v>3.0000000000000027E-2</v>
      </c>
      <c r="K28" s="3">
        <v>0.89730000000000132</v>
      </c>
      <c r="L28" s="3">
        <v>2.0000000000000018E-2</v>
      </c>
      <c r="M28" s="3">
        <v>0.59820000000000206</v>
      </c>
      <c r="N28" s="3">
        <v>0.14999999999999991</v>
      </c>
      <c r="O28" s="3">
        <v>4.4864999999999995</v>
      </c>
      <c r="P28" s="3">
        <v>3.0000000000000027E-2</v>
      </c>
      <c r="Q28" s="3">
        <v>0.89730000000000132</v>
      </c>
      <c r="R28" s="3">
        <v>6.0000000000000053E-2</v>
      </c>
      <c r="S28" s="3">
        <v>1.7945999999999955</v>
      </c>
      <c r="T28" s="3">
        <v>-0.18999999999999995</v>
      </c>
      <c r="U28" s="3">
        <v>-5.6829000000000036</v>
      </c>
      <c r="V28" s="3">
        <v>-0.66</v>
      </c>
      <c r="W28" s="3">
        <v>-24.4068</v>
      </c>
      <c r="X28" s="3">
        <v>-0.54</v>
      </c>
      <c r="Y28" s="3">
        <v>-19.969200000000001</v>
      </c>
      <c r="Z28" s="3">
        <v>-0.56999999999999995</v>
      </c>
      <c r="AA28" s="3">
        <v>-21.078599999999998</v>
      </c>
      <c r="AB28" s="3">
        <v>-0.68</v>
      </c>
      <c r="AC28" s="3">
        <v>-25.1464</v>
      </c>
      <c r="AD28" s="3">
        <v>-0.6</v>
      </c>
      <c r="AE28" s="3">
        <v>-22.187999999999999</v>
      </c>
      <c r="AF28" s="3">
        <v>-0.37</v>
      </c>
      <c r="AG28" s="3">
        <v>-13.682599999999999</v>
      </c>
      <c r="AH28" s="3">
        <v>-1.5</v>
      </c>
      <c r="AI28" s="3">
        <v>-55.47</v>
      </c>
      <c r="AJ28" s="3">
        <v>-2.34</v>
      </c>
      <c r="AK28" s="3">
        <v>-86.533199999999994</v>
      </c>
      <c r="AL28" s="3">
        <v>-2.46</v>
      </c>
      <c r="AM28" s="3">
        <v>-90.970799999999997</v>
      </c>
      <c r="AN28" s="3">
        <v>-1.51</v>
      </c>
      <c r="AO28" s="3">
        <v>-55.839799999999997</v>
      </c>
      <c r="AP28" s="3">
        <v>0.48</v>
      </c>
      <c r="AQ28" s="3">
        <v>17.750400000000006</v>
      </c>
      <c r="AR28" s="3">
        <v>8.9999999999999858E-2</v>
      </c>
      <c r="AS28" s="3">
        <v>3.3281999999999954</v>
      </c>
      <c r="AT28" s="3">
        <v>3.9999999999999813E-2</v>
      </c>
      <c r="AU28" s="3">
        <v>1.4791999999999916</v>
      </c>
      <c r="AV28" s="3">
        <v>-0.12000000000000011</v>
      </c>
      <c r="AW28" s="3">
        <v>-4.4376000000000033</v>
      </c>
      <c r="AX28" s="3">
        <v>-0.34999999999999987</v>
      </c>
      <c r="AY28" s="3">
        <v>-10.468499999999999</v>
      </c>
      <c r="AZ28" s="3">
        <v>-0.15999999999999992</v>
      </c>
      <c r="BA28" s="3">
        <v>-4.7855999999999952</v>
      </c>
      <c r="BB28" s="3">
        <v>3.9499999999999993</v>
      </c>
      <c r="BC28" s="3">
        <v>118.14449999999997</v>
      </c>
      <c r="BD28" s="3">
        <v>-3.7700000000000067</v>
      </c>
      <c r="BE28" s="3">
        <v>-188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</v>
      </c>
      <c r="BQ28" s="3">
        <v>5.32</v>
      </c>
      <c r="BR28" s="3">
        <v>5.38</v>
      </c>
      <c r="BS28" s="3">
        <v>3.9899999999999998</v>
      </c>
      <c r="BT28" s="3">
        <v>1.45</v>
      </c>
      <c r="BU28" s="3">
        <v>0.37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0.08</v>
      </c>
      <c r="CS28" s="3">
        <v>1.28</v>
      </c>
      <c r="CT28" s="3">
        <v>2.3199999999999998</v>
      </c>
      <c r="CU28" s="3">
        <v>37.119999999999997</v>
      </c>
      <c r="CV28" s="3">
        <v>3.6</v>
      </c>
      <c r="CW28" s="3">
        <v>57.6</v>
      </c>
      <c r="CX28" s="3">
        <v>4.4800000000000004</v>
      </c>
      <c r="CY28" s="3">
        <v>71.680000000000007</v>
      </c>
      <c r="CZ28" s="3">
        <v>4.8</v>
      </c>
      <c r="DA28" s="3">
        <v>76.8</v>
      </c>
      <c r="DB28" s="3">
        <v>5.01</v>
      </c>
      <c r="DC28" s="3">
        <v>80.16</v>
      </c>
      <c r="DD28" s="3">
        <v>3.59</v>
      </c>
      <c r="DE28" s="3">
        <v>57.44</v>
      </c>
      <c r="DF28" s="3">
        <v>0.01</v>
      </c>
      <c r="DG28" s="3">
        <v>0.16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23.89</v>
      </c>
      <c r="EA28" s="3">
        <v>382</v>
      </c>
      <c r="EB28" s="3">
        <v>3.4</v>
      </c>
      <c r="EC28" s="3">
        <v>0.10999999999999999</v>
      </c>
      <c r="ED28" s="3">
        <v>-1.0000000000000002E-2</v>
      </c>
      <c r="EE28" s="3">
        <v>-1.0000000000000002E-2</v>
      </c>
      <c r="EF28" s="3">
        <v>-0.02</v>
      </c>
      <c r="EG28" s="3">
        <v>0</v>
      </c>
      <c r="EH28" s="3">
        <v>-0.03</v>
      </c>
      <c r="EI28" s="3">
        <v>-0.03</v>
      </c>
      <c r="EJ28" s="3">
        <v>-0.02</v>
      </c>
      <c r="EK28" s="3">
        <v>-0.02</v>
      </c>
      <c r="EL28" s="3">
        <v>-0.02</v>
      </c>
      <c r="EM28" s="3">
        <v>0</v>
      </c>
      <c r="EN28" s="3">
        <v>-0.02</v>
      </c>
      <c r="EO28" s="3">
        <v>-0.01</v>
      </c>
      <c r="EP28" s="3">
        <v>-0.01</v>
      </c>
      <c r="EQ28" s="3">
        <v>-0.01</v>
      </c>
      <c r="ER28" s="3">
        <v>-0.03</v>
      </c>
      <c r="ES28" s="3">
        <v>-1.0000000000000002E-2</v>
      </c>
      <c r="ET28" s="3">
        <v>-1.0000000000000002E-2</v>
      </c>
      <c r="EU28" s="3">
        <v>-0.02</v>
      </c>
      <c r="EV28" s="3">
        <v>-1.0000000000000002E-2</v>
      </c>
      <c r="EW28" s="3">
        <v>0</v>
      </c>
      <c r="EX28" s="3">
        <v>0</v>
      </c>
      <c r="EY28" s="3">
        <v>3.87</v>
      </c>
      <c r="EZ28" s="3">
        <v>7.0899999999999981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5.22</v>
      </c>
      <c r="FZ28" s="3">
        <v>3.0000000000000027E-2</v>
      </c>
      <c r="GA28" s="3">
        <v>-7.9999999999999849E-2</v>
      </c>
      <c r="GB28" s="3">
        <v>3.0000000000000027E-2</v>
      </c>
      <c r="GC28" s="3">
        <v>0.16000000000000014</v>
      </c>
      <c r="GD28" s="3">
        <v>5.0000000000000044E-2</v>
      </c>
      <c r="GE28" s="3">
        <v>5.9999999999999831E-2</v>
      </c>
      <c r="GF28" s="3">
        <v>-0.16000000000000014</v>
      </c>
      <c r="GG28" s="3">
        <v>-7.0000000000000062E-2</v>
      </c>
      <c r="GH28" s="3">
        <v>-4.0000000000000036E-2</v>
      </c>
      <c r="GI28" s="3">
        <v>1.9999999999999907E-2</v>
      </c>
      <c r="GJ28" s="3">
        <v>-0.13</v>
      </c>
      <c r="GK28" s="3">
        <v>-7.999999999999996E-2</v>
      </c>
      <c r="GL28" s="3">
        <v>3.0000000000000027E-2</v>
      </c>
      <c r="GM28" s="3">
        <v>-1.0900000000000001</v>
      </c>
      <c r="GN28" s="3">
        <v>4.0000000000000036E-2</v>
      </c>
      <c r="GO28" s="3">
        <v>0.10999999999999988</v>
      </c>
      <c r="GP28" s="3">
        <v>0.62000000000000011</v>
      </c>
      <c r="GQ28" s="3">
        <v>0.49000000000000021</v>
      </c>
      <c r="GR28" s="3">
        <v>9.9999999999999867E-2</v>
      </c>
      <c r="GS28" s="3">
        <v>6.0000000000000053E-2</v>
      </c>
      <c r="GT28" s="3">
        <v>-0.10999999999999988</v>
      </c>
      <c r="GU28" s="3">
        <v>-0.35000000000000009</v>
      </c>
      <c r="GV28" s="3">
        <v>-0.15999999999999992</v>
      </c>
      <c r="GW28" s="3">
        <v>8.0000000000000071E-2</v>
      </c>
      <c r="GX28" s="3">
        <v>-0.39000000000000412</v>
      </c>
      <c r="GY28" t="s">
        <v>265</v>
      </c>
      <c r="GZ28" t="s">
        <v>265</v>
      </c>
      <c r="HA28" t="s">
        <v>265</v>
      </c>
      <c r="HB28" t="s">
        <v>265</v>
      </c>
      <c r="HC28" t="s">
        <v>265</v>
      </c>
      <c r="HD28" t="s">
        <v>265</v>
      </c>
      <c r="HE28" t="s">
        <v>265</v>
      </c>
      <c r="HF28" t="s">
        <v>265</v>
      </c>
      <c r="HG28" t="s">
        <v>265</v>
      </c>
      <c r="HH28" t="s">
        <v>265</v>
      </c>
      <c r="HI28" t="s">
        <v>265</v>
      </c>
      <c r="HJ28" t="s">
        <v>265</v>
      </c>
      <c r="HK28" t="s">
        <v>265</v>
      </c>
      <c r="HL28" t="s">
        <v>265</v>
      </c>
      <c r="HM28" t="s">
        <v>265</v>
      </c>
      <c r="HN28" t="s">
        <v>265</v>
      </c>
      <c r="HO28" t="s">
        <v>265</v>
      </c>
      <c r="HP28" t="s">
        <v>265</v>
      </c>
      <c r="HQ28" t="s">
        <v>265</v>
      </c>
      <c r="HR28" t="s">
        <v>265</v>
      </c>
      <c r="HS28" t="s">
        <v>265</v>
      </c>
      <c r="HT28" t="s">
        <v>265</v>
      </c>
      <c r="HU28" t="s">
        <v>265</v>
      </c>
      <c r="HV28" t="s">
        <v>265</v>
      </c>
    </row>
    <row r="29" spans="2:230" x14ac:dyDescent="0.55000000000000004">
      <c r="B29" s="12" t="s">
        <v>288</v>
      </c>
      <c r="C29" s="6" t="str">
        <f t="shared" si="8"/>
        <v>木曜日</v>
      </c>
      <c r="D29" s="6" t="s">
        <v>82</v>
      </c>
      <c r="E29" s="6" t="str">
        <f t="shared" si="9"/>
        <v>〇</v>
      </c>
      <c r="F29" s="6" t="s">
        <v>197</v>
      </c>
      <c r="G29" s="6" t="s">
        <v>261</v>
      </c>
      <c r="H29" s="3">
        <v>2.67</v>
      </c>
      <c r="I29" s="3">
        <v>79.859700000000004</v>
      </c>
      <c r="J29" s="3">
        <v>0.30999999999999983</v>
      </c>
      <c r="K29" s="3">
        <v>9.2720999999999947</v>
      </c>
      <c r="L29" s="3">
        <v>0.21999999999999997</v>
      </c>
      <c r="M29" s="3">
        <v>6.5802000000000014</v>
      </c>
      <c r="N29" s="3">
        <v>0.14999999999999991</v>
      </c>
      <c r="O29" s="3">
        <v>4.4864999999999959</v>
      </c>
      <c r="P29" s="3">
        <v>-0.13000000000000012</v>
      </c>
      <c r="Q29" s="3">
        <v>-3.888300000000001</v>
      </c>
      <c r="R29" s="3">
        <v>0.23999999999999988</v>
      </c>
      <c r="S29" s="3">
        <v>7.1783999999999963</v>
      </c>
      <c r="T29" s="3">
        <v>0.14999999999999991</v>
      </c>
      <c r="U29" s="3">
        <v>4.4864999999999959</v>
      </c>
      <c r="V29" s="3">
        <v>-0.14999999999999991</v>
      </c>
      <c r="W29" s="3">
        <v>-4.4864999999999995</v>
      </c>
      <c r="X29" s="3">
        <v>-0.56000000000000005</v>
      </c>
      <c r="Y29" s="3">
        <v>-16.749600000000001</v>
      </c>
      <c r="Z29" s="3">
        <v>-0.13</v>
      </c>
      <c r="AA29" s="3">
        <v>-3.8882999999999974</v>
      </c>
      <c r="AB29" s="3">
        <v>-0.79</v>
      </c>
      <c r="AC29" s="3">
        <v>-23.628900000000002</v>
      </c>
      <c r="AD29" s="3">
        <v>-0.97</v>
      </c>
      <c r="AE29" s="3">
        <v>-29.012700000000002</v>
      </c>
      <c r="AF29" s="3">
        <v>-0.88</v>
      </c>
      <c r="AG29" s="3">
        <v>-26.320800000000002</v>
      </c>
      <c r="AH29" s="3">
        <v>-0.67</v>
      </c>
      <c r="AI29" s="3">
        <v>-20.0397</v>
      </c>
      <c r="AJ29" s="3">
        <v>-1.33</v>
      </c>
      <c r="AK29" s="3">
        <v>-39.780299999999997</v>
      </c>
      <c r="AL29" s="3">
        <v>0.94000000000000039</v>
      </c>
      <c r="AM29" s="3">
        <v>28.115400000000022</v>
      </c>
      <c r="AN29" s="3">
        <v>1.0499999999999998</v>
      </c>
      <c r="AO29" s="3">
        <v>31.405500000000004</v>
      </c>
      <c r="AP29" s="3">
        <v>1.26</v>
      </c>
      <c r="AQ29" s="3">
        <v>37.686599999999999</v>
      </c>
      <c r="AR29" s="3">
        <v>0.41999999999999993</v>
      </c>
      <c r="AS29" s="3">
        <v>12.562200000000004</v>
      </c>
      <c r="AT29" s="3">
        <v>-6.0000000000000053E-2</v>
      </c>
      <c r="AU29" s="3">
        <v>-1.7946000000000026</v>
      </c>
      <c r="AV29" s="3">
        <v>0.20000000000000018</v>
      </c>
      <c r="AW29" s="3">
        <v>5.9819999999999993</v>
      </c>
      <c r="AX29" s="3">
        <v>-9.000000000000008E-2</v>
      </c>
      <c r="AY29" s="3">
        <v>-2.6918999999999969</v>
      </c>
      <c r="AZ29" s="3">
        <v>-0.19999999999999996</v>
      </c>
      <c r="BA29" s="3">
        <v>-5.9819999999999993</v>
      </c>
      <c r="BB29" s="3">
        <v>3.0600000000000005</v>
      </c>
      <c r="BC29" s="3">
        <v>91.524600000000021</v>
      </c>
      <c r="BD29" s="3">
        <v>4.7099999999999973</v>
      </c>
      <c r="BE29" s="3"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-0.01</v>
      </c>
      <c r="BP29" s="3">
        <v>0.05</v>
      </c>
      <c r="BQ29" s="3">
        <v>-3.0000000000000002E-2</v>
      </c>
      <c r="BR29" s="3">
        <v>-9.0000000000000011E-2</v>
      </c>
      <c r="BS29" s="3">
        <v>-9.9999999999999992E-2</v>
      </c>
      <c r="BT29" s="3">
        <v>-2.0000000000000004E-2</v>
      </c>
      <c r="BU29" s="3">
        <v>0</v>
      </c>
      <c r="BV29" s="3">
        <v>-0.01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0.01</v>
      </c>
      <c r="CY29" s="3">
        <v>0.16</v>
      </c>
      <c r="CZ29" s="3">
        <v>0.01</v>
      </c>
      <c r="DA29" s="3">
        <v>0.16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0.02</v>
      </c>
      <c r="EA29" s="3">
        <v>0</v>
      </c>
      <c r="EB29" s="3">
        <v>2.66</v>
      </c>
      <c r="EC29" s="3">
        <v>-1.0000000000000002E-2</v>
      </c>
      <c r="ED29" s="3">
        <v>-1.0000000000000002E-2</v>
      </c>
      <c r="EE29" s="3">
        <v>-1.0000000000000002E-2</v>
      </c>
      <c r="EF29" s="3">
        <v>-1.0000000000000002E-2</v>
      </c>
      <c r="EG29" s="3">
        <v>-1.0000000000000002E-2</v>
      </c>
      <c r="EH29" s="3">
        <v>0</v>
      </c>
      <c r="EI29" s="3">
        <v>0</v>
      </c>
      <c r="EJ29" s="3">
        <v>-0.01</v>
      </c>
      <c r="EK29" s="3">
        <v>-0.01</v>
      </c>
      <c r="EL29" s="3">
        <v>-0.01</v>
      </c>
      <c r="EM29" s="3">
        <v>-0.01</v>
      </c>
      <c r="EN29" s="3">
        <v>-0.01</v>
      </c>
      <c r="EO29" s="3">
        <v>-0.01</v>
      </c>
      <c r="EP29" s="3">
        <v>0</v>
      </c>
      <c r="EQ29" s="3">
        <v>0.01</v>
      </c>
      <c r="ER29" s="3">
        <v>9.9999999999999985E-3</v>
      </c>
      <c r="ES29" s="3">
        <v>-1.0000000000000002E-2</v>
      </c>
      <c r="ET29" s="3">
        <v>-1.0000000000000002E-2</v>
      </c>
      <c r="EU29" s="3">
        <v>0</v>
      </c>
      <c r="EV29" s="3">
        <v>0</v>
      </c>
      <c r="EW29" s="3">
        <v>-1.0000000000000002E-2</v>
      </c>
      <c r="EX29" s="3">
        <v>-1.0000000000000002E-2</v>
      </c>
      <c r="EY29" s="3">
        <v>2.08</v>
      </c>
      <c r="EZ29" s="3">
        <v>4.6099999999999977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4.42</v>
      </c>
      <c r="FZ29" s="3">
        <v>1.0000000000000009E-2</v>
      </c>
      <c r="GA29" s="3">
        <v>0.31999999999999984</v>
      </c>
      <c r="GB29" s="3">
        <v>0.22999999999999998</v>
      </c>
      <c r="GC29" s="3">
        <v>0.15999999999999992</v>
      </c>
      <c r="GD29" s="3">
        <v>-0.12000000000000011</v>
      </c>
      <c r="GE29" s="3">
        <v>0.25000000000000011</v>
      </c>
      <c r="GF29" s="3">
        <v>0.14999999999999991</v>
      </c>
      <c r="GG29" s="3">
        <v>-0.14999999999999991</v>
      </c>
      <c r="GH29" s="3">
        <v>-0.54</v>
      </c>
      <c r="GI29" s="3">
        <v>-0.13</v>
      </c>
      <c r="GJ29" s="3">
        <v>4.0000000000000036E-2</v>
      </c>
      <c r="GK29" s="3">
        <v>-0.22999999999999998</v>
      </c>
      <c r="GL29" s="3">
        <v>-0.39</v>
      </c>
      <c r="GM29" s="3">
        <v>-0.19000000000000006</v>
      </c>
      <c r="GN29" s="3">
        <v>0.38000000000000034</v>
      </c>
      <c r="GO29" s="3">
        <v>0.93000000000000016</v>
      </c>
      <c r="GP29" s="3">
        <v>1.0300000000000002</v>
      </c>
      <c r="GQ29" s="3">
        <v>1.2700000000000002</v>
      </c>
      <c r="GR29" s="3">
        <v>0.42999999999999994</v>
      </c>
      <c r="GS29" s="3">
        <v>-6.0000000000000053E-2</v>
      </c>
      <c r="GT29" s="3">
        <v>0.19999999999999996</v>
      </c>
      <c r="GU29" s="3">
        <v>-7.9999999999999849E-2</v>
      </c>
      <c r="GV29" s="3">
        <v>-0.19000000000000017</v>
      </c>
      <c r="GW29" s="3">
        <v>0.98</v>
      </c>
      <c r="GX29" s="3">
        <v>4.3000000000000007</v>
      </c>
      <c r="GY29" t="s">
        <v>265</v>
      </c>
      <c r="GZ29" t="s">
        <v>265</v>
      </c>
      <c r="HA29" t="s">
        <v>265</v>
      </c>
      <c r="HB29" t="s">
        <v>265</v>
      </c>
      <c r="HC29" t="s">
        <v>265</v>
      </c>
      <c r="HD29" t="s">
        <v>265</v>
      </c>
      <c r="HE29" t="s">
        <v>265</v>
      </c>
      <c r="HF29" t="s">
        <v>265</v>
      </c>
      <c r="HG29" t="s">
        <v>265</v>
      </c>
      <c r="HH29" t="s">
        <v>265</v>
      </c>
      <c r="HI29" t="s">
        <v>265</v>
      </c>
      <c r="HJ29" t="s">
        <v>265</v>
      </c>
      <c r="HK29" t="s">
        <v>265</v>
      </c>
      <c r="HL29" t="s">
        <v>265</v>
      </c>
      <c r="HM29" t="s">
        <v>265</v>
      </c>
      <c r="HN29" t="s">
        <v>265</v>
      </c>
      <c r="HO29" t="s">
        <v>265</v>
      </c>
      <c r="HP29" t="s">
        <v>265</v>
      </c>
      <c r="HQ29" t="s">
        <v>265</v>
      </c>
      <c r="HR29" t="s">
        <v>265</v>
      </c>
      <c r="HS29" t="s">
        <v>265</v>
      </c>
      <c r="HT29" t="s">
        <v>265</v>
      </c>
      <c r="HU29" t="s">
        <v>265</v>
      </c>
      <c r="HV29" t="s">
        <v>265</v>
      </c>
    </row>
    <row r="30" spans="2:230" x14ac:dyDescent="0.55000000000000004">
      <c r="B30" s="12" t="s">
        <v>289</v>
      </c>
      <c r="C30" s="6" t="str">
        <f t="shared" si="8"/>
        <v>金曜日</v>
      </c>
      <c r="D30" s="6"/>
      <c r="E30" s="6" t="str">
        <f t="shared" si="9"/>
        <v/>
      </c>
      <c r="F30" s="6" t="s">
        <v>197</v>
      </c>
      <c r="G30" s="6" t="s">
        <v>261</v>
      </c>
      <c r="H30" s="3">
        <v>3.5</v>
      </c>
      <c r="I30" s="3">
        <v>104.68499999999999</v>
      </c>
      <c r="J30" s="3">
        <v>4.0000000000000036E-2</v>
      </c>
      <c r="K30" s="3">
        <v>1.196399999999997</v>
      </c>
      <c r="L30" s="3">
        <v>1.0000000000000009E-2</v>
      </c>
      <c r="M30" s="3">
        <v>0.29909999999999926</v>
      </c>
      <c r="N30" s="3">
        <v>9.000000000000008E-2</v>
      </c>
      <c r="O30" s="3">
        <v>2.691900000000004</v>
      </c>
      <c r="P30" s="3">
        <v>0.49</v>
      </c>
      <c r="Q30" s="3">
        <v>14.655900000000003</v>
      </c>
      <c r="R30" s="3">
        <v>0.24</v>
      </c>
      <c r="S30" s="3">
        <v>7.1784000000000034</v>
      </c>
      <c r="T30" s="3">
        <v>5.0000000000000044E-2</v>
      </c>
      <c r="U30" s="3">
        <v>1.4955000000000034</v>
      </c>
      <c r="V30" s="3">
        <v>0.44999999999999996</v>
      </c>
      <c r="W30" s="3">
        <v>13.459500000000002</v>
      </c>
      <c r="X30" s="3">
        <v>1.59</v>
      </c>
      <c r="Y30" s="3">
        <v>47.556900000000006</v>
      </c>
      <c r="Z30" s="3">
        <v>0.14999999999999991</v>
      </c>
      <c r="AA30" s="3">
        <v>4.4864999999999959</v>
      </c>
      <c r="AB30" s="3">
        <v>-0.62</v>
      </c>
      <c r="AC30" s="3">
        <v>-18.5442</v>
      </c>
      <c r="AD30" s="3">
        <v>-0.49</v>
      </c>
      <c r="AE30" s="3">
        <v>-14.655900000000001</v>
      </c>
      <c r="AF30" s="3">
        <v>-0.14000000000000001</v>
      </c>
      <c r="AG30" s="3">
        <v>-4.1874000000000002</v>
      </c>
      <c r="AH30" s="3">
        <v>-0.02</v>
      </c>
      <c r="AI30" s="3">
        <v>-0.59820000000000007</v>
      </c>
      <c r="AJ30" s="3">
        <v>0.14999999999999991</v>
      </c>
      <c r="AK30" s="3">
        <v>4.4864999999999959</v>
      </c>
      <c r="AL30" s="3">
        <v>0.53</v>
      </c>
      <c r="AM30" s="3">
        <v>15.8523</v>
      </c>
      <c r="AN30" s="3">
        <v>0.61000000000000032</v>
      </c>
      <c r="AO30" s="3">
        <v>18.245100000000008</v>
      </c>
      <c r="AP30" s="3">
        <v>0.7699999999999998</v>
      </c>
      <c r="AQ30" s="3">
        <v>23.030699999999996</v>
      </c>
      <c r="AR30" s="3">
        <v>-0.41000000000000014</v>
      </c>
      <c r="AS30" s="3">
        <v>-12.263100000000009</v>
      </c>
      <c r="AT30" s="3">
        <v>0.45000000000000007</v>
      </c>
      <c r="AU30" s="3">
        <v>13.459499999999998</v>
      </c>
      <c r="AV30" s="3">
        <v>0.41999999999999993</v>
      </c>
      <c r="AW30" s="3">
        <v>12.562200000000001</v>
      </c>
      <c r="AX30" s="3">
        <v>-3.0000000000000027E-2</v>
      </c>
      <c r="AY30" s="3">
        <v>-0.89730000000000132</v>
      </c>
      <c r="AZ30" s="3">
        <v>-0.40999999999999992</v>
      </c>
      <c r="BA30" s="3">
        <v>-12.263099999999998</v>
      </c>
      <c r="BB30" s="3">
        <v>2.7</v>
      </c>
      <c r="BC30" s="3">
        <v>80.757000000000005</v>
      </c>
      <c r="BD30" s="3">
        <v>10.120000000000005</v>
      </c>
      <c r="BE30" s="3">
        <v>303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-0.01</v>
      </c>
      <c r="BN30" s="3">
        <v>-0.04</v>
      </c>
      <c r="BO30" s="3">
        <v>-4.9999999999999989E-2</v>
      </c>
      <c r="BP30" s="3">
        <v>-0.16000000000000003</v>
      </c>
      <c r="BQ30" s="3">
        <v>-0.26</v>
      </c>
      <c r="BR30" s="3">
        <v>-0.52</v>
      </c>
      <c r="BS30" s="3">
        <v>-0.90999999999999992</v>
      </c>
      <c r="BT30" s="3">
        <v>-1.22</v>
      </c>
      <c r="BU30" s="3">
        <v>-0.98</v>
      </c>
      <c r="BV30" s="3">
        <v>-0.34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0.01</v>
      </c>
      <c r="CY30" s="3">
        <v>0.16</v>
      </c>
      <c r="CZ30" s="3">
        <v>0.01</v>
      </c>
      <c r="DA30" s="3">
        <v>0.16</v>
      </c>
      <c r="DB30" s="3">
        <v>0.01</v>
      </c>
      <c r="DC30" s="3">
        <v>0.16</v>
      </c>
      <c r="DD30" s="3">
        <v>-0.01</v>
      </c>
      <c r="DE30" s="3">
        <v>-0.16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1.9999999999999997E-2</v>
      </c>
      <c r="EA30" s="3">
        <v>0</v>
      </c>
      <c r="EB30" s="3">
        <v>3.33</v>
      </c>
      <c r="EC30" s="3">
        <v>0.12</v>
      </c>
      <c r="ED30" s="3">
        <v>-9.9999999999999985E-3</v>
      </c>
      <c r="EE30" s="3">
        <v>0</v>
      </c>
      <c r="EF30" s="3">
        <v>0</v>
      </c>
      <c r="EG30" s="3">
        <v>-1.0000000000000002E-2</v>
      </c>
      <c r="EH30" s="3">
        <v>0</v>
      </c>
      <c r="EI30" s="3">
        <v>0.01</v>
      </c>
      <c r="EJ30" s="3">
        <v>-0.01</v>
      </c>
      <c r="EK30" s="3">
        <v>-0.01</v>
      </c>
      <c r="EL30" s="3">
        <v>-0.01</v>
      </c>
      <c r="EM30" s="3">
        <v>0</v>
      </c>
      <c r="EN30" s="3">
        <v>-0.01</v>
      </c>
      <c r="EO30" s="3">
        <v>-0.32</v>
      </c>
      <c r="EP30" s="3">
        <v>0</v>
      </c>
      <c r="EQ30" s="3">
        <v>0</v>
      </c>
      <c r="ER30" s="3">
        <v>9.9999999999999985E-3</v>
      </c>
      <c r="ES30" s="3">
        <v>-9.9999999999999985E-3</v>
      </c>
      <c r="ET30" s="3">
        <v>-1.0000000000000002E-2</v>
      </c>
      <c r="EU30" s="3">
        <v>-1.0000000000000002E-2</v>
      </c>
      <c r="EV30" s="3">
        <v>-1.0000000000000002E-2</v>
      </c>
      <c r="EW30" s="3">
        <v>-0.02</v>
      </c>
      <c r="EX30" s="3">
        <v>0</v>
      </c>
      <c r="EY30" s="3">
        <v>3.04</v>
      </c>
      <c r="EZ30" s="3">
        <v>6.0699999999999976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2.9999999999999971E-2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5.0500000000000007</v>
      </c>
      <c r="FZ30" s="3">
        <v>0.17000000000000004</v>
      </c>
      <c r="GA30" s="3">
        <v>-8.0000000000000071E-2</v>
      </c>
      <c r="GB30" s="3">
        <v>2.0000000000000018E-2</v>
      </c>
      <c r="GC30" s="3">
        <v>9.000000000000008E-2</v>
      </c>
      <c r="GD30" s="3">
        <v>0.49</v>
      </c>
      <c r="GE30" s="3">
        <v>0.25</v>
      </c>
      <c r="GF30" s="3">
        <v>5.0000000000000044E-2</v>
      </c>
      <c r="GG30" s="3">
        <v>0.42999999999999994</v>
      </c>
      <c r="GH30" s="3">
        <v>1.56</v>
      </c>
      <c r="GI30" s="3">
        <v>0.1100000000000001</v>
      </c>
      <c r="GJ30" s="3">
        <v>0.30999999999999994</v>
      </c>
      <c r="GK30" s="3">
        <v>0.30999999999999994</v>
      </c>
      <c r="GL30" s="3">
        <v>1.04</v>
      </c>
      <c r="GM30" s="3">
        <v>0.55999999999999994</v>
      </c>
      <c r="GN30" s="3">
        <v>-1.0399999999999998</v>
      </c>
      <c r="GO30" s="3">
        <v>-0.44999999999999973</v>
      </c>
      <c r="GP30" s="3">
        <v>0.25999999999999979</v>
      </c>
      <c r="GQ30" s="3">
        <v>0.7799999999999998</v>
      </c>
      <c r="GR30" s="3">
        <v>-0.40000000000000013</v>
      </c>
      <c r="GS30" s="3">
        <v>0.46000000000000008</v>
      </c>
      <c r="GT30" s="3">
        <v>0.43000000000000005</v>
      </c>
      <c r="GU30" s="3">
        <v>-1.0000000000000009E-2</v>
      </c>
      <c r="GV30" s="3">
        <v>-0.40999999999999992</v>
      </c>
      <c r="GW30" s="3">
        <v>-0.34000000000000008</v>
      </c>
      <c r="GX30" s="3">
        <v>4.5899999999999928</v>
      </c>
      <c r="GY30" t="s">
        <v>265</v>
      </c>
      <c r="GZ30" t="s">
        <v>265</v>
      </c>
      <c r="HA30" t="s">
        <v>265</v>
      </c>
      <c r="HB30" t="s">
        <v>265</v>
      </c>
      <c r="HC30" t="s">
        <v>265</v>
      </c>
      <c r="HD30" t="s">
        <v>265</v>
      </c>
      <c r="HE30" t="s">
        <v>265</v>
      </c>
      <c r="HF30" t="s">
        <v>265</v>
      </c>
      <c r="HG30" t="s">
        <v>265</v>
      </c>
      <c r="HH30" t="s">
        <v>265</v>
      </c>
      <c r="HI30" t="s">
        <v>265</v>
      </c>
      <c r="HJ30" t="s">
        <v>265</v>
      </c>
      <c r="HK30" t="s">
        <v>265</v>
      </c>
      <c r="HL30" t="s">
        <v>265</v>
      </c>
      <c r="HM30" t="s">
        <v>265</v>
      </c>
      <c r="HN30" t="s">
        <v>265</v>
      </c>
      <c r="HO30" t="s">
        <v>265</v>
      </c>
      <c r="HP30" t="s">
        <v>265</v>
      </c>
      <c r="HQ30" t="s">
        <v>265</v>
      </c>
      <c r="HR30" t="s">
        <v>265</v>
      </c>
      <c r="HS30" t="s">
        <v>265</v>
      </c>
      <c r="HT30" t="s">
        <v>265</v>
      </c>
      <c r="HU30" t="s">
        <v>265</v>
      </c>
      <c r="HV30" t="s">
        <v>265</v>
      </c>
    </row>
    <row r="31" spans="2:230" x14ac:dyDescent="0.55000000000000004">
      <c r="B31" s="12" t="s">
        <v>290</v>
      </c>
      <c r="C31" s="6" t="str">
        <f t="shared" si="8"/>
        <v>土曜日</v>
      </c>
      <c r="D31" s="6"/>
      <c r="E31" s="6" t="str">
        <f t="shared" si="9"/>
        <v>〇</v>
      </c>
      <c r="F31" s="6" t="s">
        <v>197</v>
      </c>
      <c r="G31" s="6" t="s">
        <v>261</v>
      </c>
      <c r="H31" s="3">
        <v>3.44</v>
      </c>
      <c r="I31" s="3">
        <v>102.89039999999999</v>
      </c>
      <c r="J31" s="3">
        <v>0.14999999999999991</v>
      </c>
      <c r="K31" s="3">
        <v>4.4864999999999924</v>
      </c>
      <c r="L31" s="3">
        <v>1.2900000000000003</v>
      </c>
      <c r="M31" s="3">
        <v>38.5839</v>
      </c>
      <c r="N31" s="3">
        <v>0.18000000000000005</v>
      </c>
      <c r="O31" s="3">
        <v>5.3838000000000008</v>
      </c>
      <c r="P31" s="3">
        <v>0.35999999999999988</v>
      </c>
      <c r="Q31" s="3">
        <v>10.767599999999998</v>
      </c>
      <c r="R31" s="3">
        <v>0.30000000000000004</v>
      </c>
      <c r="S31" s="3">
        <v>8.9730000000000061</v>
      </c>
      <c r="T31" s="3">
        <v>0.48</v>
      </c>
      <c r="U31" s="3">
        <v>14.356799999999996</v>
      </c>
      <c r="V31" s="3">
        <v>1.37</v>
      </c>
      <c r="W31" s="3">
        <v>56.247900000000001</v>
      </c>
      <c r="X31" s="3">
        <v>0.12</v>
      </c>
      <c r="Y31" s="3">
        <v>6.6999999999999993</v>
      </c>
      <c r="Z31" s="3">
        <v>0.47</v>
      </c>
      <c r="AA31" s="3">
        <v>17.4513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1.37</v>
      </c>
      <c r="AO31" s="3">
        <v>58.793100000000003</v>
      </c>
      <c r="AP31" s="3">
        <v>0.10999999999999988</v>
      </c>
      <c r="AQ31" s="3">
        <v>25.701999999999984</v>
      </c>
      <c r="AR31" s="3">
        <v>0.71</v>
      </c>
      <c r="AS31" s="3">
        <v>33.184399999999997</v>
      </c>
      <c r="AT31" s="3">
        <v>0.41999999999999993</v>
      </c>
      <c r="AU31" s="3">
        <v>24.722599999999993</v>
      </c>
      <c r="AV31" s="3">
        <v>0.29000000000000004</v>
      </c>
      <c r="AW31" s="3">
        <v>18.996099999999998</v>
      </c>
      <c r="AX31" s="3">
        <v>0.42999999999999994</v>
      </c>
      <c r="AY31" s="3">
        <v>12.8613</v>
      </c>
      <c r="AZ31" s="3">
        <v>0.26</v>
      </c>
      <c r="BA31" s="3">
        <v>7.7765999999999948</v>
      </c>
      <c r="BB31" s="3">
        <v>4</v>
      </c>
      <c r="BC31" s="3">
        <v>119.63999999999999</v>
      </c>
      <c r="BD31" s="3">
        <v>15.749999999999996</v>
      </c>
      <c r="BE31" s="3">
        <v>568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-0.04</v>
      </c>
      <c r="BM31" s="3">
        <v>-0.37</v>
      </c>
      <c r="BN31" s="3">
        <v>-0.83</v>
      </c>
      <c r="BO31" s="3">
        <v>-2.0499999999999998</v>
      </c>
      <c r="BP31" s="3">
        <v>-3.5</v>
      </c>
      <c r="BQ31" s="3">
        <v>-4.0600000000000005</v>
      </c>
      <c r="BR31" s="3">
        <v>-4.28</v>
      </c>
      <c r="BS31" s="3">
        <v>-2.31</v>
      </c>
      <c r="BT31" s="3">
        <v>-0.85</v>
      </c>
      <c r="BU31" s="3">
        <v>-0.42</v>
      </c>
      <c r="BV31" s="3">
        <v>-0.18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-0.13</v>
      </c>
      <c r="CW31" s="3">
        <v>-2.08</v>
      </c>
      <c r="CX31" s="3">
        <v>-0.97</v>
      </c>
      <c r="CY31" s="3">
        <v>-15.52</v>
      </c>
      <c r="CZ31" s="3">
        <v>-0.62</v>
      </c>
      <c r="DA31" s="3">
        <v>-9.92</v>
      </c>
      <c r="DB31" s="3">
        <v>-2.2000000000000002</v>
      </c>
      <c r="DC31" s="3">
        <v>-35.200000000000003</v>
      </c>
      <c r="DD31" s="3">
        <v>-1.59</v>
      </c>
      <c r="DE31" s="3">
        <v>-25.44</v>
      </c>
      <c r="DF31" s="3">
        <v>0.01</v>
      </c>
      <c r="DG31" s="3">
        <v>0.16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-5.5000000000000009</v>
      </c>
      <c r="EA31" s="3">
        <v>-88</v>
      </c>
      <c r="EB31" s="3">
        <v>3.46</v>
      </c>
      <c r="EC31" s="3">
        <v>7.0000000000000007E-2</v>
      </c>
      <c r="ED31" s="3">
        <v>-1.0000000000000002E-2</v>
      </c>
      <c r="EE31" s="3">
        <v>-1.0000000000000002E-2</v>
      </c>
      <c r="EF31" s="3">
        <v>-1.0000000000000002E-2</v>
      </c>
      <c r="EG31" s="3">
        <v>-1.0000000000000002E-2</v>
      </c>
      <c r="EH31" s="3">
        <v>9.9999999999999985E-3</v>
      </c>
      <c r="EI31" s="3">
        <v>1.9999999999999997E-2</v>
      </c>
      <c r="EJ31" s="3">
        <v>-0.17</v>
      </c>
      <c r="EK31" s="3">
        <v>-0.71</v>
      </c>
      <c r="EL31" s="3">
        <v>-1.53</v>
      </c>
      <c r="EM31" s="3">
        <v>-2.71</v>
      </c>
      <c r="EN31" s="3">
        <v>-1.36</v>
      </c>
      <c r="EO31" s="3">
        <v>0</v>
      </c>
      <c r="EP31" s="3">
        <v>0</v>
      </c>
      <c r="EQ31" s="3">
        <v>0</v>
      </c>
      <c r="ER31" s="3">
        <v>0.06</v>
      </c>
      <c r="ES31" s="3">
        <v>0</v>
      </c>
      <c r="ET31" s="3">
        <v>-0.02</v>
      </c>
      <c r="EU31" s="3">
        <v>-1.0000000000000002E-2</v>
      </c>
      <c r="EV31" s="3">
        <v>-1.0000000000000002E-2</v>
      </c>
      <c r="EW31" s="3">
        <v>-1.0000000000000002E-2</v>
      </c>
      <c r="EX31" s="3">
        <v>-1.0000000000000002E-2</v>
      </c>
      <c r="EY31" s="3">
        <v>3.64</v>
      </c>
      <c r="EZ31" s="3">
        <v>0.67999999999999705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1.03</v>
      </c>
      <c r="FO31" s="3">
        <v>-1</v>
      </c>
      <c r="FP31" s="3">
        <v>-0.66999999999999993</v>
      </c>
      <c r="FQ31" s="3">
        <v>-1.3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-0.58000000000000007</v>
      </c>
      <c r="FZ31" s="3">
        <v>-2.0000000000000018E-2</v>
      </c>
      <c r="GA31" s="3">
        <v>8.0000000000000071E-2</v>
      </c>
      <c r="GB31" s="3">
        <v>1.2999999999999998</v>
      </c>
      <c r="GC31" s="3">
        <v>0.19000000000000006</v>
      </c>
      <c r="GD31" s="3">
        <v>0.37000000000000011</v>
      </c>
      <c r="GE31" s="3">
        <v>0.31000000000000005</v>
      </c>
      <c r="GF31" s="3">
        <v>0.42999999999999994</v>
      </c>
      <c r="GG31" s="3">
        <v>0.98</v>
      </c>
      <c r="GH31" s="3">
        <v>-0.54</v>
      </c>
      <c r="GI31" s="3">
        <v>-0.74</v>
      </c>
      <c r="GJ31" s="3">
        <v>-0.52</v>
      </c>
      <c r="GK31" s="3">
        <v>-0.27999999999999997</v>
      </c>
      <c r="GL31" s="3">
        <v>-0.28999999999999998</v>
      </c>
      <c r="GM31" s="3">
        <v>0.31000000000000005</v>
      </c>
      <c r="GN31" s="3">
        <v>-1.8599999999999999</v>
      </c>
      <c r="GO31" s="3">
        <v>-1.0899999999999999</v>
      </c>
      <c r="GP31" s="3">
        <v>-0.16999999999999993</v>
      </c>
      <c r="GQ31" s="3">
        <v>0.11000000000000032</v>
      </c>
      <c r="GR31" s="3">
        <v>0.73</v>
      </c>
      <c r="GS31" s="3">
        <v>0.42999999999999994</v>
      </c>
      <c r="GT31" s="3">
        <v>0.30000000000000004</v>
      </c>
      <c r="GU31" s="3">
        <v>0.43999999999999995</v>
      </c>
      <c r="GV31" s="3">
        <v>0.27</v>
      </c>
      <c r="GW31" s="3">
        <v>0.3600000000000001</v>
      </c>
      <c r="GX31" s="3">
        <v>1.0999999999999979</v>
      </c>
      <c r="GY31" t="s">
        <v>265</v>
      </c>
      <c r="GZ31" t="s">
        <v>265</v>
      </c>
      <c r="HA31" t="s">
        <v>265</v>
      </c>
      <c r="HB31" t="s">
        <v>265</v>
      </c>
      <c r="HC31" t="s">
        <v>265</v>
      </c>
      <c r="HD31" t="s">
        <v>265</v>
      </c>
      <c r="HE31" t="s">
        <v>265</v>
      </c>
      <c r="HF31" t="s">
        <v>265</v>
      </c>
      <c r="HG31" t="s">
        <v>265</v>
      </c>
      <c r="HH31" t="s">
        <v>265</v>
      </c>
      <c r="HI31" t="s">
        <v>265</v>
      </c>
      <c r="HJ31" t="s">
        <v>265</v>
      </c>
      <c r="HK31" t="s">
        <v>265</v>
      </c>
      <c r="HL31" t="s">
        <v>265</v>
      </c>
      <c r="HM31" t="s">
        <v>265</v>
      </c>
      <c r="HN31" t="s">
        <v>265</v>
      </c>
      <c r="HO31" t="s">
        <v>265</v>
      </c>
      <c r="HP31" t="s">
        <v>265</v>
      </c>
      <c r="HQ31" t="s">
        <v>265</v>
      </c>
      <c r="HR31" t="s">
        <v>265</v>
      </c>
      <c r="HS31" t="s">
        <v>265</v>
      </c>
      <c r="HT31" t="s">
        <v>265</v>
      </c>
      <c r="HU31" t="s">
        <v>265</v>
      </c>
      <c r="HV31" t="s">
        <v>265</v>
      </c>
    </row>
    <row r="32" spans="2:230" x14ac:dyDescent="0.55000000000000004">
      <c r="B32" s="12" t="s">
        <v>291</v>
      </c>
      <c r="C32" s="6" t="str">
        <f t="shared" si="8"/>
        <v>日曜日</v>
      </c>
      <c r="D32" s="6"/>
      <c r="E32" s="6" t="str">
        <f t="shared" si="9"/>
        <v>〇</v>
      </c>
      <c r="F32" s="6" t="s">
        <v>197</v>
      </c>
      <c r="G32" s="6" t="s">
        <v>261</v>
      </c>
      <c r="H32" s="3">
        <v>2.19</v>
      </c>
      <c r="I32" s="3">
        <v>65.502899999999997</v>
      </c>
      <c r="J32" s="3">
        <v>6.0000000000000053E-2</v>
      </c>
      <c r="K32" s="3">
        <v>1.7946000000000026</v>
      </c>
      <c r="L32" s="3">
        <v>1.0000000000000009E-2</v>
      </c>
      <c r="M32" s="3">
        <v>0.29910000000000281</v>
      </c>
      <c r="N32" s="3">
        <v>3.0000000000000027E-2</v>
      </c>
      <c r="O32" s="3">
        <v>0.89730000000000132</v>
      </c>
      <c r="P32" s="3">
        <v>2.0000000000000018E-2</v>
      </c>
      <c r="Q32" s="3">
        <v>0.59819999999999851</v>
      </c>
      <c r="R32" s="3">
        <v>0.30000000000000004</v>
      </c>
      <c r="S32" s="3">
        <v>8.9730000000000025</v>
      </c>
      <c r="T32" s="3">
        <v>0.1399999999999999</v>
      </c>
      <c r="U32" s="3">
        <v>4.1873999999999931</v>
      </c>
      <c r="V32" s="3">
        <v>5.0000000000000044E-2</v>
      </c>
      <c r="W32" s="3">
        <v>1.8490000000000038</v>
      </c>
      <c r="X32" s="3">
        <v>2.9999999999999971E-2</v>
      </c>
      <c r="Y32" s="3">
        <v>1.1093999999999991</v>
      </c>
      <c r="Z32" s="3">
        <v>4.0000000000000036E-2</v>
      </c>
      <c r="AA32" s="3">
        <v>1.4792000000000023</v>
      </c>
      <c r="AB32" s="3">
        <v>-0.39</v>
      </c>
      <c r="AC32" s="3">
        <v>-14.4222</v>
      </c>
      <c r="AD32" s="3">
        <v>-0.42</v>
      </c>
      <c r="AE32" s="3">
        <v>-15.531599999999997</v>
      </c>
      <c r="AF32" s="3">
        <v>-0.42</v>
      </c>
      <c r="AG32" s="3">
        <v>-15.531599999999997</v>
      </c>
      <c r="AH32" s="3">
        <v>-0.38</v>
      </c>
      <c r="AI32" s="3">
        <v>-14.052399999999999</v>
      </c>
      <c r="AJ32" s="3">
        <v>-1.82</v>
      </c>
      <c r="AK32" s="3">
        <v>-67.303600000000003</v>
      </c>
      <c r="AL32" s="3">
        <v>-1.5300000000000002</v>
      </c>
      <c r="AM32" s="3">
        <v>-56.579399999999993</v>
      </c>
      <c r="AN32" s="3">
        <v>-1.0000000000000231E-2</v>
      </c>
      <c r="AO32" s="3">
        <v>-0.36980000000001212</v>
      </c>
      <c r="AP32" s="3">
        <v>0.73</v>
      </c>
      <c r="AQ32" s="3">
        <v>26.995399999999989</v>
      </c>
      <c r="AR32" s="3">
        <v>0.7</v>
      </c>
      <c r="AS32" s="3">
        <v>25.885999999999996</v>
      </c>
      <c r="AT32" s="3">
        <v>-0.17999999999999994</v>
      </c>
      <c r="AU32" s="3">
        <v>-6.6563999999999979</v>
      </c>
      <c r="AV32" s="3">
        <v>-3.0000000000000027E-2</v>
      </c>
      <c r="AW32" s="3">
        <v>-1.1094000000000008</v>
      </c>
      <c r="AX32" s="3">
        <v>-0.64999999999999991</v>
      </c>
      <c r="AY32" s="3">
        <v>-19.441499999999998</v>
      </c>
      <c r="AZ32" s="3">
        <v>-7.0000000000000062E-2</v>
      </c>
      <c r="BA32" s="3">
        <v>-2.0936999999999983</v>
      </c>
      <c r="BB32" s="3">
        <v>4.0999999999999996</v>
      </c>
      <c r="BC32" s="3">
        <v>122.63099999999999</v>
      </c>
      <c r="BD32" s="3">
        <v>2.4999999999999893</v>
      </c>
      <c r="BE32" s="3">
        <v>49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-0.02</v>
      </c>
      <c r="BQ32" s="3">
        <v>0</v>
      </c>
      <c r="BR32" s="3">
        <v>0.04</v>
      </c>
      <c r="BS32" s="3">
        <v>0.03</v>
      </c>
      <c r="BT32" s="3">
        <v>-1.0000000000000002E-2</v>
      </c>
      <c r="BU32" s="3">
        <v>-0.01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2.27</v>
      </c>
      <c r="EC32" s="3">
        <v>-0.02</v>
      </c>
      <c r="ED32" s="3">
        <v>-1.0000000000000002E-2</v>
      </c>
      <c r="EE32" s="3">
        <v>-1.0000000000000002E-2</v>
      </c>
      <c r="EF32" s="3">
        <v>-1.0000000000000002E-2</v>
      </c>
      <c r="EG32" s="3">
        <v>-1.0000000000000002E-2</v>
      </c>
      <c r="EH32" s="3">
        <v>0</v>
      </c>
      <c r="EI32" s="3">
        <v>0</v>
      </c>
      <c r="EJ32" s="3">
        <v>-0.01</v>
      </c>
      <c r="EK32" s="3">
        <v>-0.01</v>
      </c>
      <c r="EL32" s="3">
        <v>-0.02</v>
      </c>
      <c r="EM32" s="3">
        <v>-0.01</v>
      </c>
      <c r="EN32" s="3">
        <v>-0.02</v>
      </c>
      <c r="EO32" s="3">
        <v>-0.01</v>
      </c>
      <c r="EP32" s="3">
        <v>-0.01</v>
      </c>
      <c r="EQ32" s="3">
        <v>-0.01</v>
      </c>
      <c r="ER32" s="3">
        <v>9.9999999999999985E-3</v>
      </c>
      <c r="ES32" s="3">
        <v>-1.0000000000000002E-2</v>
      </c>
      <c r="ET32" s="3">
        <v>-1.0000000000000002E-2</v>
      </c>
      <c r="EU32" s="3">
        <v>-1.0000000000000002E-2</v>
      </c>
      <c r="EV32" s="3">
        <v>-0.02</v>
      </c>
      <c r="EW32" s="3">
        <v>-1.0000000000000002E-2</v>
      </c>
      <c r="EX32" s="3">
        <v>-1.0000000000000002E-2</v>
      </c>
      <c r="EY32" s="3">
        <v>4.17</v>
      </c>
      <c r="EZ32" s="3">
        <v>6.219999999999998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5.1099999999999994</v>
      </c>
      <c r="FZ32" s="3">
        <v>-7.999999999999996E-2</v>
      </c>
      <c r="GA32" s="3">
        <v>8.0000000000000071E-2</v>
      </c>
      <c r="GB32" s="3">
        <v>2.0000000000000018E-2</v>
      </c>
      <c r="GC32" s="3">
        <v>4.0000000000000036E-2</v>
      </c>
      <c r="GD32" s="3">
        <v>3.0000000000000027E-2</v>
      </c>
      <c r="GE32" s="3">
        <v>0.31000000000000005</v>
      </c>
      <c r="GF32" s="3">
        <v>0.1399999999999999</v>
      </c>
      <c r="GG32" s="3">
        <v>5.0000000000000044E-2</v>
      </c>
      <c r="GH32" s="3">
        <v>4.0000000000000036E-2</v>
      </c>
      <c r="GI32" s="3">
        <v>5.0000000000000044E-2</v>
      </c>
      <c r="GJ32" s="3">
        <v>3.999999999999998E-2</v>
      </c>
      <c r="GK32" s="3">
        <v>-2.0000000000000018E-2</v>
      </c>
      <c r="GL32" s="3">
        <v>7.0000000000000007E-2</v>
      </c>
      <c r="GM32" s="3">
        <v>1.9999999999999962E-2</v>
      </c>
      <c r="GN32" s="3">
        <v>0.16999999999999971</v>
      </c>
      <c r="GO32" s="3">
        <v>-2.0000000000000018E-2</v>
      </c>
      <c r="GP32" s="3">
        <v>-2.0000000000000018E-2</v>
      </c>
      <c r="GQ32" s="3">
        <v>0.74000000000000021</v>
      </c>
      <c r="GR32" s="3">
        <v>0.71</v>
      </c>
      <c r="GS32" s="3">
        <v>-0.16999999999999993</v>
      </c>
      <c r="GT32" s="3">
        <v>-1.0000000000000009E-2</v>
      </c>
      <c r="GU32" s="3">
        <v>-0.6399999999999999</v>
      </c>
      <c r="GV32" s="3">
        <v>-5.9999999999999831E-2</v>
      </c>
      <c r="GW32" s="3">
        <v>-6.9999999999999951E-2</v>
      </c>
      <c r="GX32" s="3">
        <v>1.4200000000000017</v>
      </c>
      <c r="GY32" t="s">
        <v>265</v>
      </c>
      <c r="GZ32" t="s">
        <v>265</v>
      </c>
      <c r="HA32" t="s">
        <v>265</v>
      </c>
      <c r="HB32" t="s">
        <v>265</v>
      </c>
      <c r="HC32" t="s">
        <v>265</v>
      </c>
      <c r="HD32" t="s">
        <v>265</v>
      </c>
      <c r="HE32" t="s">
        <v>265</v>
      </c>
      <c r="HF32" t="s">
        <v>265</v>
      </c>
      <c r="HG32" t="s">
        <v>265</v>
      </c>
      <c r="HH32" t="s">
        <v>265</v>
      </c>
      <c r="HI32" t="s">
        <v>265</v>
      </c>
      <c r="HJ32" t="s">
        <v>265</v>
      </c>
      <c r="HK32" t="s">
        <v>265</v>
      </c>
      <c r="HL32" t="s">
        <v>265</v>
      </c>
      <c r="HM32" t="s">
        <v>265</v>
      </c>
      <c r="HN32" t="s">
        <v>265</v>
      </c>
      <c r="HO32" t="s">
        <v>265</v>
      </c>
      <c r="HP32" t="s">
        <v>265</v>
      </c>
      <c r="HQ32" t="s">
        <v>265</v>
      </c>
      <c r="HR32" t="s">
        <v>265</v>
      </c>
      <c r="HS32" t="s">
        <v>265</v>
      </c>
      <c r="HT32" t="s">
        <v>265</v>
      </c>
      <c r="HU32" t="s">
        <v>265</v>
      </c>
      <c r="HV32" t="s">
        <v>265</v>
      </c>
    </row>
    <row r="33" spans="2:230" x14ac:dyDescent="0.55000000000000004">
      <c r="B33" s="12" t="s">
        <v>292</v>
      </c>
      <c r="C33" s="6" t="str">
        <f t="shared" si="8"/>
        <v>月曜日</v>
      </c>
      <c r="D33" s="6"/>
      <c r="E33" s="6" t="str">
        <f t="shared" si="9"/>
        <v/>
      </c>
      <c r="F33" s="6" t="s">
        <v>197</v>
      </c>
      <c r="G33" s="6" t="s">
        <v>261</v>
      </c>
      <c r="H33" s="3">
        <v>2.0700000000000003</v>
      </c>
      <c r="I33" s="3">
        <v>61.913700000000006</v>
      </c>
      <c r="J33" s="3">
        <v>-0.22999999999999998</v>
      </c>
      <c r="K33" s="3">
        <v>-6.8792999999999971</v>
      </c>
      <c r="L33" s="3">
        <v>-0.23000000000000009</v>
      </c>
      <c r="M33" s="3">
        <v>-6.8793000000000042</v>
      </c>
      <c r="N33" s="3">
        <v>0</v>
      </c>
      <c r="O33" s="3">
        <v>0</v>
      </c>
      <c r="P33" s="3">
        <v>-0.43999999999999995</v>
      </c>
      <c r="Q33" s="3">
        <v>-13.160399999999999</v>
      </c>
      <c r="R33" s="3">
        <v>-0.13</v>
      </c>
      <c r="S33" s="3">
        <v>-3.888300000000001</v>
      </c>
      <c r="T33" s="3">
        <v>8.9999999999999858E-2</v>
      </c>
      <c r="U33" s="3">
        <v>2.6918999999999933</v>
      </c>
      <c r="V33" s="3">
        <v>-0.81</v>
      </c>
      <c r="W33" s="3">
        <v>-29.953799999999998</v>
      </c>
      <c r="X33" s="3">
        <v>-0.63</v>
      </c>
      <c r="Y33" s="3">
        <v>-23.297399999999996</v>
      </c>
      <c r="Z33" s="3">
        <v>-0.28999999999999998</v>
      </c>
      <c r="AA33" s="3">
        <v>-10.724199999999998</v>
      </c>
      <c r="AB33" s="3">
        <v>-0.37</v>
      </c>
      <c r="AC33" s="3">
        <v>-13.682599999999999</v>
      </c>
      <c r="AD33" s="3">
        <v>-0.34</v>
      </c>
      <c r="AE33" s="3">
        <v>-12.5732</v>
      </c>
      <c r="AF33" s="3">
        <v>-1.17</v>
      </c>
      <c r="AG33" s="3">
        <v>-43.266599999999997</v>
      </c>
      <c r="AH33" s="3">
        <v>-0.34</v>
      </c>
      <c r="AI33" s="3">
        <v>-12.5732</v>
      </c>
      <c r="AJ33" s="3">
        <v>-1.75</v>
      </c>
      <c r="AK33" s="3">
        <v>-64.714999999999989</v>
      </c>
      <c r="AL33" s="3">
        <v>-2.5499999999999998</v>
      </c>
      <c r="AM33" s="3">
        <v>-94.298999999999992</v>
      </c>
      <c r="AN33" s="3">
        <v>-0.4700000000000002</v>
      </c>
      <c r="AO33" s="3">
        <v>-17.380600000000015</v>
      </c>
      <c r="AP33" s="3">
        <v>0.34000000000000008</v>
      </c>
      <c r="AQ33" s="3">
        <v>12.5732</v>
      </c>
      <c r="AR33" s="3">
        <v>-4.0000000000000036E-2</v>
      </c>
      <c r="AS33" s="3">
        <v>-1.4791999999999987</v>
      </c>
      <c r="AT33" s="3">
        <v>-0.21999999999999997</v>
      </c>
      <c r="AU33" s="3">
        <v>-8.1355999999999966</v>
      </c>
      <c r="AV33" s="3">
        <v>-0.39999999999999991</v>
      </c>
      <c r="AW33" s="3">
        <v>-14.791999999999994</v>
      </c>
      <c r="AX33" s="3">
        <v>0.22999999999999998</v>
      </c>
      <c r="AY33" s="3">
        <v>6.8793000000000006</v>
      </c>
      <c r="AZ33" s="3">
        <v>0.42999999999999994</v>
      </c>
      <c r="BA33" s="3">
        <v>12.861299999999996</v>
      </c>
      <c r="BB33" s="3">
        <v>4.09</v>
      </c>
      <c r="BC33" s="3">
        <v>122.33189999999999</v>
      </c>
      <c r="BD33" s="3">
        <v>-3.1599999999999966</v>
      </c>
      <c r="BE33" s="3">
        <v>-158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0.46</v>
      </c>
      <c r="BQ33" s="3">
        <v>0.24</v>
      </c>
      <c r="BR33" s="3">
        <v>0.24000000000000002</v>
      </c>
      <c r="BS33" s="3">
        <v>0.24</v>
      </c>
      <c r="BT33" s="3">
        <v>0.22999999999999998</v>
      </c>
      <c r="BU33" s="3">
        <v>0.05</v>
      </c>
      <c r="BV33" s="3">
        <v>-0.01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0.08</v>
      </c>
      <c r="CU33" s="3">
        <v>1.28</v>
      </c>
      <c r="CV33" s="3">
        <v>0.27</v>
      </c>
      <c r="CW33" s="3">
        <v>4.32</v>
      </c>
      <c r="CX33" s="3">
        <v>0.21</v>
      </c>
      <c r="CY33" s="3">
        <v>3.36</v>
      </c>
      <c r="CZ33" s="3">
        <v>0.04</v>
      </c>
      <c r="DA33" s="3">
        <v>0.64</v>
      </c>
      <c r="DB33" s="3">
        <v>0.04</v>
      </c>
      <c r="DC33" s="3">
        <v>0.64</v>
      </c>
      <c r="DD33" s="3">
        <v>0.04</v>
      </c>
      <c r="DE33" s="3">
        <v>0.64</v>
      </c>
      <c r="DF33" s="3">
        <v>0.01</v>
      </c>
      <c r="DG33" s="3">
        <v>0.16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0.69000000000000017</v>
      </c>
      <c r="EA33" s="3">
        <v>11</v>
      </c>
      <c r="EB33" s="3">
        <v>2.1900000000000004</v>
      </c>
      <c r="EC33" s="3">
        <v>-1.0000000000000002E-2</v>
      </c>
      <c r="ED33" s="3">
        <v>-1.0000000000000002E-2</v>
      </c>
      <c r="EE33" s="3">
        <v>-1.0000000000000002E-2</v>
      </c>
      <c r="EF33" s="3">
        <v>-1.0000000000000002E-2</v>
      </c>
      <c r="EG33" s="3">
        <v>-1.0000000000000002E-2</v>
      </c>
      <c r="EH33" s="3">
        <v>-1.0000000000000002E-2</v>
      </c>
      <c r="EI33" s="3">
        <v>-0.04</v>
      </c>
      <c r="EJ33" s="3">
        <v>-0.02</v>
      </c>
      <c r="EK33" s="3">
        <v>0.01</v>
      </c>
      <c r="EL33" s="3">
        <v>-0.01</v>
      </c>
      <c r="EM33" s="3">
        <v>-0.01</v>
      </c>
      <c r="EN33" s="3">
        <v>-0.02</v>
      </c>
      <c r="EO33" s="3">
        <v>0</v>
      </c>
      <c r="EP33" s="3">
        <v>-0.02</v>
      </c>
      <c r="EQ33" s="3">
        <v>-0.01</v>
      </c>
      <c r="ER33" s="3">
        <v>-0.01</v>
      </c>
      <c r="ES33" s="3">
        <v>0</v>
      </c>
      <c r="ET33" s="3">
        <v>0</v>
      </c>
      <c r="EU33" s="3">
        <v>1.0000000000000002E-2</v>
      </c>
      <c r="EV33" s="3">
        <v>0</v>
      </c>
      <c r="EW33" s="3">
        <v>0</v>
      </c>
      <c r="EX33" s="3">
        <v>-1.0000000000000002E-2</v>
      </c>
      <c r="EY33" s="3">
        <v>4.18</v>
      </c>
      <c r="EZ33" s="3">
        <v>6.1799999999999988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5.34</v>
      </c>
      <c r="FZ33" s="3">
        <v>-0.12000000000000011</v>
      </c>
      <c r="GA33" s="3">
        <v>-0.21999999999999997</v>
      </c>
      <c r="GB33" s="3">
        <v>-0.22000000000000008</v>
      </c>
      <c r="GC33" s="3">
        <v>1.0000000000000009E-2</v>
      </c>
      <c r="GD33" s="3">
        <v>-0.42999999999999994</v>
      </c>
      <c r="GE33" s="3">
        <v>-0.12</v>
      </c>
      <c r="GF33" s="3">
        <v>0.10000000000000009</v>
      </c>
      <c r="GG33" s="3">
        <v>-0.68</v>
      </c>
      <c r="GH33" s="3">
        <v>-0.47</v>
      </c>
      <c r="GI33" s="3">
        <v>-7.999999999999996E-2</v>
      </c>
      <c r="GJ33" s="3">
        <v>-1.0000000000000009E-2</v>
      </c>
      <c r="GK33" s="3">
        <v>-9.9999999999999534E-3</v>
      </c>
      <c r="GL33" s="3">
        <v>-0.86</v>
      </c>
      <c r="GM33" s="3">
        <v>2.0000000000000018E-2</v>
      </c>
      <c r="GN33" s="3">
        <v>0.54999999999999982</v>
      </c>
      <c r="GO33" s="3">
        <v>-9.9999999999999645E-2</v>
      </c>
      <c r="GP33" s="3">
        <v>-4.9999999999999822E-2</v>
      </c>
      <c r="GQ33" s="3">
        <v>0.34000000000000008</v>
      </c>
      <c r="GR33" s="3">
        <v>-4.0000000000000036E-2</v>
      </c>
      <c r="GS33" s="3">
        <v>-0.22999999999999998</v>
      </c>
      <c r="GT33" s="3">
        <v>-0.39999999999999991</v>
      </c>
      <c r="GU33" s="3">
        <v>0.22999999999999998</v>
      </c>
      <c r="GV33" s="3">
        <v>0.43999999999999995</v>
      </c>
      <c r="GW33" s="3">
        <v>-8.9999999999999969E-2</v>
      </c>
      <c r="GX33" s="3">
        <v>-2.4399999999999977</v>
      </c>
      <c r="GY33" t="s">
        <v>265</v>
      </c>
      <c r="GZ33" t="s">
        <v>265</v>
      </c>
      <c r="HA33" t="s">
        <v>265</v>
      </c>
      <c r="HB33" t="s">
        <v>265</v>
      </c>
      <c r="HC33" t="s">
        <v>265</v>
      </c>
      <c r="HD33" t="s">
        <v>265</v>
      </c>
      <c r="HE33" t="s">
        <v>265</v>
      </c>
      <c r="HF33" t="s">
        <v>265</v>
      </c>
      <c r="HG33" t="s">
        <v>265</v>
      </c>
      <c r="HH33" t="s">
        <v>265</v>
      </c>
      <c r="HI33" t="s">
        <v>265</v>
      </c>
      <c r="HJ33" t="s">
        <v>265</v>
      </c>
      <c r="HK33" t="s">
        <v>265</v>
      </c>
      <c r="HL33" t="s">
        <v>265</v>
      </c>
      <c r="HM33" t="s">
        <v>265</v>
      </c>
      <c r="HN33" t="s">
        <v>265</v>
      </c>
      <c r="HO33" t="s">
        <v>265</v>
      </c>
      <c r="HP33" t="s">
        <v>265</v>
      </c>
      <c r="HQ33" t="s">
        <v>265</v>
      </c>
      <c r="HR33" t="s">
        <v>265</v>
      </c>
      <c r="HS33" t="s">
        <v>265</v>
      </c>
      <c r="HT33" t="s">
        <v>265</v>
      </c>
      <c r="HU33" t="s">
        <v>265</v>
      </c>
      <c r="HV33" t="s">
        <v>265</v>
      </c>
    </row>
    <row r="34" spans="2:230" x14ac:dyDescent="0.55000000000000004">
      <c r="B34" s="12" t="s">
        <v>293</v>
      </c>
      <c r="C34" s="6" t="str">
        <f t="shared" si="8"/>
        <v>火曜日</v>
      </c>
      <c r="D34" s="6"/>
      <c r="E34" s="6" t="str">
        <f t="shared" si="9"/>
        <v/>
      </c>
      <c r="F34" s="6" t="s">
        <v>197</v>
      </c>
      <c r="G34" s="6" t="s">
        <v>261</v>
      </c>
      <c r="H34" s="3">
        <v>2.42</v>
      </c>
      <c r="I34" s="3">
        <v>72.382199999999997</v>
      </c>
      <c r="J34" s="3">
        <v>4.0000000000000036E-2</v>
      </c>
      <c r="K34" s="3">
        <v>1.1964000000000006</v>
      </c>
      <c r="L34" s="3">
        <v>2.0000000000000018E-2</v>
      </c>
      <c r="M34" s="3">
        <v>0.59820000000000206</v>
      </c>
      <c r="N34" s="3">
        <v>5.9999999999999942E-2</v>
      </c>
      <c r="O34" s="3">
        <v>1.7945999999999991</v>
      </c>
      <c r="P34" s="3">
        <v>-0.10999999999999988</v>
      </c>
      <c r="Q34" s="3">
        <v>-3.2900999999999954</v>
      </c>
      <c r="R34" s="3">
        <v>-8.9999999999999858E-2</v>
      </c>
      <c r="S34" s="3">
        <v>-2.6918999999999897</v>
      </c>
      <c r="T34" s="3">
        <v>-1.3499999999999999</v>
      </c>
      <c r="U34" s="3">
        <v>-40.378499999999988</v>
      </c>
      <c r="V34" s="3">
        <v>-0.23000000000000009</v>
      </c>
      <c r="W34" s="3">
        <v>-8.5054000000000052</v>
      </c>
      <c r="X34" s="3">
        <v>-0.32999999999999996</v>
      </c>
      <c r="Y34" s="3">
        <v>-12.203399999999998</v>
      </c>
      <c r="Z34" s="3">
        <v>-0.17</v>
      </c>
      <c r="AA34" s="3">
        <v>-6.2866</v>
      </c>
      <c r="AB34" s="3">
        <v>-0.01</v>
      </c>
      <c r="AC34" s="3">
        <v>-0.36979999999999996</v>
      </c>
      <c r="AD34" s="3">
        <v>-0.01</v>
      </c>
      <c r="AE34" s="3">
        <v>-0.36979999999999996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2.5499999999999998</v>
      </c>
      <c r="AQ34" s="3">
        <v>94.298999999999992</v>
      </c>
      <c r="AR34" s="3">
        <v>1.96</v>
      </c>
      <c r="AS34" s="3">
        <v>72.480799999999988</v>
      </c>
      <c r="AT34" s="3">
        <v>1.08</v>
      </c>
      <c r="AU34" s="3">
        <v>39.938399999999994</v>
      </c>
      <c r="AV34" s="3">
        <v>-9.000000000000008E-2</v>
      </c>
      <c r="AW34" s="3">
        <v>-3.3282000000000025</v>
      </c>
      <c r="AX34" s="3">
        <v>-0.49</v>
      </c>
      <c r="AY34" s="3">
        <v>-14.655899999999995</v>
      </c>
      <c r="AZ34" s="3">
        <v>0.18999999999999995</v>
      </c>
      <c r="BA34" s="3">
        <v>5.6828999999999965</v>
      </c>
      <c r="BB34" s="3">
        <v>4.6499999999999995</v>
      </c>
      <c r="BC34" s="3">
        <v>139.08149999999998</v>
      </c>
      <c r="BD34" s="3">
        <v>10.089999999999998</v>
      </c>
      <c r="BE34" s="3">
        <v>336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1.48</v>
      </c>
      <c r="BO34" s="3">
        <v>2.0700000000000003</v>
      </c>
      <c r="BP34" s="3">
        <v>1.7399999999999998</v>
      </c>
      <c r="BQ34" s="3">
        <v>-1</v>
      </c>
      <c r="BR34" s="3">
        <v>-3.64</v>
      </c>
      <c r="BS34" s="3">
        <v>1.2200000000000006</v>
      </c>
      <c r="BT34" s="3">
        <v>-3.2199999999999998</v>
      </c>
      <c r="BU34" s="3">
        <v>-3.88</v>
      </c>
      <c r="BV34" s="3">
        <v>-1.41</v>
      </c>
      <c r="BW34" s="3">
        <v>-0.04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1.3</v>
      </c>
      <c r="CU34" s="3">
        <v>20.8</v>
      </c>
      <c r="CV34" s="3">
        <v>2.02</v>
      </c>
      <c r="CW34" s="3">
        <v>32.32</v>
      </c>
      <c r="CX34" s="3">
        <v>2.2600000000000002</v>
      </c>
      <c r="CY34" s="3">
        <v>36.160000000000004</v>
      </c>
      <c r="CZ34" s="3">
        <v>1.18</v>
      </c>
      <c r="DA34" s="3">
        <v>18.88</v>
      </c>
      <c r="DB34" s="3">
        <v>-0.19000000000000039</v>
      </c>
      <c r="DC34" s="3">
        <v>-3.0400000000000063</v>
      </c>
      <c r="DD34" s="3">
        <v>1.9299999999999997</v>
      </c>
      <c r="DE34" s="3">
        <v>30.879999999999995</v>
      </c>
      <c r="DF34" s="3">
        <v>-2.9399999999999995</v>
      </c>
      <c r="DG34" s="3">
        <v>-47.039999999999992</v>
      </c>
      <c r="DH34" s="3">
        <v>-3.17</v>
      </c>
      <c r="DI34" s="3">
        <v>-50.72</v>
      </c>
      <c r="DJ34" s="3">
        <v>-0.08</v>
      </c>
      <c r="DK34" s="3">
        <v>-1.28</v>
      </c>
      <c r="DL34" s="3">
        <v>0</v>
      </c>
      <c r="DM34" s="3">
        <v>0</v>
      </c>
      <c r="DN34" s="3">
        <v>-0.01</v>
      </c>
      <c r="DO34" s="3">
        <v>-0.16</v>
      </c>
      <c r="DP34" s="3">
        <v>-0.01</v>
      </c>
      <c r="DQ34" s="3">
        <v>-0.16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2.2900000000000027</v>
      </c>
      <c r="EA34" s="3">
        <v>36</v>
      </c>
      <c r="EB34" s="3">
        <v>2.39</v>
      </c>
      <c r="EC34" s="3">
        <v>-1.0000000000000002E-2</v>
      </c>
      <c r="ED34" s="3">
        <v>-1.0000000000000002E-2</v>
      </c>
      <c r="EE34" s="3">
        <v>-1.0000000000000002E-2</v>
      </c>
      <c r="EF34" s="3">
        <v>-1.0000000000000002E-2</v>
      </c>
      <c r="EG34" s="3">
        <v>-1.0000000000000002E-2</v>
      </c>
      <c r="EH34" s="3">
        <v>0</v>
      </c>
      <c r="EI34" s="3">
        <v>-0.02</v>
      </c>
      <c r="EJ34" s="3">
        <v>-0.01</v>
      </c>
      <c r="EK34" s="3">
        <v>-0.08</v>
      </c>
      <c r="EL34" s="3">
        <v>-0.53</v>
      </c>
      <c r="EM34" s="3">
        <v>-2.2200000000000002</v>
      </c>
      <c r="EN34" s="3">
        <v>-3.45</v>
      </c>
      <c r="EO34" s="3">
        <v>-0.27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-1.0000000000000002E-2</v>
      </c>
      <c r="EW34" s="3">
        <v>-1.0000000000000002E-2</v>
      </c>
      <c r="EX34" s="3">
        <v>-1.0000000000000002E-2</v>
      </c>
      <c r="EY34" s="3">
        <v>4.3899999999999997</v>
      </c>
      <c r="EZ34" s="3">
        <v>0.17999999999999794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1.4900000000000002</v>
      </c>
      <c r="FR34" s="3">
        <v>-2.14</v>
      </c>
      <c r="FS34" s="3">
        <v>-1.37</v>
      </c>
      <c r="FT34" s="3">
        <v>-0.66</v>
      </c>
      <c r="FU34" s="3">
        <v>0</v>
      </c>
      <c r="FV34" s="3">
        <v>0</v>
      </c>
      <c r="FW34" s="3">
        <v>0</v>
      </c>
      <c r="FX34" s="3">
        <v>0</v>
      </c>
      <c r="FY34" s="3">
        <v>-1.0500000000000007</v>
      </c>
      <c r="FZ34" s="3">
        <v>3.0000000000000027E-2</v>
      </c>
      <c r="GA34" s="3">
        <v>5.0000000000000044E-2</v>
      </c>
      <c r="GB34" s="3">
        <v>3.0000000000000027E-2</v>
      </c>
      <c r="GC34" s="3">
        <v>6.9999999999999951E-2</v>
      </c>
      <c r="GD34" s="3">
        <v>-9.9999999999999867E-2</v>
      </c>
      <c r="GE34" s="3">
        <v>-7.9999999999999849E-2</v>
      </c>
      <c r="GF34" s="3">
        <v>-1.35</v>
      </c>
      <c r="GG34" s="3">
        <v>-0.14000000000000001</v>
      </c>
      <c r="GH34" s="3">
        <v>-0.13999999999999996</v>
      </c>
      <c r="GI34" s="3">
        <v>-2.9999999999999971E-2</v>
      </c>
      <c r="GJ34" s="3">
        <v>0</v>
      </c>
      <c r="GK34" s="3">
        <v>2.9999999999999971E-2</v>
      </c>
      <c r="GL34" s="3">
        <v>0</v>
      </c>
      <c r="GM34" s="3">
        <v>-0.42999999999999994</v>
      </c>
      <c r="GN34" s="3">
        <v>-0.28000000000000003</v>
      </c>
      <c r="GO34" s="3">
        <v>0.89999999999999991</v>
      </c>
      <c r="GP34" s="3">
        <v>0.16000000000000014</v>
      </c>
      <c r="GQ34" s="3">
        <v>0.36999999999999966</v>
      </c>
      <c r="GR34" s="3">
        <v>0.56999999999999984</v>
      </c>
      <c r="GS34" s="3">
        <v>0.39999999999999991</v>
      </c>
      <c r="GT34" s="3">
        <v>-7.999999999999996E-2</v>
      </c>
      <c r="GU34" s="3">
        <v>-0.48</v>
      </c>
      <c r="GV34" s="3">
        <v>0.20000000000000007</v>
      </c>
      <c r="GW34" s="3">
        <v>0.26000000000000012</v>
      </c>
      <c r="GX34" s="3">
        <v>-3.9999999999999147E-2</v>
      </c>
      <c r="GY34" t="s">
        <v>265</v>
      </c>
      <c r="GZ34" t="s">
        <v>265</v>
      </c>
      <c r="HA34" t="s">
        <v>265</v>
      </c>
      <c r="HB34" t="s">
        <v>265</v>
      </c>
      <c r="HC34" t="s">
        <v>265</v>
      </c>
      <c r="HD34" t="s">
        <v>265</v>
      </c>
      <c r="HE34" t="s">
        <v>265</v>
      </c>
      <c r="HF34" t="s">
        <v>265</v>
      </c>
      <c r="HG34" t="s">
        <v>265</v>
      </c>
      <c r="HH34" t="s">
        <v>265</v>
      </c>
      <c r="HI34" t="s">
        <v>265</v>
      </c>
      <c r="HJ34" t="s">
        <v>265</v>
      </c>
      <c r="HK34" t="s">
        <v>265</v>
      </c>
      <c r="HL34" t="s">
        <v>265</v>
      </c>
      <c r="HM34" t="s">
        <v>265</v>
      </c>
      <c r="HN34" t="s">
        <v>265</v>
      </c>
      <c r="HO34" t="s">
        <v>265</v>
      </c>
      <c r="HP34" t="s">
        <v>265</v>
      </c>
      <c r="HQ34" t="s">
        <v>265</v>
      </c>
      <c r="HR34" t="s">
        <v>265</v>
      </c>
      <c r="HS34" t="s">
        <v>265</v>
      </c>
      <c r="HT34" t="s">
        <v>265</v>
      </c>
      <c r="HU34" t="s">
        <v>265</v>
      </c>
      <c r="HV34" t="s">
        <v>265</v>
      </c>
    </row>
    <row r="35" spans="2:230" x14ac:dyDescent="0.55000000000000004">
      <c r="B35" s="12" t="s">
        <v>294</v>
      </c>
      <c r="C35" s="6" t="str">
        <f t="shared" si="8"/>
        <v>水曜日</v>
      </c>
      <c r="D35" s="6"/>
      <c r="E35" s="6" t="str">
        <f t="shared" si="9"/>
        <v/>
      </c>
      <c r="F35" s="6" t="s">
        <v>197</v>
      </c>
      <c r="G35" s="6" t="s">
        <v>261</v>
      </c>
      <c r="H35" s="3">
        <v>1.44</v>
      </c>
      <c r="I35" s="3">
        <v>43.070400000000006</v>
      </c>
      <c r="J35" s="3">
        <v>6.9999999999999951E-2</v>
      </c>
      <c r="K35" s="3">
        <v>2.0936999999999983</v>
      </c>
      <c r="L35" s="3">
        <v>-3.0000000000000027E-2</v>
      </c>
      <c r="M35" s="3">
        <v>-0.89730000000000132</v>
      </c>
      <c r="N35" s="3">
        <v>-0.22999999999999998</v>
      </c>
      <c r="O35" s="3">
        <v>-6.8793000000000006</v>
      </c>
      <c r="P35" s="3">
        <v>-0.25</v>
      </c>
      <c r="Q35" s="3">
        <v>-7.4774999999999991</v>
      </c>
      <c r="R35" s="3">
        <v>-0.26999999999999991</v>
      </c>
      <c r="S35" s="3">
        <v>-8.0756999999999977</v>
      </c>
      <c r="T35" s="3">
        <v>-7.999999999999996E-2</v>
      </c>
      <c r="U35" s="3">
        <v>-2.3927999999999976</v>
      </c>
      <c r="V35" s="3">
        <v>0.65</v>
      </c>
      <c r="W35" s="3">
        <v>24.036999999999999</v>
      </c>
      <c r="X35" s="3">
        <v>0.51</v>
      </c>
      <c r="Y35" s="3">
        <v>18.8598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0.01</v>
      </c>
      <c r="AO35" s="3">
        <v>0.36979999999999996</v>
      </c>
      <c r="AP35" s="3">
        <v>2.5299999999999998</v>
      </c>
      <c r="AQ35" s="3">
        <v>93.559399999999982</v>
      </c>
      <c r="AR35" s="3">
        <v>0.95</v>
      </c>
      <c r="AS35" s="3">
        <v>35.131</v>
      </c>
      <c r="AT35" s="3">
        <v>-7.0000000000000062E-2</v>
      </c>
      <c r="AU35" s="3">
        <v>-2.5886000000000031</v>
      </c>
      <c r="AV35" s="3">
        <v>-0.11999999999999988</v>
      </c>
      <c r="AW35" s="3">
        <v>-4.4375999999999962</v>
      </c>
      <c r="AX35" s="3">
        <v>-0.20999999999999996</v>
      </c>
      <c r="AY35" s="3">
        <v>-6.2810999999999986</v>
      </c>
      <c r="AZ35" s="3">
        <v>0.28000000000000003</v>
      </c>
      <c r="BA35" s="3">
        <v>8.3748000000000005</v>
      </c>
      <c r="BB35" s="3">
        <v>4.3899999999999997</v>
      </c>
      <c r="BC35" s="3">
        <v>131.3049</v>
      </c>
      <c r="BD35" s="3">
        <v>9.57</v>
      </c>
      <c r="BE35" s="3">
        <v>318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-0.17</v>
      </c>
      <c r="BM35" s="3">
        <v>-0.92999999999999994</v>
      </c>
      <c r="BN35" s="3">
        <v>-3.1</v>
      </c>
      <c r="BO35" s="3">
        <v>-3.1700000000000004</v>
      </c>
      <c r="BP35" s="3">
        <v>-3.7899999999999996</v>
      </c>
      <c r="BQ35" s="3">
        <v>-1.6100000000000003</v>
      </c>
      <c r="BR35" s="3">
        <v>-1.1899999999999995</v>
      </c>
      <c r="BS35" s="3">
        <v>-1.9100000000000001</v>
      </c>
      <c r="BT35" s="3">
        <v>-1.76</v>
      </c>
      <c r="BU35" s="3">
        <v>-1.54</v>
      </c>
      <c r="BV35" s="3">
        <v>-0.64</v>
      </c>
      <c r="BW35" s="3">
        <v>-0.03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-0.60000000000000009</v>
      </c>
      <c r="CU35" s="3">
        <v>-9.6000000000000014</v>
      </c>
      <c r="CV35" s="3">
        <v>0.79</v>
      </c>
      <c r="CW35" s="3">
        <v>12.64</v>
      </c>
      <c r="CX35" s="3">
        <v>-3.49</v>
      </c>
      <c r="CY35" s="3">
        <v>-55.84</v>
      </c>
      <c r="CZ35" s="3">
        <v>-1.9200000000000008</v>
      </c>
      <c r="DA35" s="3">
        <v>-30.720000000000013</v>
      </c>
      <c r="DB35" s="3">
        <v>-1.4700000000000006</v>
      </c>
      <c r="DC35" s="3">
        <v>-23.52000000000001</v>
      </c>
      <c r="DD35" s="3">
        <v>-2.1599999999999997</v>
      </c>
      <c r="DE35" s="3">
        <v>-34.559999999999995</v>
      </c>
      <c r="DF35" s="3">
        <v>-1.33</v>
      </c>
      <c r="DG35" s="3">
        <v>-21.28</v>
      </c>
      <c r="DH35" s="3">
        <v>-0.19</v>
      </c>
      <c r="DI35" s="3">
        <v>-3.04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-10.369999999999997</v>
      </c>
      <c r="EA35" s="3">
        <v>-166</v>
      </c>
      <c r="EB35" s="3">
        <v>1.3399999999999999</v>
      </c>
      <c r="EC35" s="3">
        <v>-1.0000000000000002E-2</v>
      </c>
      <c r="ED35" s="3">
        <v>-1.0000000000000002E-2</v>
      </c>
      <c r="EE35" s="3">
        <v>-1.0000000000000002E-2</v>
      </c>
      <c r="EF35" s="3">
        <v>-1.0000000000000002E-2</v>
      </c>
      <c r="EG35" s="3">
        <v>-1.0000000000000002E-2</v>
      </c>
      <c r="EH35" s="3">
        <v>0.01</v>
      </c>
      <c r="EI35" s="3">
        <v>-0.25</v>
      </c>
      <c r="EJ35" s="3">
        <v>-1.65</v>
      </c>
      <c r="EK35" s="3">
        <v>-4.21</v>
      </c>
      <c r="EL35" s="3">
        <v>-0.62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</v>
      </c>
      <c r="EV35" s="3">
        <v>-1.0000000000000002E-2</v>
      </c>
      <c r="EW35" s="3">
        <v>-1.0000000000000002E-2</v>
      </c>
      <c r="EX35" s="3">
        <v>-1.0000000000000002E-2</v>
      </c>
      <c r="EY35" s="3">
        <v>4.3599999999999994</v>
      </c>
      <c r="EZ35" s="3">
        <v>-1.0600000000000005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7.0000000000000007E-2</v>
      </c>
      <c r="FP35" s="3">
        <v>1.57</v>
      </c>
      <c r="FQ35" s="3">
        <v>1.3199999999999998</v>
      </c>
      <c r="FR35" s="3">
        <v>-2.37</v>
      </c>
      <c r="FS35" s="3">
        <v>-0.74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-0.13000000000000078</v>
      </c>
      <c r="FZ35" s="3">
        <v>9.9999999999999978E-2</v>
      </c>
      <c r="GA35" s="3">
        <v>7.999999999999996E-2</v>
      </c>
      <c r="GB35" s="3">
        <v>-1.9999999999999907E-2</v>
      </c>
      <c r="GC35" s="3">
        <v>-0.22000000000000008</v>
      </c>
      <c r="GD35" s="3">
        <v>-0.24</v>
      </c>
      <c r="GE35" s="3">
        <v>-0.26000000000000012</v>
      </c>
      <c r="GF35" s="3">
        <v>-0.26000000000000012</v>
      </c>
      <c r="GG35" s="3">
        <v>-3.0000000000000027E-2</v>
      </c>
      <c r="GH35" s="3">
        <v>-0.33000000000000007</v>
      </c>
      <c r="GI35" s="3">
        <v>0.24999999999999994</v>
      </c>
      <c r="GJ35" s="3">
        <v>0.32</v>
      </c>
      <c r="GK35" s="3">
        <v>0.30999999999999994</v>
      </c>
      <c r="GL35" s="3">
        <v>0.27</v>
      </c>
      <c r="GM35" s="3">
        <v>0.26</v>
      </c>
      <c r="GN35" s="3">
        <v>-0.36</v>
      </c>
      <c r="GO35" s="3">
        <v>0.21999999999999975</v>
      </c>
      <c r="GP35" s="3">
        <v>0.69</v>
      </c>
      <c r="GQ35" s="3">
        <v>0.12999999999999989</v>
      </c>
      <c r="GR35" s="3">
        <v>0.17999999999999994</v>
      </c>
      <c r="GS35" s="3">
        <v>-6.9999999999999951E-2</v>
      </c>
      <c r="GT35" s="3">
        <v>-0.10999999999999988</v>
      </c>
      <c r="GU35" s="3">
        <v>-0.19999999999999996</v>
      </c>
      <c r="GV35" s="3">
        <v>0.28999999999999992</v>
      </c>
      <c r="GW35" s="3">
        <v>2.9999999999999916E-2</v>
      </c>
      <c r="GX35" s="3">
        <v>1.0299999999999976</v>
      </c>
      <c r="GY35" t="s">
        <v>265</v>
      </c>
      <c r="GZ35" t="s">
        <v>265</v>
      </c>
      <c r="HA35" t="s">
        <v>265</v>
      </c>
      <c r="HB35" t="s">
        <v>265</v>
      </c>
      <c r="HC35" t="s">
        <v>265</v>
      </c>
      <c r="HD35" t="s">
        <v>265</v>
      </c>
      <c r="HE35" t="s">
        <v>265</v>
      </c>
      <c r="HF35" t="s">
        <v>265</v>
      </c>
      <c r="HG35" t="s">
        <v>265</v>
      </c>
      <c r="HH35" t="s">
        <v>265</v>
      </c>
      <c r="HI35" t="s">
        <v>265</v>
      </c>
      <c r="HJ35" t="s">
        <v>265</v>
      </c>
      <c r="HK35" t="s">
        <v>265</v>
      </c>
      <c r="HL35" t="s">
        <v>265</v>
      </c>
      <c r="HM35" t="s">
        <v>265</v>
      </c>
      <c r="HN35" t="s">
        <v>265</v>
      </c>
      <c r="HO35" t="s">
        <v>265</v>
      </c>
      <c r="HP35" t="s">
        <v>265</v>
      </c>
      <c r="HQ35" t="s">
        <v>265</v>
      </c>
      <c r="HR35" t="s">
        <v>265</v>
      </c>
      <c r="HS35" t="s">
        <v>265</v>
      </c>
      <c r="HT35" t="s">
        <v>265</v>
      </c>
      <c r="HU35" t="s">
        <v>265</v>
      </c>
      <c r="HV35" t="s">
        <v>265</v>
      </c>
    </row>
    <row r="36" spans="2:230" x14ac:dyDescent="0.55000000000000004">
      <c r="B36" s="12" t="s">
        <v>295</v>
      </c>
      <c r="C36" s="6" t="str">
        <f t="shared" si="8"/>
        <v>木曜日</v>
      </c>
      <c r="D36" s="6"/>
      <c r="E36" s="6" t="str">
        <f t="shared" si="9"/>
        <v/>
      </c>
      <c r="F36" s="6"/>
      <c r="G36" s="6"/>
      <c r="H36" s="3">
        <v>0.98</v>
      </c>
      <c r="I36" s="3">
        <v>29.311799999999998</v>
      </c>
      <c r="J36" s="3">
        <v>0.63</v>
      </c>
      <c r="K36" s="3">
        <v>18.843299999999999</v>
      </c>
      <c r="L36" s="3">
        <v>0.6</v>
      </c>
      <c r="M36" s="3">
        <v>17.945999999999998</v>
      </c>
      <c r="N36" s="3">
        <v>0.65</v>
      </c>
      <c r="O36" s="3">
        <v>19.441500000000001</v>
      </c>
      <c r="P36" s="3">
        <v>1.1299999999999999</v>
      </c>
      <c r="Q36" s="3">
        <v>33.798299999999998</v>
      </c>
      <c r="R36" s="3">
        <v>2.21</v>
      </c>
      <c r="S36" s="3">
        <v>66.101100000000002</v>
      </c>
      <c r="T36" s="3">
        <v>1.05</v>
      </c>
      <c r="U36" s="3">
        <v>31.4055</v>
      </c>
      <c r="V36" s="3">
        <v>0.96</v>
      </c>
      <c r="W36" s="3">
        <v>35.500799999999998</v>
      </c>
      <c r="X36" s="3">
        <v>0.73</v>
      </c>
      <c r="Y36" s="3">
        <v>26.995399999999997</v>
      </c>
      <c r="Z36" s="3">
        <v>0.76</v>
      </c>
      <c r="AA36" s="3">
        <v>28.104799999999997</v>
      </c>
      <c r="AB36" s="3">
        <v>1.47</v>
      </c>
      <c r="AC36" s="3">
        <v>54.360599999999991</v>
      </c>
      <c r="AD36" s="3">
        <v>0.88</v>
      </c>
      <c r="AE36" s="3">
        <v>32.542400000000001</v>
      </c>
      <c r="AF36" s="3">
        <v>0.8</v>
      </c>
      <c r="AG36" s="3">
        <v>29.584</v>
      </c>
      <c r="AH36" s="3">
        <v>0.86</v>
      </c>
      <c r="AI36" s="3">
        <v>31.802799999999998</v>
      </c>
      <c r="AJ36" s="3">
        <v>0.66</v>
      </c>
      <c r="AK36" s="3">
        <v>24.4068</v>
      </c>
      <c r="AL36" s="3">
        <v>2.09</v>
      </c>
      <c r="AM36" s="3">
        <v>77.288199999999989</v>
      </c>
      <c r="AN36" s="3">
        <v>2.91</v>
      </c>
      <c r="AO36" s="3">
        <v>107.6118</v>
      </c>
      <c r="AP36" s="3">
        <v>2.4300000000000002</v>
      </c>
      <c r="AQ36" s="3">
        <v>89.861400000000003</v>
      </c>
      <c r="AR36" s="3">
        <v>1.95</v>
      </c>
      <c r="AS36" s="3">
        <v>72.11099999999999</v>
      </c>
      <c r="AT36" s="3">
        <v>1.26</v>
      </c>
      <c r="AU36" s="3">
        <v>46.594799999999999</v>
      </c>
      <c r="AV36" s="3">
        <v>1.08</v>
      </c>
      <c r="AW36" s="3">
        <v>39.938400000000001</v>
      </c>
      <c r="AX36" s="3">
        <v>1.1599999999999999</v>
      </c>
      <c r="AY36" s="3">
        <v>34.695599999999999</v>
      </c>
      <c r="AZ36" s="3">
        <v>1.51</v>
      </c>
      <c r="BA36" s="3">
        <v>45.164099999999998</v>
      </c>
      <c r="BB36" s="3">
        <v>1.59</v>
      </c>
      <c r="BC36" s="3">
        <v>47.556900000000006</v>
      </c>
      <c r="BD36" s="3">
        <v>30.350000000000005</v>
      </c>
      <c r="BE36" s="3"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v>29.56</v>
      </c>
      <c r="GY36" t="s">
        <v>265</v>
      </c>
      <c r="GZ36" t="s">
        <v>265</v>
      </c>
      <c r="HA36" t="s">
        <v>265</v>
      </c>
      <c r="HB36" t="s">
        <v>265</v>
      </c>
      <c r="HC36" t="s">
        <v>265</v>
      </c>
      <c r="HD36" t="s">
        <v>265</v>
      </c>
      <c r="HE36" t="s">
        <v>265</v>
      </c>
      <c r="HF36" t="s">
        <v>265</v>
      </c>
      <c r="HG36" t="s">
        <v>265</v>
      </c>
      <c r="HH36" t="s">
        <v>265</v>
      </c>
      <c r="HI36" t="s">
        <v>265</v>
      </c>
      <c r="HJ36" t="s">
        <v>265</v>
      </c>
      <c r="HK36" t="s">
        <v>265</v>
      </c>
      <c r="HL36" t="s">
        <v>265</v>
      </c>
      <c r="HM36" t="s">
        <v>265</v>
      </c>
      <c r="HN36" t="s">
        <v>265</v>
      </c>
      <c r="HO36" t="s">
        <v>265</v>
      </c>
      <c r="HP36" t="s">
        <v>265</v>
      </c>
      <c r="HQ36" t="s">
        <v>265</v>
      </c>
      <c r="HR36" t="s">
        <v>265</v>
      </c>
      <c r="HS36" t="s">
        <v>265</v>
      </c>
      <c r="HT36" t="s">
        <v>265</v>
      </c>
      <c r="HU36" t="s">
        <v>265</v>
      </c>
      <c r="HV36" t="s">
        <v>265</v>
      </c>
    </row>
    <row r="37" spans="2:230" x14ac:dyDescent="0.55000000000000004">
      <c r="B37" s="12"/>
      <c r="C37" s="6"/>
      <c r="D37" s="6"/>
      <c r="E37" s="6"/>
      <c r="F37" s="6"/>
      <c r="G37" s="6"/>
      <c r="H37" s="3">
        <v>2.9</v>
      </c>
      <c r="I37" s="3">
        <v>86.739000000000004</v>
      </c>
      <c r="J37" s="3">
        <v>0.6</v>
      </c>
      <c r="K37" s="3">
        <v>17.945999999999998</v>
      </c>
      <c r="L37" s="3">
        <v>0.52</v>
      </c>
      <c r="M37" s="3">
        <v>15.5532</v>
      </c>
      <c r="N37" s="3">
        <v>0.73</v>
      </c>
      <c r="O37" s="3">
        <v>21.834299999999999</v>
      </c>
      <c r="P37" s="3">
        <v>0.93</v>
      </c>
      <c r="Q37" s="3">
        <v>27.816300000000002</v>
      </c>
      <c r="R37" s="3">
        <v>0.64</v>
      </c>
      <c r="S37" s="3">
        <v>19.142400000000002</v>
      </c>
      <c r="T37" s="3">
        <v>0.78</v>
      </c>
      <c r="U37" s="3">
        <v>23.329800000000002</v>
      </c>
      <c r="V37" s="3">
        <v>0.69</v>
      </c>
      <c r="W37" s="3">
        <v>25.516199999999994</v>
      </c>
      <c r="X37" s="3">
        <v>0.56000000000000005</v>
      </c>
      <c r="Y37" s="3">
        <v>20.7088</v>
      </c>
      <c r="Z37" s="3">
        <v>0.09</v>
      </c>
      <c r="AA37" s="3">
        <v>3.3281999999999994</v>
      </c>
      <c r="AB37" s="3">
        <v>0</v>
      </c>
      <c r="AC37" s="3">
        <v>0</v>
      </c>
      <c r="AD37" s="3">
        <v>0.01</v>
      </c>
      <c r="AE37" s="3">
        <v>0.36979999999999996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2.5</v>
      </c>
      <c r="AQ37" s="3">
        <v>92.449999999999989</v>
      </c>
      <c r="AR37" s="3">
        <v>2.4300000000000002</v>
      </c>
      <c r="AS37" s="3">
        <v>89.861400000000003</v>
      </c>
      <c r="AT37" s="3">
        <v>2.08</v>
      </c>
      <c r="AU37" s="3">
        <v>76.918399999999991</v>
      </c>
      <c r="AV37" s="3">
        <v>0.72</v>
      </c>
      <c r="AW37" s="3">
        <v>26.625599999999995</v>
      </c>
      <c r="AX37" s="3">
        <v>0.77</v>
      </c>
      <c r="AY37" s="3">
        <v>23.0307</v>
      </c>
      <c r="AZ37" s="3">
        <v>0.89</v>
      </c>
      <c r="BA37" s="3">
        <v>26.619900000000001</v>
      </c>
      <c r="BB37" s="3">
        <v>5.46</v>
      </c>
      <c r="BC37" s="3">
        <v>163.30860000000001</v>
      </c>
      <c r="BD37" s="3">
        <v>23.3</v>
      </c>
      <c r="BE37" s="3">
        <v>761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0.52</v>
      </c>
      <c r="CW37" s="3">
        <v>8.32</v>
      </c>
      <c r="CX37" s="3">
        <v>0.88</v>
      </c>
      <c r="CY37" s="3">
        <v>14.08</v>
      </c>
      <c r="CZ37" s="3">
        <v>0.99</v>
      </c>
      <c r="DA37" s="3">
        <v>15.84</v>
      </c>
      <c r="DB37" s="3">
        <v>2.23</v>
      </c>
      <c r="DC37" s="3">
        <v>35.68</v>
      </c>
      <c r="DD37" s="3">
        <v>0.26</v>
      </c>
      <c r="DE37" s="3">
        <v>4.16</v>
      </c>
      <c r="DF37" s="3">
        <v>0</v>
      </c>
      <c r="DG37" s="3">
        <v>0</v>
      </c>
      <c r="DH37" s="3">
        <v>0.01</v>
      </c>
      <c r="DI37" s="3">
        <v>0.16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4.8899999999999988</v>
      </c>
      <c r="EA37" s="3"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v>0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v>0</v>
      </c>
    </row>
    <row r="38" spans="2:230" x14ac:dyDescent="0.55000000000000004">
      <c r="B38" s="12" t="s">
        <v>162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54.419999999999995</v>
      </c>
      <c r="I38" s="3">
        <f t="shared" si="10"/>
        <v>1627.7021999999999</v>
      </c>
      <c r="J38" s="3">
        <f t="shared" si="10"/>
        <v>1.4400000000000004</v>
      </c>
      <c r="K38" s="3">
        <f t="shared" si="10"/>
        <v>43.070399999999978</v>
      </c>
      <c r="L38" s="3">
        <f t="shared" si="10"/>
        <v>-2.4000000000000017</v>
      </c>
      <c r="M38" s="3">
        <f t="shared" si="10"/>
        <v>-71.784000000000006</v>
      </c>
      <c r="N38" s="3">
        <f t="shared" ref="N38:AS38" si="11">SUM(N7:N37)</f>
        <v>2.73</v>
      </c>
      <c r="O38" s="3">
        <f t="shared" si="11"/>
        <v>81.654300000000006</v>
      </c>
      <c r="P38" s="3">
        <f t="shared" si="11"/>
        <v>1.9999999999999907E-2</v>
      </c>
      <c r="Q38" s="3">
        <f t="shared" si="11"/>
        <v>0.59820000000001627</v>
      </c>
      <c r="R38" s="3">
        <f t="shared" si="11"/>
        <v>1.6199999999999997</v>
      </c>
      <c r="S38" s="3">
        <f t="shared" si="11"/>
        <v>48.454200000000007</v>
      </c>
      <c r="T38" s="3">
        <f t="shared" si="11"/>
        <v>0.49999999999999867</v>
      </c>
      <c r="U38" s="3">
        <f t="shared" si="11"/>
        <v>14.954999999999991</v>
      </c>
      <c r="V38" s="3">
        <f t="shared" si="11"/>
        <v>4.1399999999999997</v>
      </c>
      <c r="W38" s="3">
        <f t="shared" si="11"/>
        <v>162.42959999999999</v>
      </c>
      <c r="X38" s="3">
        <f t="shared" si="11"/>
        <v>7.34</v>
      </c>
      <c r="Y38" s="3">
        <f t="shared" si="11"/>
        <v>242.72900000000001</v>
      </c>
      <c r="Z38" s="3">
        <f t="shared" si="11"/>
        <v>5.719999999999998</v>
      </c>
      <c r="AA38" s="3">
        <f t="shared" si="11"/>
        <v>189.67930000000004</v>
      </c>
      <c r="AB38" s="3">
        <f t="shared" si="11"/>
        <v>-0.77000000000000024</v>
      </c>
      <c r="AC38" s="3">
        <f t="shared" si="11"/>
        <v>-18.788700000000006</v>
      </c>
      <c r="AD38" s="3">
        <f t="shared" si="11"/>
        <v>-1.7499999999999998</v>
      </c>
      <c r="AE38" s="3">
        <f t="shared" si="11"/>
        <v>-54.604900000000001</v>
      </c>
      <c r="AF38" s="3">
        <f t="shared" si="11"/>
        <v>-1.2</v>
      </c>
      <c r="AG38" s="3">
        <f t="shared" si="11"/>
        <v>-40.204700000000003</v>
      </c>
      <c r="AH38" s="3">
        <f t="shared" si="11"/>
        <v>-0.19000000000000006</v>
      </c>
      <c r="AI38" s="3">
        <f t="shared" si="11"/>
        <v>-5.7536000000000058</v>
      </c>
      <c r="AJ38" s="3">
        <f t="shared" si="11"/>
        <v>-5.29</v>
      </c>
      <c r="AK38" s="3">
        <f t="shared" si="11"/>
        <v>-191.17009999999996</v>
      </c>
      <c r="AL38" s="3">
        <f t="shared" si="11"/>
        <v>3.5700000000000012</v>
      </c>
      <c r="AM38" s="3">
        <f t="shared" si="11"/>
        <v>106.63730000000002</v>
      </c>
      <c r="AN38" s="3">
        <f t="shared" si="11"/>
        <v>20.830000000000002</v>
      </c>
      <c r="AO38" s="3">
        <f t="shared" si="11"/>
        <v>720.44989999999984</v>
      </c>
      <c r="AP38" s="3">
        <f t="shared" si="11"/>
        <v>34.480000000000004</v>
      </c>
      <c r="AQ38" s="3">
        <f t="shared" si="11"/>
        <v>1224.3078</v>
      </c>
      <c r="AR38" s="3">
        <f t="shared" si="11"/>
        <v>16.119999999999997</v>
      </c>
      <c r="AS38" s="3">
        <f t="shared" si="11"/>
        <v>587.06799999999998</v>
      </c>
      <c r="AT38" s="3">
        <f t="shared" ref="AT38:BY38" si="12">SUM(AT7:AT37)</f>
        <v>5.4200000000000008</v>
      </c>
      <c r="AU38" s="3">
        <f t="shared" si="12"/>
        <v>204.815</v>
      </c>
      <c r="AV38" s="3">
        <f t="shared" si="12"/>
        <v>1.2999999999999998</v>
      </c>
      <c r="AW38" s="3">
        <f t="shared" si="12"/>
        <v>47.437699999999992</v>
      </c>
      <c r="AX38" s="3">
        <f t="shared" si="12"/>
        <v>-6.5399999999999991</v>
      </c>
      <c r="AY38" s="3">
        <f t="shared" si="12"/>
        <v>-195.61139999999997</v>
      </c>
      <c r="AZ38" s="3">
        <f t="shared" si="12"/>
        <v>3.2300000000000013</v>
      </c>
      <c r="BA38" s="3">
        <f t="shared" si="12"/>
        <v>96.609300000000019</v>
      </c>
      <c r="BB38" s="3">
        <f t="shared" si="12"/>
        <v>106.45000000000002</v>
      </c>
      <c r="BC38" s="3">
        <f t="shared" si="12"/>
        <v>3183.9194999999995</v>
      </c>
      <c r="BD38" s="3">
        <f t="shared" si="12"/>
        <v>255.21</v>
      </c>
      <c r="BE38" s="3">
        <f t="shared" si="12"/>
        <v>8130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-0.5</v>
      </c>
      <c r="BM38" s="3">
        <f t="shared" si="12"/>
        <v>-8.4599999999999991</v>
      </c>
      <c r="BN38" s="3">
        <f t="shared" si="12"/>
        <v>-26.419999999999991</v>
      </c>
      <c r="BO38" s="3">
        <f t="shared" si="12"/>
        <v>-40.939999999999991</v>
      </c>
      <c r="BP38" s="3">
        <f t="shared" si="12"/>
        <v>-50.470000000000006</v>
      </c>
      <c r="BQ38" s="3">
        <f t="shared" si="12"/>
        <v>-44.309999999999995</v>
      </c>
      <c r="BR38" s="3">
        <f t="shared" si="12"/>
        <v>-57.030000000000008</v>
      </c>
      <c r="BS38" s="3">
        <f t="shared" si="12"/>
        <v>-46.639999999999986</v>
      </c>
      <c r="BT38" s="3">
        <f t="shared" si="12"/>
        <v>-44.069999999999993</v>
      </c>
      <c r="BU38" s="3">
        <f t="shared" si="12"/>
        <v>-32.54</v>
      </c>
      <c r="BV38" s="3">
        <f t="shared" si="12"/>
        <v>-9.84</v>
      </c>
      <c r="BW38" s="3">
        <f t="shared" si="12"/>
        <v>-0.1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0.53000000000000014</v>
      </c>
      <c r="CS38" s="3">
        <f t="shared" si="13"/>
        <v>8.4800000000000022</v>
      </c>
      <c r="CT38" s="3">
        <f t="shared" si="13"/>
        <v>3.6600000000000006</v>
      </c>
      <c r="CU38" s="3">
        <f t="shared" si="13"/>
        <v>58.560000000000009</v>
      </c>
      <c r="CV38" s="3">
        <f t="shared" si="13"/>
        <v>7.7000000000000011</v>
      </c>
      <c r="CW38" s="3">
        <f t="shared" si="13"/>
        <v>123.20000000000002</v>
      </c>
      <c r="CX38" s="3">
        <f t="shared" si="13"/>
        <v>-19.929999999999996</v>
      </c>
      <c r="CY38" s="3">
        <f t="shared" si="13"/>
        <v>-318.87999999999994</v>
      </c>
      <c r="CZ38" s="3">
        <f t="shared" si="13"/>
        <v>-29.100000000000005</v>
      </c>
      <c r="DA38" s="3">
        <f t="shared" si="13"/>
        <v>-465.60000000000008</v>
      </c>
      <c r="DB38" s="3">
        <f t="shared" si="13"/>
        <v>-40.21</v>
      </c>
      <c r="DC38" s="3">
        <f t="shared" si="13"/>
        <v>-643.36</v>
      </c>
      <c r="DD38" s="3">
        <f t="shared" si="13"/>
        <v>-39.03</v>
      </c>
      <c r="DE38" s="3">
        <f t="shared" si="13"/>
        <v>-624.48</v>
      </c>
      <c r="DF38" s="3">
        <f t="shared" ref="DF38:EK38" si="14">SUM(DF7:DF37)</f>
        <v>-30.989999999999995</v>
      </c>
      <c r="DG38" s="3">
        <f t="shared" si="14"/>
        <v>-495.83999999999992</v>
      </c>
      <c r="DH38" s="3">
        <f t="shared" si="14"/>
        <v>-9.57</v>
      </c>
      <c r="DI38" s="3">
        <f t="shared" si="14"/>
        <v>-153.12</v>
      </c>
      <c r="DJ38" s="3">
        <f t="shared" si="14"/>
        <v>-0.19</v>
      </c>
      <c r="DK38" s="3">
        <f t="shared" si="14"/>
        <v>-3.04</v>
      </c>
      <c r="DL38" s="3">
        <f t="shared" si="14"/>
        <v>-0.03</v>
      </c>
      <c r="DM38" s="3">
        <f t="shared" si="14"/>
        <v>-0.48</v>
      </c>
      <c r="DN38" s="3">
        <f t="shared" si="14"/>
        <v>-0.05</v>
      </c>
      <c r="DO38" s="3">
        <f t="shared" si="14"/>
        <v>-0.8</v>
      </c>
      <c r="DP38" s="3">
        <f t="shared" si="14"/>
        <v>-0.03</v>
      </c>
      <c r="DQ38" s="3">
        <f t="shared" si="14"/>
        <v>-0.48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-157.23999999999998</v>
      </c>
      <c r="EA38" s="3">
        <f t="shared" si="14"/>
        <v>-2519</v>
      </c>
      <c r="EB38" s="3">
        <f t="shared" si="14"/>
        <v>56.760000000000005</v>
      </c>
      <c r="EC38" s="3">
        <f t="shared" si="14"/>
        <v>0.22999999999999993</v>
      </c>
      <c r="ED38" s="3">
        <f t="shared" si="14"/>
        <v>-7.0000000000000034E-2</v>
      </c>
      <c r="EE38" s="3">
        <f t="shared" si="14"/>
        <v>-0.13000000000000006</v>
      </c>
      <c r="EF38" s="3">
        <f t="shared" si="14"/>
        <v>-8.0000000000000043E-2</v>
      </c>
      <c r="EG38" s="3">
        <f t="shared" si="14"/>
        <v>0.48999999999999977</v>
      </c>
      <c r="EH38" s="3">
        <f t="shared" si="14"/>
        <v>2.6699999999999982</v>
      </c>
      <c r="EI38" s="3">
        <f t="shared" si="14"/>
        <v>-2.5200000000000005</v>
      </c>
      <c r="EJ38" s="3">
        <f t="shared" si="14"/>
        <v>-23.29</v>
      </c>
      <c r="EK38" s="3">
        <f t="shared" si="14"/>
        <v>-42.94</v>
      </c>
      <c r="EL38" s="3">
        <f t="shared" ref="EL38:FQ38" si="15">SUM(EL7:EL37)</f>
        <v>-28.220000000000002</v>
      </c>
      <c r="EM38" s="3">
        <f t="shared" si="15"/>
        <v>-13.100000000000001</v>
      </c>
      <c r="EN38" s="3">
        <f t="shared" si="15"/>
        <v>-14.199999999999998</v>
      </c>
      <c r="EO38" s="3">
        <f t="shared" si="15"/>
        <v>-3.7099999999999991</v>
      </c>
      <c r="EP38" s="3">
        <f t="shared" si="15"/>
        <v>-0.45000000000000007</v>
      </c>
      <c r="EQ38" s="3">
        <f t="shared" si="15"/>
        <v>0.06</v>
      </c>
      <c r="ER38" s="3">
        <f t="shared" si="15"/>
        <v>0.23</v>
      </c>
      <c r="ES38" s="3">
        <f t="shared" si="15"/>
        <v>0.73</v>
      </c>
      <c r="ET38" s="3">
        <f t="shared" si="15"/>
        <v>-0.11000000000000004</v>
      </c>
      <c r="EU38" s="3">
        <f t="shared" si="15"/>
        <v>-0.16999999999999998</v>
      </c>
      <c r="EV38" s="3">
        <f t="shared" si="15"/>
        <v>0.06</v>
      </c>
      <c r="EW38" s="3">
        <f t="shared" si="15"/>
        <v>-1.0000000000000016E-2</v>
      </c>
      <c r="EX38" s="3">
        <f t="shared" si="15"/>
        <v>0.05</v>
      </c>
      <c r="EY38" s="3">
        <f t="shared" si="15"/>
        <v>104.33000000000003</v>
      </c>
      <c r="EZ38" s="3">
        <f t="shared" si="15"/>
        <v>29.459999999999944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-0.19</v>
      </c>
      <c r="FH38" s="3">
        <f t="shared" si="15"/>
        <v>-0.36</v>
      </c>
      <c r="FI38" s="3">
        <f t="shared" si="15"/>
        <v>-1.03</v>
      </c>
      <c r="FJ38" s="3">
        <f t="shared" si="15"/>
        <v>0.02</v>
      </c>
      <c r="FK38" s="3">
        <f t="shared" si="15"/>
        <v>5.7899999999999991</v>
      </c>
      <c r="FL38" s="3">
        <f t="shared" si="15"/>
        <v>8.09</v>
      </c>
      <c r="FM38" s="3">
        <f t="shared" si="15"/>
        <v>7.2799999999999985</v>
      </c>
      <c r="FN38" s="3">
        <f t="shared" si="15"/>
        <v>6.66</v>
      </c>
      <c r="FO38" s="3">
        <f t="shared" si="15"/>
        <v>14.790000000000001</v>
      </c>
      <c r="FP38" s="3">
        <f t="shared" si="15"/>
        <v>10.530000000000001</v>
      </c>
      <c r="FQ38" s="3">
        <f t="shared" si="15"/>
        <v>-3.0000000000000027</v>
      </c>
      <c r="FR38" s="3">
        <f t="shared" ref="FR38:GW38" si="16">SUM(FR7:FR37)</f>
        <v>-17.720000000000002</v>
      </c>
      <c r="FS38" s="3">
        <f t="shared" si="16"/>
        <v>-7.9200000000000008</v>
      </c>
      <c r="FT38" s="3">
        <f t="shared" si="16"/>
        <v>-2.79</v>
      </c>
      <c r="FU38" s="3">
        <f t="shared" si="16"/>
        <v>-0.66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14.119999999999992</v>
      </c>
      <c r="FZ38" s="3">
        <f t="shared" si="16"/>
        <v>0.5599999999999995</v>
      </c>
      <c r="GA38" s="3">
        <f t="shared" si="16"/>
        <v>1.81</v>
      </c>
      <c r="GB38" s="3">
        <f t="shared" si="16"/>
        <v>-1.8099999999999998</v>
      </c>
      <c r="GC38" s="3">
        <f t="shared" si="16"/>
        <v>2.86</v>
      </c>
      <c r="GD38" s="3">
        <f t="shared" si="16"/>
        <v>0.10000000000000064</v>
      </c>
      <c r="GE38" s="3">
        <f t="shared" si="16"/>
        <v>1.1299999999999986</v>
      </c>
      <c r="GF38" s="3">
        <f t="shared" si="16"/>
        <v>-2.8600000000000008</v>
      </c>
      <c r="GG38" s="3">
        <f t="shared" si="16"/>
        <v>-2.6899999999999995</v>
      </c>
      <c r="GH38" s="3">
        <f t="shared" si="16"/>
        <v>-0.48000000000000043</v>
      </c>
      <c r="GI38" s="3">
        <f t="shared" si="16"/>
        <v>3.9999999999999702E-2</v>
      </c>
      <c r="GJ38" s="3">
        <f t="shared" si="16"/>
        <v>2.7</v>
      </c>
      <c r="GK38" s="3">
        <f t="shared" si="16"/>
        <v>4.2300000000000004</v>
      </c>
      <c r="GL38" s="3">
        <f t="shared" si="16"/>
        <v>3.46</v>
      </c>
      <c r="GM38" s="3">
        <f t="shared" si="16"/>
        <v>2.57</v>
      </c>
      <c r="GN38" s="3">
        <f t="shared" si="16"/>
        <v>-3.1300000000000003</v>
      </c>
      <c r="GO38" s="3">
        <f t="shared" si="16"/>
        <v>-8.93</v>
      </c>
      <c r="GP38" s="3">
        <f t="shared" si="16"/>
        <v>7.9499999999999993</v>
      </c>
      <c r="GQ38" s="3">
        <f t="shared" si="16"/>
        <v>15.959999999999999</v>
      </c>
      <c r="GR38" s="3">
        <f t="shared" si="16"/>
        <v>8.3600000000000012</v>
      </c>
      <c r="GS38" s="3">
        <f t="shared" si="16"/>
        <v>2.8300000000000005</v>
      </c>
      <c r="GT38" s="3">
        <f t="shared" si="16"/>
        <v>0.58000000000000085</v>
      </c>
      <c r="GU38" s="3">
        <f t="shared" si="16"/>
        <v>-6.53</v>
      </c>
      <c r="GV38" s="3">
        <f t="shared" si="16"/>
        <v>3.18</v>
      </c>
      <c r="GW38" s="3">
        <f t="shared" si="16"/>
        <v>2.120000000000001</v>
      </c>
      <c r="GX38" s="3">
        <f t="shared" ref="GX38" si="17">SUM(GX7:GX37)</f>
        <v>8.3599999999999923</v>
      </c>
    </row>
  </sheetData>
  <phoneticPr fontId="1"/>
  <conditionalFormatting sqref="BC7 I7 K7 M7 O7 Q7 S7 U7 W7 Y7 AA7 AC7 BA7 AY7 AW7 AU7 AS7 AQ7 AO7 AM7 AK7 AI7 AG7 AE7">
    <cfRule type="top10" dxfId="183" priority="92" percent="1" rank="10"/>
  </conditionalFormatting>
  <conditionalFormatting sqref="AZ7 H7 J7 L7 N7 P7 R7 T7 V7 X7 Z7 AB7 AD7 AF7 AH7 AJ7 AL7 AN7 AP7 AR7 AT7 AV7 AX7">
    <cfRule type="top10" dxfId="182" priority="91" percent="1" rank="10"/>
  </conditionalFormatting>
  <conditionalFormatting sqref="FA7:FX7 FZ7:GW7">
    <cfRule type="top10" dxfId="181" priority="90" percent="1" rank="10"/>
  </conditionalFormatting>
  <conditionalFormatting sqref="H8 J8 L8 N8 P8 R8 T8 V8 X8 Z8 AB8 AD8 AF8 AH8 AJ8 AL8 AN8 AP8 AR8 AT8 AV8 AX8 AZ8 BB8">
    <cfRule type="top10" dxfId="180" priority="89" percent="1" rank="10"/>
  </conditionalFormatting>
  <conditionalFormatting sqref="H9 J9 L9 N9 P9 R9 T9 V9 X9 Z9 AB9 AD9 AF9 AH9 AJ9 AL9 AN9 AP9 AR9 AT9 AV9 AZ9 AX9 BB9">
    <cfRule type="top10" dxfId="179" priority="88" percent="1" rank="10"/>
  </conditionalFormatting>
  <conditionalFormatting sqref="J10 H10 L10 N10 P10 R10 T10 V10 X10 Z10 AB10 AD10 AF10 AH10 AJ10 AL10 AN10 AP10 AR10 AT10 AV10 AX10 AZ10 BB10">
    <cfRule type="top10" dxfId="178" priority="87" percent="1" rank="10"/>
  </conditionalFormatting>
  <conditionalFormatting sqref="BB11 AZ11 AX11 AV11 AT11 AR11 AP11 AN11 AL11 AJ11 AH11 AF11 AD11 AB11 Z11 X11 V11 T11 R11 P11 N11 L11 J11 H11">
    <cfRule type="top10" dxfId="177" priority="86" percent="1" rank="10"/>
  </conditionalFormatting>
  <conditionalFormatting sqref="BB12 AZ12 AX12 AV12 AT12 AR12 AP12 AN12 AL12 AJ12 AH12 AF12 AD12 AB12 Z12 X12 V12 T12 R12 P12 N12 L12 J12 H12">
    <cfRule type="top10" dxfId="176" priority="85" percent="1" rank="10"/>
  </conditionalFormatting>
  <conditionalFormatting sqref="H13 J13 L13 N13 P13 R13 T13 V13 X13 Z13 AB13 AD13 AF13 AH13 AJ13 AL13 AN13 AP13 AR13 AT13 AV13 AX13 AZ13 BB13">
    <cfRule type="top10" dxfId="175" priority="84" percent="1" rank="10"/>
  </conditionalFormatting>
  <conditionalFormatting sqref="BB14 AZ14 AX14 AV14 AT14 AR14 AP14 AL14 AN14 AJ14 AH14 AF14 AD14 AB14 Z14 X14 V14 T14 R14 P14 N14 L14 J14 H14">
    <cfRule type="top10" dxfId="174" priority="83" percent="1" rank="10"/>
  </conditionalFormatting>
  <conditionalFormatting sqref="H15 J15 L15 N15 P15 R15 T15 V15 X15 Z15 AB15 AD15 AF15 AH15 AJ15 AL15 AN15 AP15 AR15 AT15 AV15 AX15 AZ15 BB15">
    <cfRule type="top10" dxfId="173" priority="82" percent="1" rank="10"/>
  </conditionalFormatting>
  <conditionalFormatting sqref="BB16 AZ16 AX16 AV16 AT16 AR16 AP16 AN16 AL16 AJ16 AH16 AF16 AD16 AB16 Z16 X16 V16 T16 R16 P16 N16 L16 J16 H16">
    <cfRule type="top10" dxfId="172" priority="81" percent="1" rank="10"/>
  </conditionalFormatting>
  <conditionalFormatting sqref="H17 J17 L17 N17 P17 R17 T17 V17 X17 Z17 AB17 AD17 AF17 AH17 AJ17 AL17 AN17 AP17 AR17 AT17 AV17 AX17 AZ17 BB17">
    <cfRule type="top10" dxfId="171" priority="80" percent="1" rank="10"/>
  </conditionalFormatting>
  <conditionalFormatting sqref="H18 J18 L18 N18 P18 R18 T18 V18 X18 Z18 AB18 AD18 AF18 AH18 AJ18 AL18 AN18 AP18 AR18 AT18 AV18 AX18 AZ18 BB18">
    <cfRule type="top10" dxfId="170" priority="79" percent="1" rank="10"/>
  </conditionalFormatting>
  <conditionalFormatting sqref="BB19 AZ19 AX19 AV19 AT19 AR19 AP19 AN19 AL19 AJ19 AH19 AF19 AD19 AB19 Z19 X19 V19 T19 R19 P19 N19 L19 J19 H19">
    <cfRule type="top10" dxfId="169" priority="78" percent="1" rank="10"/>
  </conditionalFormatting>
  <conditionalFormatting sqref="H20 J20 N20 L20 P20 R20 T20 X20 V20 Z20 AB20 AD20 AF20 AH20 AJ20 AL20 AN20 AP20 AR20 AT20 AV20 AX20 AZ20 BB20">
    <cfRule type="top10" dxfId="168" priority="77" percent="1" rank="10"/>
  </conditionalFormatting>
  <conditionalFormatting sqref="BB21 AZ21 AX21 AV21 AT21 AR21 AP21 AN21 AL21 AJ21 AH21 AF21 AD21 AB21 Z21 X21 V21 T21 R21 P21 N21 L21 J21 H21">
    <cfRule type="top10" dxfId="167" priority="76" percent="1" rank="10"/>
  </conditionalFormatting>
  <conditionalFormatting sqref="H22 J22 L22 N22 P22 R22 T22 V22 X22 Z22 AB22 AD22 AF22 AH22 AJ22 AL22 AN22 AP22 AR22 AT22 AV22 AX22 AZ22 BB22">
    <cfRule type="top10" dxfId="166" priority="75" percent="1" rank="10"/>
  </conditionalFormatting>
  <conditionalFormatting sqref="BB23 AZ23 AX23 AV23 AT23 AR23 AP23 AN23 AL23 AJ23 AH23 AF23 AD23 AB23 Z23 X23 V23 T23 R23 P23 N23 L23 J23 H23">
    <cfRule type="top10" dxfId="165" priority="74" percent="1" rank="10"/>
  </conditionalFormatting>
  <conditionalFormatting sqref="H24 J24 L24 N24 P24 R24 T24 V24 X24 Z24 AB24 AD24 AF24 AH24 AJ24 AL24 AN24 AP24 AR24 AT24 AV24 AX24 AZ24 BB24">
    <cfRule type="top10" dxfId="164" priority="73" percent="1" rank="10"/>
  </conditionalFormatting>
  <conditionalFormatting sqref="BB25 AZ25 AX25 AV25 AT25 AR25 AP25 AN25 AL25 AJ25 AH25 AF25 AD25 AB25 Z25 X25 V25 T25 R25 P25 N25 L25 J25 H25">
    <cfRule type="top10" dxfId="163" priority="72" percent="1" rank="10"/>
  </conditionalFormatting>
  <conditionalFormatting sqref="BB26 AZ26 AX26 AV26 AT26 AR26 AP26 AN26 AL26 AJ26 AH26 AF26 AD26 AB26 Z26 X26 V26 T26 R26 P26 N26 L26 J26 H26">
    <cfRule type="top10" dxfId="162" priority="71" percent="1" rank="10"/>
  </conditionalFormatting>
  <conditionalFormatting sqref="H27 J27 L27 N27 P27 R27 T27 V27 X27 Z27 AB27 AD27 AF27 AH27 AJ27 AL27 AN27 AP27 AR27 AT27 AV27 AX27 AZ27 BB27">
    <cfRule type="top10" dxfId="161" priority="70" percent="1" rank="10"/>
  </conditionalFormatting>
  <conditionalFormatting sqref="BB28 AZ28 AX28 AV28 AT28 AR28 AP28 AN28 AL28 AJ28 AH28 AF28 AD28 AB28 Z28 X28 V28 T28 R28 P28 N28 L28 J28 H28">
    <cfRule type="top10" dxfId="160" priority="69" percent="1" rank="10"/>
  </conditionalFormatting>
  <conditionalFormatting sqref="BB29 AZ29 AX29 AV29 AT29 AR29 AP29 AN29 AL29 AJ29 AH29 AF29 AD29 AB29 Z29 X29 V29 T29 R29 P29 N29 L29 J29 H29">
    <cfRule type="top10" dxfId="159" priority="68" percent="1" rank="10"/>
  </conditionalFormatting>
  <conditionalFormatting sqref="H30 J30 L30 N30 P30 R30 T30 V30 X30 Z30 AB30 AD30 AF30 AH30 AJ30 AL30 AN30 AP30 AR30 AT30 AV30 AX30 AZ30 BB30">
    <cfRule type="top10" dxfId="158" priority="67" percent="1" rank="10"/>
  </conditionalFormatting>
  <conditionalFormatting sqref="BB31 AZ31 AX31 AV31 AT31 AR31 AP31 AN31 AL31 AJ31 AH31 AF31 AD31 AB31 Z31 X31 V31 T31 R31 P31 N31 L31 J31 H31">
    <cfRule type="top10" dxfId="157" priority="66" percent="1" rank="10"/>
  </conditionalFormatting>
  <conditionalFormatting sqref="H32 J32 L32 N32 P32 R32 T32 V32 X32 Z32 AB32 AD32 AF32 AH32 AJ32 AL32 AN32 AP32 AR32 AT32 AV32 AX32 AZ32 BB32">
    <cfRule type="top10" dxfId="156" priority="65" percent="1" rank="10"/>
  </conditionalFormatting>
  <conditionalFormatting sqref="BB33 AZ33 AX33 AV33 AT33 AR33 AP33 AN33 AL33 AJ33 AH33 AF33 AD33 AB33 Z33 X33 V33 T33 R33 P33 N33 L33 J33 H33">
    <cfRule type="top10" dxfId="155" priority="64" percent="1" rank="10"/>
  </conditionalFormatting>
  <conditionalFormatting sqref="H34 J34 L34 N34 P34 R34 T34 V34 X34 Z34 AB34 AD34 AF34 AH34 AJ34 AL34 AN34 AP34 AR34 AT34 AV34 AX34 AZ34 BB34">
    <cfRule type="top10" dxfId="154" priority="63" percent="1" rank="10"/>
  </conditionalFormatting>
  <conditionalFormatting sqref="BB35 AZ35 AV35 AX35 AT35 AR35 AP35 AN35 AL35 AJ35 AH35 AF35 AD35 AB35 Z35 X35 V35 T35 R35 P35 N35 L35 J35 H35">
    <cfRule type="top10" dxfId="15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2" priority="61" percent="1" rank="10"/>
  </conditionalFormatting>
  <conditionalFormatting sqref="BD7:BD37">
    <cfRule type="top10" dxfId="151" priority="60" percent="1" rank="10"/>
  </conditionalFormatting>
  <conditionalFormatting sqref="BC8 BA8 AY8 AW8 AU8 AS8 AQ8 AO8 AM8 AK8 AI8 AG8 AE8 AC8 AA8 Y8 W8 U8 S8 Q8 O8 M8 K8 I8">
    <cfRule type="top10" dxfId="150" priority="59" percent="1" rank="10"/>
  </conditionalFormatting>
  <conditionalFormatting sqref="I9 K9 M9 O9 Q9 S9 U9 W9 Y9 AA9 AC9 AE9 AG9 AI9 AK9 AM9 AO9 AQ9 AS9 AU9 AW9 AY9 BA9 BC9">
    <cfRule type="top10" dxfId="149" priority="58" percent="1" rank="10"/>
  </conditionalFormatting>
  <conditionalFormatting sqref="I10 K10 M10 Q10 O10 S10 W10 U10 Y10 AA10 AC10 AE10 AG10 AI10 AK10 AM10 AO10 AQ10 AS10 AU10 AW10 AY10 BA10 BC10">
    <cfRule type="top10" dxfId="148" priority="57" percent="1" rank="10"/>
  </conditionalFormatting>
  <conditionalFormatting sqref="BC11 BA11 AY11 AW11 AU11 AS11 AQ11 AO11 AM11 AK11 AI11 AG11 AE11 AC11 AA11 Y11 W11 U11 S11 Q11 O11 M11 K11 I11">
    <cfRule type="top10" dxfId="147" priority="56" percent="1" rank="10"/>
  </conditionalFormatting>
  <conditionalFormatting sqref="I12 K12 M12 O12 Q12 S12 U12 Y12 W12 AA12 AC12 AE12 AG12 AI12 AK12 AM12 AO12 AQ12 AS12 AU12 AW12 AY12 BA12 BC12">
    <cfRule type="top10" dxfId="146" priority="55" percent="1" rank="10"/>
  </conditionalFormatting>
  <conditionalFormatting sqref="BC13 BA13 AY13 AW13 AU13 AS13 AQ13 AO13 AM13 AK13 AI13 AG13 AE13 AC13 AA13 Y13 W13 U13 S13 Q13 O13 M13 K13 I13">
    <cfRule type="top10" dxfId="145" priority="54" percent="1" rank="10"/>
  </conditionalFormatting>
  <conditionalFormatting sqref="BC14 BA14 AY14 AW14 AU14 AS14 AQ14 AO14 AM14 AK14 AI14 AG14 AE14 AC14 AA14 Y14 W14 U14 S14 Q14 O14 M14 K14 I14">
    <cfRule type="top10" dxfId="144" priority="53" percent="1" rank="10"/>
  </conditionalFormatting>
  <conditionalFormatting sqref="I15 K15 M15 O15 Q15 S15 U15 W15 Y15 AA15 AC15 AE15 AG15 AI15 AK15 AM15 AO15 AQ15 AS15 AU15 AW15 AY15 BA15 BC15">
    <cfRule type="top10" dxfId="143" priority="52" percent="1" rank="10"/>
  </conditionalFormatting>
  <conditionalFormatting sqref="BC16 BA16 AY16 AW16 AU16 AS16 AQ16 AO16 AM16 AK16 AI16 AG16 AE16 AC16 AA16 Y16 W16 U16 S16 Q16 O16 M16 K16 I16">
    <cfRule type="top10" dxfId="142" priority="51" percent="1" rank="10"/>
  </conditionalFormatting>
  <conditionalFormatting sqref="I17 K17 M17 O17 Q17 U17 S17 W17 Y17 AA17 AC17 AE17 AG17 AI17 AK17 AM17 AO17 AQ17 AS17 AU17 AW17 AY17 BA17 BC17">
    <cfRule type="top10" dxfId="141" priority="50" percent="1" rank="10"/>
  </conditionalFormatting>
  <conditionalFormatting sqref="BC18 BA18 AY18 AW18 AU18 AS18 AQ18 AO18 AM18 AK18 AI18 AG18 AE18 AC18 AA18 Y18 W18 U18 S18 Q18 O18 M18 K18 I18">
    <cfRule type="top10" dxfId="140" priority="49" percent="1" rank="10"/>
  </conditionalFormatting>
  <conditionalFormatting sqref="I19 K19 M19 O19 Q19 S19 U19 W19 Y19 AA19 AC19 AE19 AG19 AI19 AK19 AM19 AO19 AQ19 AS19 AU19 AW19 AY19 BA19 BC19">
    <cfRule type="top10" dxfId="139" priority="48" percent="1" rank="10"/>
  </conditionalFormatting>
  <conditionalFormatting sqref="BC20 BA20 AY20 AW20 AU20 AS20 AQ20 AO20 AM20 AK20 AI20 AG20 AE20 AC20 AA20 W20 Y20 U20 S20 Q20 O20 M20 K20 I20">
    <cfRule type="top10" dxfId="138" priority="47" percent="1" rank="10"/>
  </conditionalFormatting>
  <conditionalFormatting sqref="I21 K21 M21 O21 Q21 S21 U21 W21 Y21 AA21 AC21 AE21 AG21 AI21 AK21 AM21 AO21 AQ21 AS21 AU21 AW21 AY21 BA21 BC21">
    <cfRule type="top10" dxfId="137" priority="46" percent="1" rank="10"/>
  </conditionalFormatting>
  <conditionalFormatting sqref="BC22 BA22 AY22 AW22 AU22 AS22 AQ22 AO22 AM22 AK22 AI22 AG22 AE22 AC22 AA22 Y22 W22 U22 S22 Q22 O22 M22 K22 I22">
    <cfRule type="top10" dxfId="136" priority="45" percent="1" rank="10"/>
  </conditionalFormatting>
  <conditionalFormatting sqref="I23 K23 O23 M23 Q23 S23 U23 W23 Y23 AA23 AC23 AE23 AG23 AI23 AK23 AM23 AO23 AQ23 AS23 AU23 AW23 AY23 BA23 BC23">
    <cfRule type="top10" dxfId="135" priority="44" percent="1" rank="10"/>
  </conditionalFormatting>
  <conditionalFormatting sqref="BC24 BA24 AY24 AW24 AU24 AS24 AQ24 AO24 AM24 AK24 AI24 AG24 AE24 AC24 AA24 Y24 W24 U24 S24 Q24 O24 M24 K24 I24">
    <cfRule type="top10" dxfId="134" priority="43" percent="1" rank="10"/>
  </conditionalFormatting>
  <conditionalFormatting sqref="I25 K25 M25 O25 Q25 S25 U25 W25 Y25 AA25 AC25 AE25 AG25 AI25 AK25 AM25 AO25 AQ25 AS25 AU25 AW25 AY25 BA25 BC25">
    <cfRule type="top10" dxfId="133" priority="42" percent="1" rank="10"/>
  </conditionalFormatting>
  <conditionalFormatting sqref="BC26 BA26 AY26 AW26 AU26 AS26 AQ26 AO26 AM26 AK26 AI26 AG26 AE26 AC26 AA26 Y26 W26 U26 S26 Q26 O26 M26 K26 I26">
    <cfRule type="top10" dxfId="132" priority="41" percent="1" rank="10"/>
  </conditionalFormatting>
  <conditionalFormatting sqref="I27 K27 M27 O27 Q27 S27 U27 W27 Y27 AA27 AC27 AE27 AG27 AI27 AK27 AM27 AO27 AQ27 AS27 AU27 AW27 AY27 BA27 BC27">
    <cfRule type="top10" dxfId="131" priority="40" percent="1" rank="10"/>
  </conditionalFormatting>
  <conditionalFormatting sqref="BC28 BA28 AY28 AW28 AU28 AS28 AQ28 AO28 AM28 AK28 AI28 AG28 AE28 AC28 AA28 Y28 W28 U28 S28 Q28 O28 M28 K28 I28">
    <cfRule type="top10" dxfId="130" priority="39" percent="1" rank="10"/>
  </conditionalFormatting>
  <conditionalFormatting sqref="I29 K29 M29 Q29 O29 S29 U29 Y29 W29 AA29 AC29 AE29 AG29 AI29 AK29 AM29 AO29 AQ29 AS29 AU29 AW29 AY29 BA29 BC29">
    <cfRule type="top10" dxfId="129" priority="38" percent="1" rank="10"/>
  </conditionalFormatting>
  <conditionalFormatting sqref="BC30 BA30 AY30 AW30 AU30 AS30 AQ30 AO30 AM30 AK30 AI30 AE30 AG30 AC30 AA30 Y30 W30 U30 S30 Q30 O30 M30 K30 I30">
    <cfRule type="top10" dxfId="128" priority="37" percent="1" rank="10"/>
  </conditionalFormatting>
  <conditionalFormatting sqref="I31 K31 M31 O31 Q31 S31 W31 U31 Y31 AC31 AA31 AE31 AG31 AI31 AK31 AM31 AO31 AQ31 AS31 AU31 AW31 AY31 BA31 BC31">
    <cfRule type="top10" dxfId="127" priority="36" percent="1" rank="10"/>
  </conditionalFormatting>
  <conditionalFormatting sqref="BC32 BA32 AY32 AW32 AU32 AS32 AQ32 AO32 AM32 AK32 AI32 AG32 AE32 AC32 AA32 Y32 W32 U32 S32 Q32 O32 M32 K32 I32">
    <cfRule type="top10" dxfId="126" priority="35" percent="1" rank="10"/>
  </conditionalFormatting>
  <conditionalFormatting sqref="I33 K33 M33 O33 Q33 S33 U33 W33 Y33 AA33 AC33 AE33 AG33 AI33 AK33 AM33 AQ33 AO33 AS33 AU33 AW33 AY33 BA33 BC33">
    <cfRule type="top10" dxfId="125" priority="34" percent="1" rank="10"/>
  </conditionalFormatting>
  <conditionalFormatting sqref="BC34 BA34 AY34 AW34 AU34 AS34 AQ34 AO34 AM34 AK34 AI34 AG34 AE34 AC34 AA34 Y34 W34 U34 S34 Q34 O34 M34 K34 I34">
    <cfRule type="top10" dxfId="124" priority="33" percent="1" rank="10"/>
  </conditionalFormatting>
  <conditionalFormatting sqref="I35 K35 M35 O35 Q35 S35 U35 W35 Y35 AA35 AC35 AE35 AG35 AI35 AK35 AM35 AO35 AQ35 AS35 AU35 AW35 AY35 BA35 BC35">
    <cfRule type="top10" dxfId="12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" priority="31" percent="1" rank="10"/>
  </conditionalFormatting>
  <conditionalFormatting sqref="FZ8:GW8">
    <cfRule type="top10" dxfId="121" priority="30" percent="1" rank="10"/>
  </conditionalFormatting>
  <conditionalFormatting sqref="FZ9:GW9">
    <cfRule type="top10" dxfId="120" priority="29" percent="1" rank="10"/>
  </conditionalFormatting>
  <conditionalFormatting sqref="FZ10:GW10">
    <cfRule type="top10" dxfId="119" priority="28" percent="1" rank="10"/>
  </conditionalFormatting>
  <conditionalFormatting sqref="FZ11:GW11">
    <cfRule type="top10" dxfId="118" priority="27" percent="1" rank="10"/>
  </conditionalFormatting>
  <conditionalFormatting sqref="FZ12:GW12">
    <cfRule type="top10" dxfId="117" priority="26" percent="1" rank="10"/>
  </conditionalFormatting>
  <conditionalFormatting sqref="FZ13:GW13">
    <cfRule type="top10" dxfId="116" priority="25" percent="1" rank="10"/>
  </conditionalFormatting>
  <conditionalFormatting sqref="GX7:GX37">
    <cfRule type="top10" dxfId="115" priority="24" percent="1" rank="10"/>
  </conditionalFormatting>
  <conditionalFormatting sqref="FZ14:GW14">
    <cfRule type="top10" dxfId="114" priority="23" percent="1" rank="10"/>
  </conditionalFormatting>
  <conditionalFormatting sqref="FZ15:GW15">
    <cfRule type="top10" dxfId="113" priority="22" percent="1" rank="10"/>
  </conditionalFormatting>
  <conditionalFormatting sqref="FZ16:GW16">
    <cfRule type="top10" dxfId="112" priority="21" percent="1" rank="10"/>
  </conditionalFormatting>
  <conditionalFormatting sqref="FZ17:GW17">
    <cfRule type="top10" dxfId="111" priority="20" percent="1" rank="10"/>
  </conditionalFormatting>
  <conditionalFormatting sqref="FZ18:GW18">
    <cfRule type="top10" dxfId="110" priority="19" percent="1" rank="10"/>
  </conditionalFormatting>
  <conditionalFormatting sqref="FZ19:GW19">
    <cfRule type="top10" dxfId="109" priority="18" percent="1" rank="10"/>
  </conditionalFormatting>
  <conditionalFormatting sqref="FZ20:GW20">
    <cfRule type="top10" dxfId="108" priority="17" percent="1" rank="10"/>
  </conditionalFormatting>
  <conditionalFormatting sqref="FZ21:GW21">
    <cfRule type="top10" dxfId="107" priority="16" percent="1" rank="10"/>
  </conditionalFormatting>
  <conditionalFormatting sqref="FZ22:GW22">
    <cfRule type="top10" dxfId="106" priority="15" percent="1" rank="10"/>
  </conditionalFormatting>
  <conditionalFormatting sqref="FZ23:GW23">
    <cfRule type="top10" dxfId="105" priority="14" percent="1" rank="10"/>
  </conditionalFormatting>
  <conditionalFormatting sqref="FZ24:GW24">
    <cfRule type="top10" dxfId="104" priority="13" percent="1" rank="10"/>
  </conditionalFormatting>
  <conditionalFormatting sqref="FZ25:GW25">
    <cfRule type="top10" dxfId="103" priority="12" percent="1" rank="10"/>
  </conditionalFormatting>
  <conditionalFormatting sqref="FZ26:GW26">
    <cfRule type="top10" dxfId="102" priority="11" percent="1" rank="10"/>
  </conditionalFormatting>
  <conditionalFormatting sqref="FZ27:GW27">
    <cfRule type="top10" dxfId="101" priority="10" percent="1" rank="10"/>
  </conditionalFormatting>
  <conditionalFormatting sqref="FZ28:GW28">
    <cfRule type="top10" dxfId="100" priority="9" percent="1" rank="10"/>
  </conditionalFormatting>
  <conditionalFormatting sqref="FZ29:GW29">
    <cfRule type="top10" dxfId="99" priority="8" percent="1" rank="10"/>
  </conditionalFormatting>
  <conditionalFormatting sqref="FZ30:GW30">
    <cfRule type="top10" dxfId="98" priority="7" percent="1" rank="10"/>
  </conditionalFormatting>
  <conditionalFormatting sqref="FZ31:GW31">
    <cfRule type="top10" dxfId="97" priority="6" percent="1" rank="10"/>
  </conditionalFormatting>
  <conditionalFormatting sqref="FZ32:GW32">
    <cfRule type="top10" dxfId="96" priority="5" percent="1" rank="10"/>
  </conditionalFormatting>
  <conditionalFormatting sqref="FZ33:GW33">
    <cfRule type="top10" dxfId="95" priority="4" percent="1" rank="10"/>
  </conditionalFormatting>
  <conditionalFormatting sqref="FZ34:GW34">
    <cfRule type="top10" dxfId="94" priority="3" percent="1" rank="10"/>
  </conditionalFormatting>
  <conditionalFormatting sqref="FZ35:GW35">
    <cfRule type="top10" dxfId="93" priority="2" percent="1" rank="10"/>
  </conditionalFormatting>
  <conditionalFormatting sqref="FZ36:GW37">
    <cfRule type="top10" dxfId="92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4" activePane="bottomLeft" state="frozen"/>
      <selection activeCell="D1" sqref="D1"/>
      <selection pane="bottomLeft" activeCell="H3" sqref="H3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129</v>
      </c>
      <c r="E1" s="11" t="s">
        <v>128</v>
      </c>
      <c r="F1" s="11" t="s">
        <v>130</v>
      </c>
      <c r="G1" s="11" t="s">
        <v>127</v>
      </c>
      <c r="H1" s="11" t="s">
        <v>131</v>
      </c>
      <c r="I1" s="11" t="s">
        <v>163</v>
      </c>
      <c r="J1" s="11" t="s">
        <v>164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261</v>
      </c>
      <c r="I2" s="11">
        <v>132</v>
      </c>
      <c r="J2" s="11">
        <v>157</v>
      </c>
    </row>
    <row r="3" spans="1:10" x14ac:dyDescent="0.55000000000000004">
      <c r="D3" t="s">
        <v>122</v>
      </c>
      <c r="E3" t="s">
        <v>123</v>
      </c>
      <c r="F3" t="s">
        <v>124</v>
      </c>
      <c r="G3" t="s">
        <v>125</v>
      </c>
      <c r="H3" t="s">
        <v>126</v>
      </c>
    </row>
    <row r="4" spans="1:10" x14ac:dyDescent="0.55000000000000004">
      <c r="A4" s="11" t="str">
        <f t="shared" ref="A4:A67" si="0">MONTH(D4)&amp;"月"</f>
        <v>2月</v>
      </c>
      <c r="B4" s="11" t="str">
        <f t="shared" ref="B4:B67" si="1">A4&amp;DAY(D4)&amp;"日"</f>
        <v>2月1日</v>
      </c>
      <c r="C4" s="11" t="str">
        <f t="shared" ref="C4:C67" si="2">HOUR(D4)+1&amp;"時"</f>
        <v>1時</v>
      </c>
      <c r="D4" s="10">
        <v>45689</v>
      </c>
      <c r="E4">
        <v>0</v>
      </c>
      <c r="F4">
        <v>1.04</v>
      </c>
      <c r="G4">
        <v>0</v>
      </c>
      <c r="H4">
        <v>1.08</v>
      </c>
    </row>
    <row r="5" spans="1:10" x14ac:dyDescent="0.55000000000000004">
      <c r="A5" s="11" t="str">
        <f t="shared" si="0"/>
        <v>2月</v>
      </c>
      <c r="B5" s="11" t="str">
        <f t="shared" si="1"/>
        <v>2月1日</v>
      </c>
      <c r="C5" s="11" t="str">
        <f t="shared" si="2"/>
        <v>2時</v>
      </c>
      <c r="D5" s="10">
        <v>45689.041666666664</v>
      </c>
      <c r="E5">
        <v>0</v>
      </c>
      <c r="F5">
        <v>1.03</v>
      </c>
      <c r="G5">
        <v>0</v>
      </c>
      <c r="H5">
        <v>1.07</v>
      </c>
    </row>
    <row r="6" spans="1:10" x14ac:dyDescent="0.55000000000000004">
      <c r="A6" s="11" t="str">
        <f t="shared" si="0"/>
        <v>2月</v>
      </c>
      <c r="B6" s="11" t="str">
        <f t="shared" si="1"/>
        <v>2月1日</v>
      </c>
      <c r="C6" s="11" t="str">
        <f t="shared" si="2"/>
        <v>3時</v>
      </c>
      <c r="D6" s="10">
        <v>45689.083333333336</v>
      </c>
      <c r="E6">
        <v>0</v>
      </c>
      <c r="F6">
        <v>0.96</v>
      </c>
      <c r="G6">
        <v>0</v>
      </c>
      <c r="H6">
        <v>1</v>
      </c>
    </row>
    <row r="7" spans="1:10" x14ac:dyDescent="0.55000000000000004">
      <c r="A7" s="11" t="str">
        <f t="shared" si="0"/>
        <v>2月</v>
      </c>
      <c r="B7" s="11" t="str">
        <f t="shared" si="1"/>
        <v>2月1日</v>
      </c>
      <c r="C7" s="11" t="str">
        <f t="shared" si="2"/>
        <v>4時</v>
      </c>
      <c r="D7" s="10">
        <v>45689.125</v>
      </c>
      <c r="E7">
        <v>0</v>
      </c>
      <c r="F7">
        <v>1</v>
      </c>
      <c r="G7">
        <v>0</v>
      </c>
      <c r="H7">
        <v>1.04</v>
      </c>
    </row>
    <row r="8" spans="1:10" x14ac:dyDescent="0.55000000000000004">
      <c r="A8" s="11" t="str">
        <f t="shared" si="0"/>
        <v>2月</v>
      </c>
      <c r="B8" s="11" t="str">
        <f t="shared" si="1"/>
        <v>2月1日</v>
      </c>
      <c r="C8" s="11" t="str">
        <f t="shared" si="2"/>
        <v>5時</v>
      </c>
      <c r="D8" s="10">
        <v>45689.166666666664</v>
      </c>
      <c r="E8">
        <v>0</v>
      </c>
      <c r="F8">
        <v>1.1100000000000001</v>
      </c>
      <c r="G8">
        <v>0</v>
      </c>
      <c r="H8">
        <v>1.1399999999999999</v>
      </c>
    </row>
    <row r="9" spans="1:10" x14ac:dyDescent="0.55000000000000004">
      <c r="A9" s="11" t="str">
        <f t="shared" si="0"/>
        <v>2月</v>
      </c>
      <c r="B9" s="11" t="str">
        <f t="shared" si="1"/>
        <v>2月1日</v>
      </c>
      <c r="C9" s="11" t="str">
        <f t="shared" si="2"/>
        <v>6時</v>
      </c>
      <c r="D9" s="10">
        <v>45689.208333333336</v>
      </c>
      <c r="E9">
        <v>0</v>
      </c>
      <c r="F9">
        <v>1.0900000000000001</v>
      </c>
      <c r="G9">
        <v>0</v>
      </c>
      <c r="H9">
        <v>1.1299999999999999</v>
      </c>
    </row>
    <row r="10" spans="1:10" x14ac:dyDescent="0.55000000000000004">
      <c r="A10" s="11" t="str">
        <f t="shared" si="0"/>
        <v>2月</v>
      </c>
      <c r="B10" s="11" t="str">
        <f t="shared" si="1"/>
        <v>2月1日</v>
      </c>
      <c r="C10" s="11" t="str">
        <f t="shared" si="2"/>
        <v>7時</v>
      </c>
      <c r="D10" s="10">
        <v>45689.25</v>
      </c>
      <c r="E10">
        <v>0</v>
      </c>
      <c r="F10">
        <v>1.8</v>
      </c>
      <c r="G10">
        <v>0</v>
      </c>
      <c r="H10">
        <v>1.84</v>
      </c>
    </row>
    <row r="11" spans="1:10" x14ac:dyDescent="0.55000000000000004">
      <c r="A11" s="11" t="str">
        <f t="shared" si="0"/>
        <v>2月</v>
      </c>
      <c r="B11" s="11" t="str">
        <f t="shared" si="1"/>
        <v>2月1日</v>
      </c>
      <c r="C11" s="11" t="str">
        <f t="shared" si="2"/>
        <v>8時</v>
      </c>
      <c r="D11" s="10">
        <v>45689.291666666664</v>
      </c>
      <c r="E11">
        <v>0</v>
      </c>
      <c r="F11">
        <v>1.61</v>
      </c>
      <c r="G11">
        <v>0</v>
      </c>
      <c r="H11">
        <v>1.64</v>
      </c>
    </row>
    <row r="12" spans="1:10" x14ac:dyDescent="0.55000000000000004">
      <c r="A12" s="11" t="str">
        <f t="shared" si="0"/>
        <v>2月</v>
      </c>
      <c r="B12" s="11" t="str">
        <f t="shared" si="1"/>
        <v>2月1日</v>
      </c>
      <c r="C12" s="11" t="str">
        <f t="shared" si="2"/>
        <v>9時</v>
      </c>
      <c r="D12" s="10">
        <v>45689.333333333336</v>
      </c>
      <c r="E12">
        <v>0</v>
      </c>
      <c r="F12">
        <v>0.96</v>
      </c>
      <c r="G12">
        <v>0</v>
      </c>
      <c r="H12">
        <v>0.97</v>
      </c>
    </row>
    <row r="13" spans="1:10" x14ac:dyDescent="0.55000000000000004">
      <c r="A13" s="11" t="str">
        <f t="shared" si="0"/>
        <v>2月</v>
      </c>
      <c r="B13" s="11" t="str">
        <f t="shared" si="1"/>
        <v>2月1日</v>
      </c>
      <c r="C13" s="11" t="str">
        <f t="shared" si="2"/>
        <v>10時</v>
      </c>
      <c r="D13" s="10">
        <v>45689.375</v>
      </c>
      <c r="E13">
        <v>0.01</v>
      </c>
      <c r="F13">
        <v>0.75</v>
      </c>
      <c r="G13">
        <v>0</v>
      </c>
      <c r="H13">
        <v>0.75</v>
      </c>
    </row>
    <row r="14" spans="1:10" x14ac:dyDescent="0.55000000000000004">
      <c r="A14" s="11" t="str">
        <f t="shared" si="0"/>
        <v>2月</v>
      </c>
      <c r="B14" s="11" t="str">
        <f t="shared" si="1"/>
        <v>2月1日</v>
      </c>
      <c r="C14" s="11" t="str">
        <f t="shared" si="2"/>
        <v>11時</v>
      </c>
      <c r="D14" s="10">
        <v>45689.416666666664</v>
      </c>
      <c r="E14">
        <v>0.04</v>
      </c>
      <c r="F14">
        <v>0.93</v>
      </c>
      <c r="G14">
        <v>0</v>
      </c>
      <c r="H14">
        <v>0.9</v>
      </c>
    </row>
    <row r="15" spans="1:10" x14ac:dyDescent="0.55000000000000004">
      <c r="A15" s="11" t="str">
        <f t="shared" si="0"/>
        <v>2月</v>
      </c>
      <c r="B15" s="11" t="str">
        <f t="shared" si="1"/>
        <v>2月1日</v>
      </c>
      <c r="C15" s="11" t="str">
        <f t="shared" si="2"/>
        <v>12時</v>
      </c>
      <c r="D15" s="10">
        <v>45689.458333333336</v>
      </c>
      <c r="E15">
        <v>0.13</v>
      </c>
      <c r="F15">
        <v>2.09</v>
      </c>
      <c r="G15">
        <v>0</v>
      </c>
      <c r="H15">
        <v>1.97</v>
      </c>
    </row>
    <row r="16" spans="1:10" x14ac:dyDescent="0.55000000000000004">
      <c r="A16" s="11" t="str">
        <f t="shared" si="0"/>
        <v>2月</v>
      </c>
      <c r="B16" s="11" t="str">
        <f t="shared" si="1"/>
        <v>2月1日</v>
      </c>
      <c r="C16" s="11" t="str">
        <f t="shared" si="2"/>
        <v>13時</v>
      </c>
      <c r="D16" s="10">
        <v>45689.5</v>
      </c>
      <c r="E16">
        <v>0.08</v>
      </c>
      <c r="F16">
        <v>1.81</v>
      </c>
      <c r="G16">
        <v>0</v>
      </c>
      <c r="H16">
        <v>1.73</v>
      </c>
    </row>
    <row r="17" spans="1:8" x14ac:dyDescent="0.55000000000000004">
      <c r="A17" s="11" t="str">
        <f t="shared" si="0"/>
        <v>2月</v>
      </c>
      <c r="B17" s="11" t="str">
        <f t="shared" si="1"/>
        <v>2月1日</v>
      </c>
      <c r="C17" s="11" t="str">
        <f t="shared" si="2"/>
        <v>14時</v>
      </c>
      <c r="D17" s="10">
        <v>45689.541666666664</v>
      </c>
      <c r="E17">
        <v>0.08</v>
      </c>
      <c r="F17">
        <v>1.06</v>
      </c>
      <c r="G17">
        <v>0</v>
      </c>
      <c r="H17">
        <v>0.99</v>
      </c>
    </row>
    <row r="18" spans="1:8" x14ac:dyDescent="0.55000000000000004">
      <c r="A18" s="11" t="str">
        <f t="shared" si="0"/>
        <v>2月</v>
      </c>
      <c r="B18" s="11" t="str">
        <f t="shared" si="1"/>
        <v>2月1日</v>
      </c>
      <c r="C18" s="11" t="str">
        <f t="shared" si="2"/>
        <v>15時</v>
      </c>
      <c r="D18" s="10">
        <v>45689.583333333336</v>
      </c>
      <c r="E18">
        <v>0.08</v>
      </c>
      <c r="F18">
        <v>1.17</v>
      </c>
      <c r="G18">
        <v>0</v>
      </c>
      <c r="H18">
        <v>1.1100000000000001</v>
      </c>
    </row>
    <row r="19" spans="1:8" x14ac:dyDescent="0.55000000000000004">
      <c r="A19" s="11" t="str">
        <f t="shared" si="0"/>
        <v>2月</v>
      </c>
      <c r="B19" s="11" t="str">
        <f t="shared" si="1"/>
        <v>2月1日</v>
      </c>
      <c r="C19" s="11" t="str">
        <f t="shared" si="2"/>
        <v>16時</v>
      </c>
      <c r="D19" s="10">
        <v>45689.625</v>
      </c>
      <c r="E19">
        <v>0.01</v>
      </c>
      <c r="F19">
        <v>3.01</v>
      </c>
      <c r="G19">
        <v>0</v>
      </c>
      <c r="H19">
        <v>3.01</v>
      </c>
    </row>
    <row r="20" spans="1:8" x14ac:dyDescent="0.55000000000000004">
      <c r="A20" s="11" t="str">
        <f t="shared" si="0"/>
        <v>2月</v>
      </c>
      <c r="B20" s="11" t="str">
        <f t="shared" si="1"/>
        <v>2月1日</v>
      </c>
      <c r="C20" s="11" t="str">
        <f t="shared" si="2"/>
        <v>17時</v>
      </c>
      <c r="D20" s="10">
        <v>45689.666666666664</v>
      </c>
      <c r="E20">
        <v>0</v>
      </c>
      <c r="F20">
        <v>2.96</v>
      </c>
      <c r="G20">
        <v>0</v>
      </c>
      <c r="H20">
        <v>2.99</v>
      </c>
    </row>
    <row r="21" spans="1:8" x14ac:dyDescent="0.55000000000000004">
      <c r="A21" s="11" t="str">
        <f t="shared" si="0"/>
        <v>2月</v>
      </c>
      <c r="B21" s="11" t="str">
        <f t="shared" si="1"/>
        <v>2月1日</v>
      </c>
      <c r="C21" s="11" t="str">
        <f t="shared" si="2"/>
        <v>18時</v>
      </c>
      <c r="D21" s="10">
        <v>45689.708333333336</v>
      </c>
      <c r="E21">
        <v>0</v>
      </c>
      <c r="F21">
        <v>3.26</v>
      </c>
      <c r="G21">
        <v>0</v>
      </c>
      <c r="H21">
        <v>3.3</v>
      </c>
    </row>
    <row r="22" spans="1:8" x14ac:dyDescent="0.55000000000000004">
      <c r="A22" s="11" t="str">
        <f t="shared" si="0"/>
        <v>2月</v>
      </c>
      <c r="B22" s="11" t="str">
        <f t="shared" si="1"/>
        <v>2月1日</v>
      </c>
      <c r="C22" s="11" t="str">
        <f t="shared" si="2"/>
        <v>19時</v>
      </c>
      <c r="D22" s="10">
        <v>45689.75</v>
      </c>
      <c r="E22">
        <v>0</v>
      </c>
      <c r="F22">
        <v>3.35</v>
      </c>
      <c r="G22">
        <v>0</v>
      </c>
      <c r="H22">
        <v>3.39</v>
      </c>
    </row>
    <row r="23" spans="1:8" x14ac:dyDescent="0.55000000000000004">
      <c r="A23" s="11" t="str">
        <f t="shared" si="0"/>
        <v>2月</v>
      </c>
      <c r="B23" s="11" t="str">
        <f t="shared" si="1"/>
        <v>2月1日</v>
      </c>
      <c r="C23" s="11" t="str">
        <f t="shared" si="2"/>
        <v>20時</v>
      </c>
      <c r="D23" s="10">
        <v>45689.791666666664</v>
      </c>
      <c r="E23">
        <v>0</v>
      </c>
      <c r="F23">
        <v>2.52</v>
      </c>
      <c r="G23">
        <v>0</v>
      </c>
      <c r="H23">
        <v>2.56</v>
      </c>
    </row>
    <row r="24" spans="1:8" x14ac:dyDescent="0.55000000000000004">
      <c r="A24" s="11" t="str">
        <f t="shared" si="0"/>
        <v>2月</v>
      </c>
      <c r="B24" s="11" t="str">
        <f t="shared" si="1"/>
        <v>2月1日</v>
      </c>
      <c r="C24" s="11" t="str">
        <f t="shared" si="2"/>
        <v>21時</v>
      </c>
      <c r="D24" s="10">
        <v>45689.833333333336</v>
      </c>
      <c r="E24">
        <v>0</v>
      </c>
      <c r="F24">
        <v>1.1200000000000001</v>
      </c>
      <c r="G24">
        <v>0</v>
      </c>
      <c r="H24">
        <v>1.1599999999999999</v>
      </c>
    </row>
    <row r="25" spans="1:8" x14ac:dyDescent="0.55000000000000004">
      <c r="A25" s="11" t="str">
        <f t="shared" si="0"/>
        <v>2月</v>
      </c>
      <c r="B25" s="11" t="str">
        <f t="shared" si="1"/>
        <v>2月1日</v>
      </c>
      <c r="C25" s="11" t="str">
        <f t="shared" si="2"/>
        <v>22時</v>
      </c>
      <c r="D25" s="10">
        <v>45689.875</v>
      </c>
      <c r="E25">
        <v>0</v>
      </c>
      <c r="F25">
        <v>1.07</v>
      </c>
      <c r="G25">
        <v>0</v>
      </c>
      <c r="H25">
        <v>1.1100000000000001</v>
      </c>
    </row>
    <row r="26" spans="1:8" x14ac:dyDescent="0.55000000000000004">
      <c r="A26" s="11" t="str">
        <f t="shared" si="0"/>
        <v>2月</v>
      </c>
      <c r="B26" s="11" t="str">
        <f t="shared" si="1"/>
        <v>2月1日</v>
      </c>
      <c r="C26" s="11" t="str">
        <f t="shared" si="2"/>
        <v>23時</v>
      </c>
      <c r="D26" s="10">
        <v>45689.916666666664</v>
      </c>
      <c r="E26">
        <v>0</v>
      </c>
      <c r="F26">
        <v>1.01</v>
      </c>
      <c r="G26">
        <v>0</v>
      </c>
      <c r="H26">
        <v>1.05</v>
      </c>
    </row>
    <row r="27" spans="1:8" x14ac:dyDescent="0.55000000000000004">
      <c r="A27" s="11" t="str">
        <f t="shared" si="0"/>
        <v>2月</v>
      </c>
      <c r="B27" s="11" t="str">
        <f t="shared" si="1"/>
        <v>2月1日</v>
      </c>
      <c r="C27" s="11" t="str">
        <f t="shared" si="2"/>
        <v>24時</v>
      </c>
      <c r="D27" s="10">
        <v>45689.958333333336</v>
      </c>
      <c r="E27">
        <v>0</v>
      </c>
      <c r="F27">
        <v>1.1299999999999999</v>
      </c>
      <c r="G27">
        <v>0</v>
      </c>
      <c r="H27">
        <v>1.1599999999999999</v>
      </c>
    </row>
    <row r="28" spans="1:8" x14ac:dyDescent="0.55000000000000004">
      <c r="A28" s="11" t="str">
        <f t="shared" si="0"/>
        <v>2月</v>
      </c>
      <c r="B28" s="11" t="str">
        <f t="shared" si="1"/>
        <v>2月2日</v>
      </c>
      <c r="C28" s="11" t="str">
        <f t="shared" si="2"/>
        <v>1時</v>
      </c>
      <c r="D28" s="10">
        <v>45690</v>
      </c>
      <c r="E28">
        <v>0</v>
      </c>
      <c r="F28">
        <v>1.03</v>
      </c>
      <c r="G28">
        <v>0</v>
      </c>
      <c r="H28">
        <v>1.07</v>
      </c>
    </row>
    <row r="29" spans="1:8" x14ac:dyDescent="0.55000000000000004">
      <c r="A29" s="11" t="str">
        <f t="shared" si="0"/>
        <v>2月</v>
      </c>
      <c r="B29" s="11" t="str">
        <f t="shared" si="1"/>
        <v>2月2日</v>
      </c>
      <c r="C29" s="11" t="str">
        <f t="shared" si="2"/>
        <v>2時</v>
      </c>
      <c r="D29" s="10">
        <v>45690.041666666664</v>
      </c>
      <c r="E29">
        <v>0</v>
      </c>
      <c r="F29">
        <v>0.91</v>
      </c>
      <c r="G29">
        <v>0</v>
      </c>
      <c r="H29">
        <v>0.94</v>
      </c>
    </row>
    <row r="30" spans="1:8" x14ac:dyDescent="0.55000000000000004">
      <c r="A30" s="11" t="str">
        <f t="shared" si="0"/>
        <v>2月</v>
      </c>
      <c r="B30" s="11" t="str">
        <f t="shared" si="1"/>
        <v>2月2日</v>
      </c>
      <c r="C30" s="11" t="str">
        <f t="shared" si="2"/>
        <v>3時</v>
      </c>
      <c r="D30" s="10">
        <v>45690.083333333336</v>
      </c>
      <c r="E30">
        <v>0</v>
      </c>
      <c r="F30">
        <v>1.04</v>
      </c>
      <c r="G30">
        <v>0</v>
      </c>
      <c r="H30">
        <v>1.08</v>
      </c>
    </row>
    <row r="31" spans="1:8" x14ac:dyDescent="0.55000000000000004">
      <c r="A31" s="11" t="str">
        <f t="shared" si="0"/>
        <v>2月</v>
      </c>
      <c r="B31" s="11" t="str">
        <f t="shared" si="1"/>
        <v>2月2日</v>
      </c>
      <c r="C31" s="11" t="str">
        <f t="shared" si="2"/>
        <v>4時</v>
      </c>
      <c r="D31" s="10">
        <v>45690.125</v>
      </c>
      <c r="E31">
        <v>0</v>
      </c>
      <c r="F31">
        <v>1.33</v>
      </c>
      <c r="G31">
        <v>0</v>
      </c>
      <c r="H31">
        <v>1.37</v>
      </c>
    </row>
    <row r="32" spans="1:8" x14ac:dyDescent="0.55000000000000004">
      <c r="A32" s="11" t="str">
        <f t="shared" si="0"/>
        <v>2月</v>
      </c>
      <c r="B32" s="11" t="str">
        <f t="shared" si="1"/>
        <v>2月2日</v>
      </c>
      <c r="C32" s="11" t="str">
        <f t="shared" si="2"/>
        <v>5時</v>
      </c>
      <c r="D32" s="10">
        <v>45690.166666666664</v>
      </c>
      <c r="E32">
        <v>0</v>
      </c>
      <c r="F32">
        <v>1.24</v>
      </c>
      <c r="G32">
        <v>0</v>
      </c>
      <c r="H32">
        <v>1.28</v>
      </c>
    </row>
    <row r="33" spans="1:8" x14ac:dyDescent="0.55000000000000004">
      <c r="A33" s="11" t="str">
        <f t="shared" si="0"/>
        <v>2月</v>
      </c>
      <c r="B33" s="11" t="str">
        <f t="shared" si="1"/>
        <v>2月2日</v>
      </c>
      <c r="C33" s="11" t="str">
        <f t="shared" si="2"/>
        <v>6時</v>
      </c>
      <c r="D33" s="10">
        <v>45690.208333333336</v>
      </c>
      <c r="E33">
        <v>0</v>
      </c>
      <c r="F33">
        <v>1.1100000000000001</v>
      </c>
      <c r="G33">
        <v>0</v>
      </c>
      <c r="H33">
        <v>1.1499999999999999</v>
      </c>
    </row>
    <row r="34" spans="1:8" x14ac:dyDescent="0.55000000000000004">
      <c r="A34" s="11" t="str">
        <f t="shared" si="0"/>
        <v>2月</v>
      </c>
      <c r="B34" s="11" t="str">
        <f t="shared" si="1"/>
        <v>2月2日</v>
      </c>
      <c r="C34" s="11" t="str">
        <f t="shared" si="2"/>
        <v>7時</v>
      </c>
      <c r="D34" s="10">
        <v>45690.25</v>
      </c>
      <c r="E34">
        <v>0</v>
      </c>
      <c r="F34">
        <v>1.2</v>
      </c>
      <c r="G34">
        <v>0</v>
      </c>
      <c r="H34">
        <v>1.24</v>
      </c>
    </row>
    <row r="35" spans="1:8" x14ac:dyDescent="0.55000000000000004">
      <c r="A35" s="11" t="str">
        <f t="shared" si="0"/>
        <v>2月</v>
      </c>
      <c r="B35" s="11" t="str">
        <f t="shared" si="1"/>
        <v>2月2日</v>
      </c>
      <c r="C35" s="11" t="str">
        <f t="shared" si="2"/>
        <v>8時</v>
      </c>
      <c r="D35" s="10">
        <v>45690.291666666664</v>
      </c>
      <c r="E35">
        <v>0</v>
      </c>
      <c r="F35">
        <v>1.1399999999999999</v>
      </c>
      <c r="G35">
        <v>0</v>
      </c>
      <c r="H35">
        <v>1.1499999999999999</v>
      </c>
    </row>
    <row r="36" spans="1:8" x14ac:dyDescent="0.55000000000000004">
      <c r="A36" s="11" t="str">
        <f t="shared" si="0"/>
        <v>2月</v>
      </c>
      <c r="B36" s="11" t="str">
        <f t="shared" si="1"/>
        <v>2月2日</v>
      </c>
      <c r="C36" s="11" t="str">
        <f t="shared" si="2"/>
        <v>9時</v>
      </c>
      <c r="D36" s="10">
        <v>45690.333333333336</v>
      </c>
      <c r="E36">
        <v>0.06</v>
      </c>
      <c r="F36">
        <v>1</v>
      </c>
      <c r="G36">
        <v>0</v>
      </c>
      <c r="H36">
        <v>0.95</v>
      </c>
    </row>
    <row r="37" spans="1:8" x14ac:dyDescent="0.55000000000000004">
      <c r="A37" s="11" t="str">
        <f t="shared" si="0"/>
        <v>2月</v>
      </c>
      <c r="B37" s="11" t="str">
        <f t="shared" si="1"/>
        <v>2月2日</v>
      </c>
      <c r="C37" s="11" t="str">
        <f t="shared" si="2"/>
        <v>10時</v>
      </c>
      <c r="D37" s="10">
        <v>45690.375</v>
      </c>
      <c r="E37">
        <v>0.15</v>
      </c>
      <c r="F37">
        <v>1.48</v>
      </c>
      <c r="G37">
        <v>0</v>
      </c>
      <c r="H37">
        <v>1.34</v>
      </c>
    </row>
    <row r="38" spans="1:8" x14ac:dyDescent="0.55000000000000004">
      <c r="A38" s="11" t="str">
        <f t="shared" si="0"/>
        <v>2月</v>
      </c>
      <c r="B38" s="11" t="str">
        <f t="shared" si="1"/>
        <v>2月2日</v>
      </c>
      <c r="C38" s="11" t="str">
        <f t="shared" si="2"/>
        <v>11時</v>
      </c>
      <c r="D38" s="10">
        <v>45690.416666666664</v>
      </c>
      <c r="E38">
        <v>0.22</v>
      </c>
      <c r="F38">
        <v>1.31</v>
      </c>
      <c r="G38">
        <v>0</v>
      </c>
      <c r="H38">
        <v>1.1000000000000001</v>
      </c>
    </row>
    <row r="39" spans="1:8" x14ac:dyDescent="0.55000000000000004">
      <c r="A39" s="11" t="str">
        <f t="shared" si="0"/>
        <v>2月</v>
      </c>
      <c r="B39" s="11" t="str">
        <f t="shared" si="1"/>
        <v>2月2日</v>
      </c>
      <c r="C39" s="11" t="str">
        <f t="shared" si="2"/>
        <v>12時</v>
      </c>
      <c r="D39" s="10">
        <v>45690.458333333336</v>
      </c>
      <c r="E39">
        <v>0.25</v>
      </c>
      <c r="F39">
        <v>0.96</v>
      </c>
      <c r="G39">
        <v>0</v>
      </c>
      <c r="H39">
        <v>0.72</v>
      </c>
    </row>
    <row r="40" spans="1:8" x14ac:dyDescent="0.55000000000000004">
      <c r="A40" s="11" t="str">
        <f t="shared" si="0"/>
        <v>2月</v>
      </c>
      <c r="B40" s="11" t="str">
        <f t="shared" si="1"/>
        <v>2月2日</v>
      </c>
      <c r="C40" s="11" t="str">
        <f t="shared" si="2"/>
        <v>13時</v>
      </c>
      <c r="D40" s="10">
        <v>45690.5</v>
      </c>
      <c r="E40">
        <v>0.27</v>
      </c>
      <c r="F40">
        <v>0.74</v>
      </c>
      <c r="G40">
        <v>0</v>
      </c>
      <c r="H40">
        <v>0.49</v>
      </c>
    </row>
    <row r="41" spans="1:8" x14ac:dyDescent="0.55000000000000004">
      <c r="A41" s="11" t="str">
        <f t="shared" si="0"/>
        <v>2月</v>
      </c>
      <c r="B41" s="11" t="str">
        <f t="shared" si="1"/>
        <v>2月2日</v>
      </c>
      <c r="C41" s="11" t="str">
        <f t="shared" si="2"/>
        <v>14時</v>
      </c>
      <c r="D41" s="10">
        <v>45690.541666666664</v>
      </c>
      <c r="E41">
        <v>0.31</v>
      </c>
      <c r="F41">
        <v>0.69</v>
      </c>
      <c r="G41">
        <v>0</v>
      </c>
      <c r="H41">
        <v>0.39</v>
      </c>
    </row>
    <row r="42" spans="1:8" x14ac:dyDescent="0.55000000000000004">
      <c r="A42" s="11" t="str">
        <f t="shared" si="0"/>
        <v>2月</v>
      </c>
      <c r="B42" s="11" t="str">
        <f t="shared" si="1"/>
        <v>2月2日</v>
      </c>
      <c r="C42" s="11" t="str">
        <f t="shared" si="2"/>
        <v>15時</v>
      </c>
      <c r="D42" s="10">
        <v>45690.583333333336</v>
      </c>
      <c r="E42">
        <v>0.27</v>
      </c>
      <c r="F42">
        <v>0.64</v>
      </c>
      <c r="G42">
        <v>0</v>
      </c>
      <c r="H42">
        <v>0.39</v>
      </c>
    </row>
    <row r="43" spans="1:8" x14ac:dyDescent="0.55000000000000004">
      <c r="A43" s="11" t="str">
        <f t="shared" si="0"/>
        <v>2月</v>
      </c>
      <c r="B43" s="11" t="str">
        <f t="shared" si="1"/>
        <v>2月2日</v>
      </c>
      <c r="C43" s="11" t="str">
        <f t="shared" si="2"/>
        <v>16時</v>
      </c>
      <c r="D43" s="10">
        <v>45690.625</v>
      </c>
      <c r="E43">
        <v>0.13</v>
      </c>
      <c r="F43">
        <v>1.56</v>
      </c>
      <c r="G43">
        <v>0</v>
      </c>
      <c r="H43">
        <v>1.44</v>
      </c>
    </row>
    <row r="44" spans="1:8" x14ac:dyDescent="0.55000000000000004">
      <c r="A44" s="11" t="str">
        <f t="shared" si="0"/>
        <v>2月</v>
      </c>
      <c r="B44" s="11" t="str">
        <f t="shared" si="1"/>
        <v>2月2日</v>
      </c>
      <c r="C44" s="11" t="str">
        <f t="shared" si="2"/>
        <v>17時</v>
      </c>
      <c r="D44" s="10">
        <v>45690.666666666664</v>
      </c>
      <c r="E44">
        <v>0.01</v>
      </c>
      <c r="F44">
        <v>2.78</v>
      </c>
      <c r="G44">
        <v>0</v>
      </c>
      <c r="H44">
        <v>2.78</v>
      </c>
    </row>
    <row r="45" spans="1:8" x14ac:dyDescent="0.55000000000000004">
      <c r="A45" s="11" t="str">
        <f t="shared" si="0"/>
        <v>2月</v>
      </c>
      <c r="B45" s="11" t="str">
        <f t="shared" si="1"/>
        <v>2月2日</v>
      </c>
      <c r="C45" s="11" t="str">
        <f t="shared" si="2"/>
        <v>18時</v>
      </c>
      <c r="D45" s="10">
        <v>45690.708333333336</v>
      </c>
      <c r="E45">
        <v>0</v>
      </c>
      <c r="F45">
        <v>3.66</v>
      </c>
      <c r="G45">
        <v>0</v>
      </c>
      <c r="H45">
        <v>3.7</v>
      </c>
    </row>
    <row r="46" spans="1:8" x14ac:dyDescent="0.55000000000000004">
      <c r="A46" s="11" t="str">
        <f t="shared" si="0"/>
        <v>2月</v>
      </c>
      <c r="B46" s="11" t="str">
        <f t="shared" si="1"/>
        <v>2月2日</v>
      </c>
      <c r="C46" s="11" t="str">
        <f t="shared" si="2"/>
        <v>19時</v>
      </c>
      <c r="D46" s="10">
        <v>45690.75</v>
      </c>
      <c r="E46">
        <v>0</v>
      </c>
      <c r="F46">
        <v>3.43</v>
      </c>
      <c r="G46">
        <v>0</v>
      </c>
      <c r="H46">
        <v>3.47</v>
      </c>
    </row>
    <row r="47" spans="1:8" x14ac:dyDescent="0.55000000000000004">
      <c r="A47" s="11" t="str">
        <f t="shared" si="0"/>
        <v>2月</v>
      </c>
      <c r="B47" s="11" t="str">
        <f t="shared" si="1"/>
        <v>2月2日</v>
      </c>
      <c r="C47" s="11" t="str">
        <f t="shared" si="2"/>
        <v>20時</v>
      </c>
      <c r="D47" s="10">
        <v>45690.791666666664</v>
      </c>
      <c r="E47">
        <v>0</v>
      </c>
      <c r="F47">
        <v>3.14</v>
      </c>
      <c r="G47">
        <v>0</v>
      </c>
      <c r="H47">
        <v>3.18</v>
      </c>
    </row>
    <row r="48" spans="1:8" x14ac:dyDescent="0.55000000000000004">
      <c r="A48" s="11" t="str">
        <f t="shared" si="0"/>
        <v>2月</v>
      </c>
      <c r="B48" s="11" t="str">
        <f t="shared" si="1"/>
        <v>2月2日</v>
      </c>
      <c r="C48" s="11" t="str">
        <f t="shared" si="2"/>
        <v>21時</v>
      </c>
      <c r="D48" s="10">
        <v>45690.833333333336</v>
      </c>
      <c r="E48">
        <v>0</v>
      </c>
      <c r="F48">
        <v>1.3</v>
      </c>
      <c r="G48">
        <v>0</v>
      </c>
      <c r="H48">
        <v>1.34</v>
      </c>
    </row>
    <row r="49" spans="1:8" x14ac:dyDescent="0.55000000000000004">
      <c r="A49" s="11" t="str">
        <f t="shared" si="0"/>
        <v>2月</v>
      </c>
      <c r="B49" s="11" t="str">
        <f t="shared" si="1"/>
        <v>2月2日</v>
      </c>
      <c r="C49" s="11" t="str">
        <f t="shared" si="2"/>
        <v>22時</v>
      </c>
      <c r="D49" s="10">
        <v>45690.875</v>
      </c>
      <c r="E49">
        <v>0</v>
      </c>
      <c r="F49">
        <v>1.39</v>
      </c>
      <c r="G49">
        <v>0</v>
      </c>
      <c r="H49">
        <v>1.43</v>
      </c>
    </row>
    <row r="50" spans="1:8" x14ac:dyDescent="0.55000000000000004">
      <c r="A50" s="11" t="str">
        <f t="shared" si="0"/>
        <v>2月</v>
      </c>
      <c r="B50" s="11" t="str">
        <f t="shared" si="1"/>
        <v>2月2日</v>
      </c>
      <c r="C50" s="11" t="str">
        <f t="shared" si="2"/>
        <v>23時</v>
      </c>
      <c r="D50" s="10">
        <v>45690.916666666664</v>
      </c>
      <c r="E50">
        <v>0</v>
      </c>
      <c r="F50">
        <v>1.02</v>
      </c>
      <c r="G50">
        <v>0</v>
      </c>
      <c r="H50">
        <v>1.06</v>
      </c>
    </row>
    <row r="51" spans="1:8" x14ac:dyDescent="0.55000000000000004">
      <c r="A51" s="11" t="str">
        <f t="shared" si="0"/>
        <v>2月</v>
      </c>
      <c r="B51" s="11" t="str">
        <f t="shared" si="1"/>
        <v>2月2日</v>
      </c>
      <c r="C51" s="11" t="str">
        <f t="shared" si="2"/>
        <v>24時</v>
      </c>
      <c r="D51" s="10">
        <v>45690.958333333336</v>
      </c>
      <c r="E51">
        <v>0</v>
      </c>
      <c r="F51">
        <v>1.1599999999999999</v>
      </c>
      <c r="G51">
        <v>0</v>
      </c>
      <c r="H51">
        <v>1.2</v>
      </c>
    </row>
    <row r="52" spans="1:8" x14ac:dyDescent="0.55000000000000004">
      <c r="A52" s="11" t="str">
        <f t="shared" si="0"/>
        <v>2月</v>
      </c>
      <c r="B52" s="11" t="str">
        <f t="shared" si="1"/>
        <v>2月3日</v>
      </c>
      <c r="C52" s="11" t="str">
        <f t="shared" si="2"/>
        <v>1時</v>
      </c>
      <c r="D52" s="10">
        <v>45691</v>
      </c>
      <c r="E52">
        <v>0</v>
      </c>
      <c r="F52">
        <v>0.97</v>
      </c>
      <c r="G52">
        <v>0</v>
      </c>
      <c r="H52">
        <v>1.01</v>
      </c>
    </row>
    <row r="53" spans="1:8" x14ac:dyDescent="0.55000000000000004">
      <c r="A53" s="11" t="str">
        <f t="shared" si="0"/>
        <v>2月</v>
      </c>
      <c r="B53" s="11" t="str">
        <f t="shared" si="1"/>
        <v>2月3日</v>
      </c>
      <c r="C53" s="11" t="str">
        <f t="shared" si="2"/>
        <v>2時</v>
      </c>
      <c r="D53" s="10">
        <v>45691.041666666664</v>
      </c>
      <c r="E53">
        <v>0</v>
      </c>
      <c r="F53">
        <v>0.95</v>
      </c>
      <c r="G53">
        <v>0</v>
      </c>
      <c r="H53">
        <v>0.99</v>
      </c>
    </row>
    <row r="54" spans="1:8" x14ac:dyDescent="0.55000000000000004">
      <c r="A54" s="11" t="str">
        <f t="shared" si="0"/>
        <v>2月</v>
      </c>
      <c r="B54" s="11" t="str">
        <f t="shared" si="1"/>
        <v>2月3日</v>
      </c>
      <c r="C54" s="11" t="str">
        <f t="shared" si="2"/>
        <v>3時</v>
      </c>
      <c r="D54" s="10">
        <v>45691.083333333336</v>
      </c>
      <c r="E54">
        <v>0</v>
      </c>
      <c r="F54">
        <v>1.17</v>
      </c>
      <c r="G54">
        <v>0</v>
      </c>
      <c r="H54">
        <v>1.21</v>
      </c>
    </row>
    <row r="55" spans="1:8" x14ac:dyDescent="0.55000000000000004">
      <c r="A55" s="11" t="str">
        <f t="shared" si="0"/>
        <v>2月</v>
      </c>
      <c r="B55" s="11" t="str">
        <f t="shared" si="1"/>
        <v>2月3日</v>
      </c>
      <c r="C55" s="11" t="str">
        <f t="shared" si="2"/>
        <v>4時</v>
      </c>
      <c r="D55" s="10">
        <v>45691.125</v>
      </c>
      <c r="E55">
        <v>0</v>
      </c>
      <c r="F55">
        <v>0.97</v>
      </c>
      <c r="G55">
        <v>0</v>
      </c>
      <c r="H55">
        <v>1.01</v>
      </c>
    </row>
    <row r="56" spans="1:8" x14ac:dyDescent="0.55000000000000004">
      <c r="A56" s="11" t="str">
        <f t="shared" si="0"/>
        <v>2月</v>
      </c>
      <c r="B56" s="11" t="str">
        <f t="shared" si="1"/>
        <v>2月3日</v>
      </c>
      <c r="C56" s="11" t="str">
        <f t="shared" si="2"/>
        <v>5時</v>
      </c>
      <c r="D56" s="10">
        <v>45691.166666666664</v>
      </c>
      <c r="E56">
        <v>0</v>
      </c>
      <c r="F56">
        <v>1.29</v>
      </c>
      <c r="G56">
        <v>0</v>
      </c>
      <c r="H56">
        <v>1.33</v>
      </c>
    </row>
    <row r="57" spans="1:8" x14ac:dyDescent="0.55000000000000004">
      <c r="A57" s="11" t="str">
        <f t="shared" si="0"/>
        <v>2月</v>
      </c>
      <c r="B57" s="11" t="str">
        <f t="shared" si="1"/>
        <v>2月3日</v>
      </c>
      <c r="C57" s="11" t="str">
        <f t="shared" si="2"/>
        <v>6時</v>
      </c>
      <c r="D57" s="10">
        <v>45691.208333333336</v>
      </c>
      <c r="E57">
        <v>0</v>
      </c>
      <c r="F57">
        <v>1.08</v>
      </c>
      <c r="G57">
        <v>0</v>
      </c>
      <c r="H57">
        <v>1.1200000000000001</v>
      </c>
    </row>
    <row r="58" spans="1:8" x14ac:dyDescent="0.55000000000000004">
      <c r="A58" s="11" t="str">
        <f t="shared" si="0"/>
        <v>2月</v>
      </c>
      <c r="B58" s="11" t="str">
        <f t="shared" si="1"/>
        <v>2月3日</v>
      </c>
      <c r="C58" s="11" t="str">
        <f t="shared" si="2"/>
        <v>7時</v>
      </c>
      <c r="D58" s="10">
        <v>45691.25</v>
      </c>
      <c r="E58">
        <v>0</v>
      </c>
      <c r="F58">
        <v>1.1399999999999999</v>
      </c>
      <c r="G58">
        <v>0</v>
      </c>
      <c r="H58">
        <v>1.18</v>
      </c>
    </row>
    <row r="59" spans="1:8" x14ac:dyDescent="0.55000000000000004">
      <c r="A59" s="11" t="str">
        <f t="shared" si="0"/>
        <v>2月</v>
      </c>
      <c r="B59" s="11" t="str">
        <f t="shared" si="1"/>
        <v>2月3日</v>
      </c>
      <c r="C59" s="11" t="str">
        <f t="shared" si="2"/>
        <v>8時</v>
      </c>
      <c r="D59" s="10">
        <v>45691.291666666664</v>
      </c>
      <c r="E59">
        <v>0.02</v>
      </c>
      <c r="F59">
        <v>1.27</v>
      </c>
      <c r="G59">
        <v>0</v>
      </c>
      <c r="H59">
        <v>1.26</v>
      </c>
    </row>
    <row r="60" spans="1:8" x14ac:dyDescent="0.55000000000000004">
      <c r="A60" s="11" t="str">
        <f t="shared" si="0"/>
        <v>2月</v>
      </c>
      <c r="B60" s="11" t="str">
        <f t="shared" si="1"/>
        <v>2月3日</v>
      </c>
      <c r="C60" s="11" t="str">
        <f t="shared" si="2"/>
        <v>9時</v>
      </c>
      <c r="D60" s="10">
        <v>45691.333333333336</v>
      </c>
      <c r="E60">
        <v>0.11</v>
      </c>
      <c r="F60">
        <v>0.96</v>
      </c>
      <c r="G60">
        <v>0</v>
      </c>
      <c r="H60">
        <v>0.86</v>
      </c>
    </row>
    <row r="61" spans="1:8" x14ac:dyDescent="0.55000000000000004">
      <c r="A61" s="11" t="str">
        <f t="shared" si="0"/>
        <v>2月</v>
      </c>
      <c r="B61" s="11" t="str">
        <f t="shared" si="1"/>
        <v>2月3日</v>
      </c>
      <c r="C61" s="11" t="str">
        <f t="shared" si="2"/>
        <v>10時</v>
      </c>
      <c r="D61" s="10">
        <v>45691.375</v>
      </c>
      <c r="E61">
        <v>0.21</v>
      </c>
      <c r="F61">
        <v>0.98</v>
      </c>
      <c r="G61">
        <v>0</v>
      </c>
      <c r="H61">
        <v>0.78</v>
      </c>
    </row>
    <row r="62" spans="1:8" x14ac:dyDescent="0.55000000000000004">
      <c r="A62" s="11" t="str">
        <f t="shared" si="0"/>
        <v>2月</v>
      </c>
      <c r="B62" s="11" t="str">
        <f t="shared" si="1"/>
        <v>2月3日</v>
      </c>
      <c r="C62" s="11" t="str">
        <f t="shared" si="2"/>
        <v>11時</v>
      </c>
      <c r="D62" s="10">
        <v>45691.416666666664</v>
      </c>
      <c r="E62">
        <v>0.3</v>
      </c>
      <c r="F62">
        <v>1.1299999999999999</v>
      </c>
      <c r="G62">
        <v>0</v>
      </c>
      <c r="H62">
        <v>0.84</v>
      </c>
    </row>
    <row r="63" spans="1:8" x14ac:dyDescent="0.55000000000000004">
      <c r="A63" s="11" t="str">
        <f t="shared" si="0"/>
        <v>2月</v>
      </c>
      <c r="B63" s="11" t="str">
        <f t="shared" si="1"/>
        <v>2月3日</v>
      </c>
      <c r="C63" s="11" t="str">
        <f t="shared" si="2"/>
        <v>12時</v>
      </c>
      <c r="D63" s="10">
        <v>45691.458333333336</v>
      </c>
      <c r="E63">
        <v>0.15</v>
      </c>
      <c r="F63">
        <v>0.76</v>
      </c>
      <c r="G63">
        <v>0</v>
      </c>
      <c r="H63">
        <v>0.62</v>
      </c>
    </row>
    <row r="64" spans="1:8" x14ac:dyDescent="0.55000000000000004">
      <c r="A64" s="11" t="str">
        <f t="shared" si="0"/>
        <v>2月</v>
      </c>
      <c r="B64" s="11" t="str">
        <f t="shared" si="1"/>
        <v>2月3日</v>
      </c>
      <c r="C64" s="11" t="str">
        <f t="shared" si="2"/>
        <v>13時</v>
      </c>
      <c r="D64" s="10">
        <v>45691.5</v>
      </c>
      <c r="E64">
        <v>0.22</v>
      </c>
      <c r="F64">
        <v>0.87</v>
      </c>
      <c r="G64">
        <v>0</v>
      </c>
      <c r="H64">
        <v>0.66</v>
      </c>
    </row>
    <row r="65" spans="1:8" x14ac:dyDescent="0.55000000000000004">
      <c r="A65" s="11" t="str">
        <f t="shared" si="0"/>
        <v>2月</v>
      </c>
      <c r="B65" s="11" t="str">
        <f t="shared" si="1"/>
        <v>2月3日</v>
      </c>
      <c r="C65" s="11" t="str">
        <f t="shared" si="2"/>
        <v>14時</v>
      </c>
      <c r="D65" s="10">
        <v>45691.541666666664</v>
      </c>
      <c r="E65">
        <v>0.15</v>
      </c>
      <c r="F65">
        <v>0.73</v>
      </c>
      <c r="G65">
        <v>0</v>
      </c>
      <c r="H65">
        <v>0.59</v>
      </c>
    </row>
    <row r="66" spans="1:8" x14ac:dyDescent="0.55000000000000004">
      <c r="A66" s="11" t="str">
        <f t="shared" si="0"/>
        <v>2月</v>
      </c>
      <c r="B66" s="11" t="str">
        <f t="shared" si="1"/>
        <v>2月3日</v>
      </c>
      <c r="C66" s="11" t="str">
        <f t="shared" si="2"/>
        <v>15時</v>
      </c>
      <c r="D66" s="10">
        <v>45691.583333333336</v>
      </c>
      <c r="E66">
        <v>0.09</v>
      </c>
      <c r="F66">
        <v>0.86</v>
      </c>
      <c r="G66">
        <v>0</v>
      </c>
      <c r="H66">
        <v>0.77</v>
      </c>
    </row>
    <row r="67" spans="1:8" x14ac:dyDescent="0.55000000000000004">
      <c r="A67" s="11" t="str">
        <f t="shared" si="0"/>
        <v>2月</v>
      </c>
      <c r="B67" s="11" t="str">
        <f t="shared" si="1"/>
        <v>2月3日</v>
      </c>
      <c r="C67" s="11" t="str">
        <f t="shared" si="2"/>
        <v>16時</v>
      </c>
      <c r="D67" s="10">
        <v>45691.625</v>
      </c>
      <c r="E67">
        <v>0.03</v>
      </c>
      <c r="F67">
        <v>2.1</v>
      </c>
      <c r="G67">
        <v>0</v>
      </c>
      <c r="H67">
        <v>2.09</v>
      </c>
    </row>
    <row r="68" spans="1:8" x14ac:dyDescent="0.55000000000000004">
      <c r="A68" s="11" t="str">
        <f t="shared" ref="A68:A131" si="3">MONTH(D68)&amp;"月"</f>
        <v>2月</v>
      </c>
      <c r="B68" s="11" t="str">
        <f t="shared" ref="B68:B131" si="4">A68&amp;DAY(D68)&amp;"日"</f>
        <v>2月3日</v>
      </c>
      <c r="C68" s="11" t="str">
        <f t="shared" ref="C68:C131" si="5">HOUR(D68)+1&amp;"時"</f>
        <v>17時</v>
      </c>
      <c r="D68" s="10">
        <v>45691.666666666664</v>
      </c>
      <c r="E68">
        <v>0</v>
      </c>
      <c r="F68">
        <v>2.66</v>
      </c>
      <c r="G68">
        <v>0</v>
      </c>
      <c r="H68">
        <v>2.69</v>
      </c>
    </row>
    <row r="69" spans="1:8" x14ac:dyDescent="0.55000000000000004">
      <c r="A69" s="11" t="str">
        <f t="shared" si="3"/>
        <v>2月</v>
      </c>
      <c r="B69" s="11" t="str">
        <f t="shared" si="4"/>
        <v>2月3日</v>
      </c>
      <c r="C69" s="11" t="str">
        <f t="shared" si="5"/>
        <v>18時</v>
      </c>
      <c r="D69" s="10">
        <v>45691.708333333336</v>
      </c>
      <c r="E69">
        <v>0</v>
      </c>
      <c r="F69">
        <v>1.85</v>
      </c>
      <c r="G69">
        <v>0</v>
      </c>
      <c r="H69">
        <v>1.89</v>
      </c>
    </row>
    <row r="70" spans="1:8" x14ac:dyDescent="0.55000000000000004">
      <c r="A70" s="11" t="str">
        <f t="shared" si="3"/>
        <v>2月</v>
      </c>
      <c r="B70" s="11" t="str">
        <f t="shared" si="4"/>
        <v>2月3日</v>
      </c>
      <c r="C70" s="11" t="str">
        <f t="shared" si="5"/>
        <v>19時</v>
      </c>
      <c r="D70" s="10">
        <v>45691.75</v>
      </c>
      <c r="E70">
        <v>0</v>
      </c>
      <c r="F70">
        <v>1.3</v>
      </c>
      <c r="G70">
        <v>0</v>
      </c>
      <c r="H70">
        <v>1.34</v>
      </c>
    </row>
    <row r="71" spans="1:8" x14ac:dyDescent="0.55000000000000004">
      <c r="A71" s="11" t="str">
        <f t="shared" si="3"/>
        <v>2月</v>
      </c>
      <c r="B71" s="11" t="str">
        <f t="shared" si="4"/>
        <v>2月3日</v>
      </c>
      <c r="C71" s="11" t="str">
        <f t="shared" si="5"/>
        <v>20時</v>
      </c>
      <c r="D71" s="10">
        <v>45691.791666666664</v>
      </c>
      <c r="E71">
        <v>0</v>
      </c>
      <c r="F71">
        <v>1.32</v>
      </c>
      <c r="G71">
        <v>0</v>
      </c>
      <c r="H71">
        <v>1.36</v>
      </c>
    </row>
    <row r="72" spans="1:8" x14ac:dyDescent="0.55000000000000004">
      <c r="A72" s="11" t="str">
        <f t="shared" si="3"/>
        <v>2月</v>
      </c>
      <c r="B72" s="11" t="str">
        <f t="shared" si="4"/>
        <v>2月3日</v>
      </c>
      <c r="C72" s="11" t="str">
        <f t="shared" si="5"/>
        <v>21時</v>
      </c>
      <c r="D72" s="10">
        <v>45691.833333333336</v>
      </c>
      <c r="E72">
        <v>0</v>
      </c>
      <c r="F72">
        <v>1.18</v>
      </c>
      <c r="G72">
        <v>0</v>
      </c>
      <c r="H72">
        <v>1.22</v>
      </c>
    </row>
    <row r="73" spans="1:8" x14ac:dyDescent="0.55000000000000004">
      <c r="A73" s="11" t="str">
        <f t="shared" si="3"/>
        <v>2月</v>
      </c>
      <c r="B73" s="11" t="str">
        <f t="shared" si="4"/>
        <v>2月3日</v>
      </c>
      <c r="C73" s="11" t="str">
        <f t="shared" si="5"/>
        <v>22時</v>
      </c>
      <c r="D73" s="10">
        <v>45691.875</v>
      </c>
      <c r="E73">
        <v>0</v>
      </c>
      <c r="F73">
        <v>1.21</v>
      </c>
      <c r="G73">
        <v>0</v>
      </c>
      <c r="H73">
        <v>1.24</v>
      </c>
    </row>
    <row r="74" spans="1:8" x14ac:dyDescent="0.55000000000000004">
      <c r="A74" s="11" t="str">
        <f t="shared" si="3"/>
        <v>2月</v>
      </c>
      <c r="B74" s="11" t="str">
        <f t="shared" si="4"/>
        <v>2月3日</v>
      </c>
      <c r="C74" s="11" t="str">
        <f t="shared" si="5"/>
        <v>23時</v>
      </c>
      <c r="D74" s="10">
        <v>45691.916666666664</v>
      </c>
      <c r="E74">
        <v>0</v>
      </c>
      <c r="F74">
        <v>0.81</v>
      </c>
      <c r="G74">
        <v>0</v>
      </c>
      <c r="H74">
        <v>0.85</v>
      </c>
    </row>
    <row r="75" spans="1:8" x14ac:dyDescent="0.55000000000000004">
      <c r="A75" s="11" t="str">
        <f t="shared" si="3"/>
        <v>2月</v>
      </c>
      <c r="B75" s="11" t="str">
        <f t="shared" si="4"/>
        <v>2月3日</v>
      </c>
      <c r="C75" s="11" t="str">
        <f t="shared" si="5"/>
        <v>24時</v>
      </c>
      <c r="D75" s="10">
        <v>45691.958333333336</v>
      </c>
      <c r="E75">
        <v>0</v>
      </c>
      <c r="F75">
        <v>1.08</v>
      </c>
      <c r="G75">
        <v>0</v>
      </c>
      <c r="H75">
        <v>1.1200000000000001</v>
      </c>
    </row>
    <row r="76" spans="1:8" x14ac:dyDescent="0.55000000000000004">
      <c r="A76" s="11" t="str">
        <f t="shared" si="3"/>
        <v>2月</v>
      </c>
      <c r="B76" s="11" t="str">
        <f t="shared" si="4"/>
        <v>2月4日</v>
      </c>
      <c r="C76" s="11" t="str">
        <f t="shared" si="5"/>
        <v>1時</v>
      </c>
      <c r="D76" s="10">
        <v>45692</v>
      </c>
      <c r="E76">
        <v>0</v>
      </c>
      <c r="F76">
        <v>1.39</v>
      </c>
      <c r="G76">
        <v>0</v>
      </c>
      <c r="H76">
        <v>1.43</v>
      </c>
    </row>
    <row r="77" spans="1:8" x14ac:dyDescent="0.55000000000000004">
      <c r="A77" s="11" t="str">
        <f t="shared" si="3"/>
        <v>2月</v>
      </c>
      <c r="B77" s="11" t="str">
        <f t="shared" si="4"/>
        <v>2月4日</v>
      </c>
      <c r="C77" s="11" t="str">
        <f t="shared" si="5"/>
        <v>2時</v>
      </c>
      <c r="D77" s="10">
        <v>45692.041666666664</v>
      </c>
      <c r="E77">
        <v>0</v>
      </c>
      <c r="F77">
        <v>0.9</v>
      </c>
      <c r="G77">
        <v>0</v>
      </c>
      <c r="H77">
        <v>0.94</v>
      </c>
    </row>
    <row r="78" spans="1:8" x14ac:dyDescent="0.55000000000000004">
      <c r="A78" s="11" t="str">
        <f t="shared" si="3"/>
        <v>2月</v>
      </c>
      <c r="B78" s="11" t="str">
        <f t="shared" si="4"/>
        <v>2月4日</v>
      </c>
      <c r="C78" s="11" t="str">
        <f t="shared" si="5"/>
        <v>3時</v>
      </c>
      <c r="D78" s="10">
        <v>45692.083333333336</v>
      </c>
      <c r="E78">
        <v>0</v>
      </c>
      <c r="F78">
        <v>1.05</v>
      </c>
      <c r="G78">
        <v>0</v>
      </c>
      <c r="H78">
        <v>1.08</v>
      </c>
    </row>
    <row r="79" spans="1:8" x14ac:dyDescent="0.55000000000000004">
      <c r="A79" s="11" t="str">
        <f t="shared" si="3"/>
        <v>2月</v>
      </c>
      <c r="B79" s="11" t="str">
        <f t="shared" si="4"/>
        <v>2月4日</v>
      </c>
      <c r="C79" s="11" t="str">
        <f t="shared" si="5"/>
        <v>4時</v>
      </c>
      <c r="D79" s="10">
        <v>45692.125</v>
      </c>
      <c r="E79">
        <v>0</v>
      </c>
      <c r="F79">
        <v>0.76</v>
      </c>
      <c r="G79">
        <v>0</v>
      </c>
      <c r="H79">
        <v>0.8</v>
      </c>
    </row>
    <row r="80" spans="1:8" x14ac:dyDescent="0.55000000000000004">
      <c r="A80" s="11" t="str">
        <f t="shared" si="3"/>
        <v>2月</v>
      </c>
      <c r="B80" s="11" t="str">
        <f t="shared" si="4"/>
        <v>2月4日</v>
      </c>
      <c r="C80" s="11" t="str">
        <f t="shared" si="5"/>
        <v>5時</v>
      </c>
      <c r="D80" s="10">
        <v>45692.166666666664</v>
      </c>
      <c r="E80">
        <v>0</v>
      </c>
      <c r="F80">
        <v>1.1000000000000001</v>
      </c>
      <c r="G80">
        <v>0</v>
      </c>
      <c r="H80">
        <v>1.1399999999999999</v>
      </c>
    </row>
    <row r="81" spans="1:8" x14ac:dyDescent="0.55000000000000004">
      <c r="A81" s="11" t="str">
        <f t="shared" si="3"/>
        <v>2月</v>
      </c>
      <c r="B81" s="11" t="str">
        <f t="shared" si="4"/>
        <v>2月4日</v>
      </c>
      <c r="C81" s="11" t="str">
        <f t="shared" si="5"/>
        <v>6時</v>
      </c>
      <c r="D81" s="10">
        <v>45692.208333333336</v>
      </c>
      <c r="E81">
        <v>0</v>
      </c>
      <c r="F81">
        <v>0.91</v>
      </c>
      <c r="G81">
        <v>0</v>
      </c>
      <c r="H81">
        <v>0.95</v>
      </c>
    </row>
    <row r="82" spans="1:8" x14ac:dyDescent="0.55000000000000004">
      <c r="A82" s="11" t="str">
        <f t="shared" si="3"/>
        <v>2月</v>
      </c>
      <c r="B82" s="11" t="str">
        <f t="shared" si="4"/>
        <v>2月4日</v>
      </c>
      <c r="C82" s="11" t="str">
        <f t="shared" si="5"/>
        <v>7時</v>
      </c>
      <c r="D82" s="10">
        <v>45692.25</v>
      </c>
      <c r="E82">
        <v>0</v>
      </c>
      <c r="F82">
        <v>2.5099999999999998</v>
      </c>
      <c r="G82">
        <v>0</v>
      </c>
      <c r="H82">
        <v>2.5499999999999998</v>
      </c>
    </row>
    <row r="83" spans="1:8" x14ac:dyDescent="0.55000000000000004">
      <c r="A83" s="11" t="str">
        <f t="shared" si="3"/>
        <v>2月</v>
      </c>
      <c r="B83" s="11" t="str">
        <f t="shared" si="4"/>
        <v>2月4日</v>
      </c>
      <c r="C83" s="11" t="str">
        <f t="shared" si="5"/>
        <v>8時</v>
      </c>
      <c r="D83" s="10">
        <v>45692.291666666664</v>
      </c>
      <c r="E83">
        <v>0</v>
      </c>
      <c r="F83">
        <v>0.96</v>
      </c>
      <c r="G83">
        <v>0</v>
      </c>
      <c r="H83">
        <v>0.97</v>
      </c>
    </row>
    <row r="84" spans="1:8" x14ac:dyDescent="0.55000000000000004">
      <c r="A84" s="11" t="str">
        <f t="shared" si="3"/>
        <v>2月</v>
      </c>
      <c r="B84" s="11" t="str">
        <f t="shared" si="4"/>
        <v>2月4日</v>
      </c>
      <c r="C84" s="11" t="str">
        <f t="shared" si="5"/>
        <v>9時</v>
      </c>
      <c r="D84" s="10">
        <v>45692.333333333336</v>
      </c>
      <c r="E84">
        <v>0.11</v>
      </c>
      <c r="F84">
        <v>0.65</v>
      </c>
      <c r="G84">
        <v>0</v>
      </c>
      <c r="H84">
        <v>0.55000000000000004</v>
      </c>
    </row>
    <row r="85" spans="1:8" x14ac:dyDescent="0.55000000000000004">
      <c r="A85" s="11" t="str">
        <f t="shared" si="3"/>
        <v>2月</v>
      </c>
      <c r="B85" s="11" t="str">
        <f t="shared" si="4"/>
        <v>2月4日</v>
      </c>
      <c r="C85" s="11" t="str">
        <f t="shared" si="5"/>
        <v>10時</v>
      </c>
      <c r="D85" s="10">
        <v>45692.375</v>
      </c>
      <c r="E85">
        <v>0.19</v>
      </c>
      <c r="F85">
        <v>0.79</v>
      </c>
      <c r="G85">
        <v>0</v>
      </c>
      <c r="H85">
        <v>0.61</v>
      </c>
    </row>
    <row r="86" spans="1:8" x14ac:dyDescent="0.55000000000000004">
      <c r="A86" s="11" t="str">
        <f t="shared" si="3"/>
        <v>2月</v>
      </c>
      <c r="B86" s="11" t="str">
        <f t="shared" si="4"/>
        <v>2月4日</v>
      </c>
      <c r="C86" s="11" t="str">
        <f t="shared" si="5"/>
        <v>11時</v>
      </c>
      <c r="D86" s="10">
        <v>45692.416666666664</v>
      </c>
      <c r="E86">
        <v>0.36</v>
      </c>
      <c r="F86">
        <v>0.68</v>
      </c>
      <c r="G86">
        <v>0</v>
      </c>
      <c r="H86">
        <v>0.4</v>
      </c>
    </row>
    <row r="87" spans="1:8" x14ac:dyDescent="0.55000000000000004">
      <c r="A87" s="11" t="str">
        <f t="shared" si="3"/>
        <v>2月</v>
      </c>
      <c r="B87" s="11" t="str">
        <f t="shared" si="4"/>
        <v>2月4日</v>
      </c>
      <c r="C87" s="11" t="str">
        <f t="shared" si="5"/>
        <v>12時</v>
      </c>
      <c r="D87" s="10">
        <v>45692.458333333336</v>
      </c>
      <c r="E87">
        <v>0.44</v>
      </c>
      <c r="F87">
        <v>0.78</v>
      </c>
      <c r="G87">
        <v>0</v>
      </c>
      <c r="H87">
        <v>0.35</v>
      </c>
    </row>
    <row r="88" spans="1:8" x14ac:dyDescent="0.55000000000000004">
      <c r="A88" s="11" t="str">
        <f t="shared" si="3"/>
        <v>2月</v>
      </c>
      <c r="B88" s="11" t="str">
        <f t="shared" si="4"/>
        <v>2月4日</v>
      </c>
      <c r="C88" s="11" t="str">
        <f t="shared" si="5"/>
        <v>13時</v>
      </c>
      <c r="D88" s="10">
        <v>45692.5</v>
      </c>
      <c r="E88">
        <v>0.21</v>
      </c>
      <c r="F88">
        <v>1.58</v>
      </c>
      <c r="G88">
        <v>0</v>
      </c>
      <c r="H88">
        <v>1.37</v>
      </c>
    </row>
    <row r="89" spans="1:8" x14ac:dyDescent="0.55000000000000004">
      <c r="A89" s="11" t="str">
        <f t="shared" si="3"/>
        <v>2月</v>
      </c>
      <c r="B89" s="11" t="str">
        <f t="shared" si="4"/>
        <v>2月4日</v>
      </c>
      <c r="C89" s="11" t="str">
        <f t="shared" si="5"/>
        <v>14時</v>
      </c>
      <c r="D89" s="10">
        <v>45692.541666666664</v>
      </c>
      <c r="E89">
        <v>0.16</v>
      </c>
      <c r="F89">
        <v>0.89</v>
      </c>
      <c r="G89">
        <v>0</v>
      </c>
      <c r="H89">
        <v>0.72</v>
      </c>
    </row>
    <row r="90" spans="1:8" x14ac:dyDescent="0.55000000000000004">
      <c r="A90" s="11" t="str">
        <f t="shared" si="3"/>
        <v>2月</v>
      </c>
      <c r="B90" s="11" t="str">
        <f t="shared" si="4"/>
        <v>2月4日</v>
      </c>
      <c r="C90" s="11" t="str">
        <f t="shared" si="5"/>
        <v>15時</v>
      </c>
      <c r="D90" s="10">
        <v>45692.583333333336</v>
      </c>
      <c r="E90">
        <v>0.13</v>
      </c>
      <c r="F90">
        <v>0.9</v>
      </c>
      <c r="G90">
        <v>0</v>
      </c>
      <c r="H90">
        <v>0.77</v>
      </c>
    </row>
    <row r="91" spans="1:8" x14ac:dyDescent="0.55000000000000004">
      <c r="A91" s="11" t="str">
        <f t="shared" si="3"/>
        <v>2月</v>
      </c>
      <c r="B91" s="11" t="str">
        <f t="shared" si="4"/>
        <v>2月4日</v>
      </c>
      <c r="C91" s="11" t="str">
        <f t="shared" si="5"/>
        <v>16時</v>
      </c>
      <c r="D91" s="10">
        <v>45692.625</v>
      </c>
      <c r="E91">
        <v>0.06</v>
      </c>
      <c r="F91">
        <v>3</v>
      </c>
      <c r="G91">
        <v>0</v>
      </c>
      <c r="H91">
        <v>2.94</v>
      </c>
    </row>
    <row r="92" spans="1:8" x14ac:dyDescent="0.55000000000000004">
      <c r="A92" s="11" t="str">
        <f t="shared" si="3"/>
        <v>2月</v>
      </c>
      <c r="B92" s="11" t="str">
        <f t="shared" si="4"/>
        <v>2月4日</v>
      </c>
      <c r="C92" s="11" t="str">
        <f t="shared" si="5"/>
        <v>17時</v>
      </c>
      <c r="D92" s="10">
        <v>45692.666666666664</v>
      </c>
      <c r="E92">
        <v>0</v>
      </c>
      <c r="F92">
        <v>2.79</v>
      </c>
      <c r="G92">
        <v>0</v>
      </c>
      <c r="H92">
        <v>2.8</v>
      </c>
    </row>
    <row r="93" spans="1:8" x14ac:dyDescent="0.55000000000000004">
      <c r="A93" s="11" t="str">
        <f t="shared" si="3"/>
        <v>2月</v>
      </c>
      <c r="B93" s="11" t="str">
        <f t="shared" si="4"/>
        <v>2月4日</v>
      </c>
      <c r="C93" s="11" t="str">
        <f t="shared" si="5"/>
        <v>18時</v>
      </c>
      <c r="D93" s="10">
        <v>45692.708333333336</v>
      </c>
      <c r="E93">
        <v>0</v>
      </c>
      <c r="F93">
        <v>2.2000000000000002</v>
      </c>
      <c r="G93">
        <v>0</v>
      </c>
      <c r="H93">
        <v>2.23</v>
      </c>
    </row>
    <row r="94" spans="1:8" x14ac:dyDescent="0.55000000000000004">
      <c r="A94" s="11" t="str">
        <f t="shared" si="3"/>
        <v>2月</v>
      </c>
      <c r="B94" s="11" t="str">
        <f t="shared" si="4"/>
        <v>2月4日</v>
      </c>
      <c r="C94" s="11" t="str">
        <f t="shared" si="5"/>
        <v>19時</v>
      </c>
      <c r="D94" s="10">
        <v>45692.75</v>
      </c>
      <c r="E94">
        <v>0</v>
      </c>
      <c r="F94">
        <v>1.39</v>
      </c>
      <c r="G94">
        <v>0</v>
      </c>
      <c r="H94">
        <v>1.42</v>
      </c>
    </row>
    <row r="95" spans="1:8" x14ac:dyDescent="0.55000000000000004">
      <c r="A95" s="11" t="str">
        <f t="shared" si="3"/>
        <v>2月</v>
      </c>
      <c r="B95" s="11" t="str">
        <f t="shared" si="4"/>
        <v>2月4日</v>
      </c>
      <c r="C95" s="11" t="str">
        <f t="shared" si="5"/>
        <v>20時</v>
      </c>
      <c r="D95" s="10">
        <v>45692.791666666664</v>
      </c>
      <c r="E95">
        <v>0</v>
      </c>
      <c r="F95">
        <v>1.55</v>
      </c>
      <c r="G95">
        <v>0</v>
      </c>
      <c r="H95">
        <v>1.58</v>
      </c>
    </row>
    <row r="96" spans="1:8" x14ac:dyDescent="0.55000000000000004">
      <c r="A96" s="11" t="str">
        <f t="shared" si="3"/>
        <v>2月</v>
      </c>
      <c r="B96" s="11" t="str">
        <f t="shared" si="4"/>
        <v>2月4日</v>
      </c>
      <c r="C96" s="11" t="str">
        <f t="shared" si="5"/>
        <v>21時</v>
      </c>
      <c r="D96" s="10">
        <v>45692.833333333336</v>
      </c>
      <c r="E96">
        <v>0</v>
      </c>
      <c r="F96">
        <v>1.35</v>
      </c>
      <c r="G96">
        <v>0</v>
      </c>
      <c r="H96">
        <v>1.39</v>
      </c>
    </row>
    <row r="97" spans="1:8" x14ac:dyDescent="0.55000000000000004">
      <c r="A97" s="11" t="str">
        <f t="shared" si="3"/>
        <v>2月</v>
      </c>
      <c r="B97" s="11" t="str">
        <f t="shared" si="4"/>
        <v>2月4日</v>
      </c>
      <c r="C97" s="11" t="str">
        <f t="shared" si="5"/>
        <v>22時</v>
      </c>
      <c r="D97" s="10">
        <v>45692.875</v>
      </c>
      <c r="E97">
        <v>0</v>
      </c>
      <c r="F97">
        <v>1.69</v>
      </c>
      <c r="G97">
        <v>0</v>
      </c>
      <c r="H97">
        <v>1.73</v>
      </c>
    </row>
    <row r="98" spans="1:8" x14ac:dyDescent="0.55000000000000004">
      <c r="A98" s="11" t="str">
        <f t="shared" si="3"/>
        <v>2月</v>
      </c>
      <c r="B98" s="11" t="str">
        <f t="shared" si="4"/>
        <v>2月4日</v>
      </c>
      <c r="C98" s="11" t="str">
        <f t="shared" si="5"/>
        <v>23時</v>
      </c>
      <c r="D98" s="10">
        <v>45692.916666666664</v>
      </c>
      <c r="E98">
        <v>0</v>
      </c>
      <c r="F98">
        <v>1.46</v>
      </c>
      <c r="G98">
        <v>0</v>
      </c>
      <c r="H98">
        <v>1.5</v>
      </c>
    </row>
    <row r="99" spans="1:8" x14ac:dyDescent="0.55000000000000004">
      <c r="A99" s="11" t="str">
        <f t="shared" si="3"/>
        <v>2月</v>
      </c>
      <c r="B99" s="11" t="str">
        <f t="shared" si="4"/>
        <v>2月4日</v>
      </c>
      <c r="C99" s="11" t="str">
        <f t="shared" si="5"/>
        <v>24時</v>
      </c>
      <c r="D99" s="10">
        <v>45692.958333333336</v>
      </c>
      <c r="E99">
        <v>0</v>
      </c>
      <c r="F99">
        <v>1.08</v>
      </c>
      <c r="G99">
        <v>0</v>
      </c>
      <c r="H99">
        <v>1.1200000000000001</v>
      </c>
    </row>
    <row r="100" spans="1:8" x14ac:dyDescent="0.55000000000000004">
      <c r="A100" s="11" t="str">
        <f t="shared" si="3"/>
        <v>2月</v>
      </c>
      <c r="B100" s="11" t="str">
        <f t="shared" si="4"/>
        <v>2月5日</v>
      </c>
      <c r="C100" s="11" t="str">
        <f t="shared" si="5"/>
        <v>1時</v>
      </c>
      <c r="D100" s="10">
        <v>45693</v>
      </c>
      <c r="E100">
        <v>0</v>
      </c>
      <c r="F100">
        <v>2.21</v>
      </c>
      <c r="G100">
        <v>0</v>
      </c>
      <c r="H100">
        <v>2.25</v>
      </c>
    </row>
    <row r="101" spans="1:8" x14ac:dyDescent="0.55000000000000004">
      <c r="A101" s="11" t="str">
        <f t="shared" si="3"/>
        <v>2月</v>
      </c>
      <c r="B101" s="11" t="str">
        <f t="shared" si="4"/>
        <v>2月5日</v>
      </c>
      <c r="C101" s="11" t="str">
        <f t="shared" si="5"/>
        <v>2時</v>
      </c>
      <c r="D101" s="10">
        <v>45693.041666666664</v>
      </c>
      <c r="E101">
        <v>0</v>
      </c>
      <c r="F101">
        <v>1.1299999999999999</v>
      </c>
      <c r="G101">
        <v>0</v>
      </c>
      <c r="H101">
        <v>1.17</v>
      </c>
    </row>
    <row r="102" spans="1:8" x14ac:dyDescent="0.55000000000000004">
      <c r="A102" s="11" t="str">
        <f t="shared" si="3"/>
        <v>2月</v>
      </c>
      <c r="B102" s="11" t="str">
        <f t="shared" si="4"/>
        <v>2月5日</v>
      </c>
      <c r="C102" s="11" t="str">
        <f t="shared" si="5"/>
        <v>3時</v>
      </c>
      <c r="D102" s="10">
        <v>45693.083333333336</v>
      </c>
      <c r="E102">
        <v>0</v>
      </c>
      <c r="F102">
        <v>1.1399999999999999</v>
      </c>
      <c r="G102">
        <v>0</v>
      </c>
      <c r="H102">
        <v>1.18</v>
      </c>
    </row>
    <row r="103" spans="1:8" x14ac:dyDescent="0.55000000000000004">
      <c r="A103" s="11" t="str">
        <f t="shared" si="3"/>
        <v>2月</v>
      </c>
      <c r="B103" s="11" t="str">
        <f t="shared" si="4"/>
        <v>2月5日</v>
      </c>
      <c r="C103" s="11" t="str">
        <f t="shared" si="5"/>
        <v>4時</v>
      </c>
      <c r="D103" s="10">
        <v>45693.125</v>
      </c>
      <c r="E103">
        <v>0</v>
      </c>
      <c r="F103">
        <v>1.08</v>
      </c>
      <c r="G103">
        <v>0</v>
      </c>
      <c r="H103">
        <v>1.1200000000000001</v>
      </c>
    </row>
    <row r="104" spans="1:8" x14ac:dyDescent="0.55000000000000004">
      <c r="A104" s="11" t="str">
        <f t="shared" si="3"/>
        <v>2月</v>
      </c>
      <c r="B104" s="11" t="str">
        <f t="shared" si="4"/>
        <v>2月5日</v>
      </c>
      <c r="C104" s="11" t="str">
        <f t="shared" si="5"/>
        <v>5時</v>
      </c>
      <c r="D104" s="10">
        <v>45693.166666666664</v>
      </c>
      <c r="E104">
        <v>0</v>
      </c>
      <c r="F104">
        <v>1.33</v>
      </c>
      <c r="G104">
        <v>0</v>
      </c>
      <c r="H104">
        <v>1.37</v>
      </c>
    </row>
    <row r="105" spans="1:8" x14ac:dyDescent="0.55000000000000004">
      <c r="A105" s="11" t="str">
        <f t="shared" si="3"/>
        <v>2月</v>
      </c>
      <c r="B105" s="11" t="str">
        <f t="shared" si="4"/>
        <v>2月5日</v>
      </c>
      <c r="C105" s="11" t="str">
        <f t="shared" si="5"/>
        <v>6時</v>
      </c>
      <c r="D105" s="10">
        <v>45693.208333333336</v>
      </c>
      <c r="E105">
        <v>0</v>
      </c>
      <c r="F105">
        <v>1.18</v>
      </c>
      <c r="G105">
        <v>0</v>
      </c>
      <c r="H105">
        <v>1.22</v>
      </c>
    </row>
    <row r="106" spans="1:8" x14ac:dyDescent="0.55000000000000004">
      <c r="A106" s="11" t="str">
        <f t="shared" si="3"/>
        <v>2月</v>
      </c>
      <c r="B106" s="11" t="str">
        <f t="shared" si="4"/>
        <v>2月5日</v>
      </c>
      <c r="C106" s="11" t="str">
        <f t="shared" si="5"/>
        <v>7時</v>
      </c>
      <c r="D106" s="10">
        <v>45693.25</v>
      </c>
      <c r="E106">
        <v>0</v>
      </c>
      <c r="F106">
        <v>3.33</v>
      </c>
      <c r="G106">
        <v>0</v>
      </c>
      <c r="H106">
        <v>3.37</v>
      </c>
    </row>
    <row r="107" spans="1:8" x14ac:dyDescent="0.55000000000000004">
      <c r="A107" s="11" t="str">
        <f t="shared" si="3"/>
        <v>2月</v>
      </c>
      <c r="B107" s="11" t="str">
        <f t="shared" si="4"/>
        <v>2月5日</v>
      </c>
      <c r="C107" s="11" t="str">
        <f t="shared" si="5"/>
        <v>8時</v>
      </c>
      <c r="D107" s="10">
        <v>45693.291666666664</v>
      </c>
      <c r="E107">
        <v>0</v>
      </c>
      <c r="F107">
        <v>1.77</v>
      </c>
      <c r="G107">
        <v>0</v>
      </c>
      <c r="H107">
        <v>1.81</v>
      </c>
    </row>
    <row r="108" spans="1:8" x14ac:dyDescent="0.55000000000000004">
      <c r="A108" s="11" t="str">
        <f t="shared" si="3"/>
        <v>2月</v>
      </c>
      <c r="B108" s="11" t="str">
        <f t="shared" si="4"/>
        <v>2月5日</v>
      </c>
      <c r="C108" s="11" t="str">
        <f t="shared" si="5"/>
        <v>9時</v>
      </c>
      <c r="D108" s="10">
        <v>45693.333333333336</v>
      </c>
      <c r="E108">
        <v>0</v>
      </c>
      <c r="F108">
        <v>1.1200000000000001</v>
      </c>
      <c r="G108">
        <v>0</v>
      </c>
      <c r="H108">
        <v>1.1499999999999999</v>
      </c>
    </row>
    <row r="109" spans="1:8" x14ac:dyDescent="0.55000000000000004">
      <c r="A109" s="11" t="str">
        <f t="shared" si="3"/>
        <v>2月</v>
      </c>
      <c r="B109" s="11" t="str">
        <f t="shared" si="4"/>
        <v>2月5日</v>
      </c>
      <c r="C109" s="11" t="str">
        <f t="shared" si="5"/>
        <v>10時</v>
      </c>
      <c r="D109" s="10">
        <v>45693.375</v>
      </c>
      <c r="E109">
        <v>0</v>
      </c>
      <c r="F109">
        <v>1.25</v>
      </c>
      <c r="G109">
        <v>0</v>
      </c>
      <c r="H109">
        <v>1.29</v>
      </c>
    </row>
    <row r="110" spans="1:8" x14ac:dyDescent="0.55000000000000004">
      <c r="A110" s="11" t="str">
        <f t="shared" si="3"/>
        <v>2月</v>
      </c>
      <c r="B110" s="11" t="str">
        <f t="shared" si="4"/>
        <v>2月5日</v>
      </c>
      <c r="C110" s="11" t="str">
        <f t="shared" si="5"/>
        <v>11時</v>
      </c>
      <c r="D110" s="10">
        <v>45693.416666666664</v>
      </c>
      <c r="E110">
        <v>0</v>
      </c>
      <c r="F110">
        <v>1.1200000000000001</v>
      </c>
      <c r="G110">
        <v>0</v>
      </c>
      <c r="H110">
        <v>1.1499999999999999</v>
      </c>
    </row>
    <row r="111" spans="1:8" x14ac:dyDescent="0.55000000000000004">
      <c r="A111" s="11" t="str">
        <f t="shared" si="3"/>
        <v>2月</v>
      </c>
      <c r="B111" s="11" t="str">
        <f t="shared" si="4"/>
        <v>2月5日</v>
      </c>
      <c r="C111" s="11" t="str">
        <f t="shared" si="5"/>
        <v>12時</v>
      </c>
      <c r="D111" s="10">
        <v>45693.458333333336</v>
      </c>
      <c r="E111">
        <v>0</v>
      </c>
      <c r="F111">
        <v>1.1000000000000001</v>
      </c>
      <c r="G111">
        <v>0</v>
      </c>
      <c r="H111">
        <v>1.1299999999999999</v>
      </c>
    </row>
    <row r="112" spans="1:8" x14ac:dyDescent="0.55000000000000004">
      <c r="A112" s="11" t="str">
        <f t="shared" si="3"/>
        <v>2月</v>
      </c>
      <c r="B112" s="11" t="str">
        <f t="shared" si="4"/>
        <v>2月5日</v>
      </c>
      <c r="C112" s="11" t="str">
        <f t="shared" si="5"/>
        <v>13時</v>
      </c>
      <c r="D112" s="10">
        <v>45693.5</v>
      </c>
      <c r="E112">
        <v>0</v>
      </c>
      <c r="F112">
        <v>0.93</v>
      </c>
      <c r="G112">
        <v>0</v>
      </c>
      <c r="H112">
        <v>0.97</v>
      </c>
    </row>
    <row r="113" spans="1:8" x14ac:dyDescent="0.55000000000000004">
      <c r="A113" s="11" t="str">
        <f t="shared" si="3"/>
        <v>2月</v>
      </c>
      <c r="B113" s="11" t="str">
        <f t="shared" si="4"/>
        <v>2月5日</v>
      </c>
      <c r="C113" s="11" t="str">
        <f t="shared" si="5"/>
        <v>14時</v>
      </c>
      <c r="D113" s="10">
        <v>45693.541666666664</v>
      </c>
      <c r="E113">
        <v>0</v>
      </c>
      <c r="F113">
        <v>2.21</v>
      </c>
      <c r="G113">
        <v>0</v>
      </c>
      <c r="H113">
        <v>2.2400000000000002</v>
      </c>
    </row>
    <row r="114" spans="1:8" x14ac:dyDescent="0.55000000000000004">
      <c r="A114" s="11" t="str">
        <f t="shared" si="3"/>
        <v>2月</v>
      </c>
      <c r="B114" s="11" t="str">
        <f t="shared" si="4"/>
        <v>2月5日</v>
      </c>
      <c r="C114" s="11" t="str">
        <f t="shared" si="5"/>
        <v>15時</v>
      </c>
      <c r="D114" s="10">
        <v>45693.583333333336</v>
      </c>
      <c r="E114">
        <v>0</v>
      </c>
      <c r="F114">
        <v>1.08</v>
      </c>
      <c r="G114">
        <v>0</v>
      </c>
      <c r="H114">
        <v>1.1100000000000001</v>
      </c>
    </row>
    <row r="115" spans="1:8" x14ac:dyDescent="0.55000000000000004">
      <c r="A115" s="11" t="str">
        <f t="shared" si="3"/>
        <v>2月</v>
      </c>
      <c r="B115" s="11" t="str">
        <f t="shared" si="4"/>
        <v>2月5日</v>
      </c>
      <c r="C115" s="11" t="str">
        <f t="shared" si="5"/>
        <v>16時</v>
      </c>
      <c r="D115" s="10">
        <v>45693.625</v>
      </c>
      <c r="E115">
        <v>0</v>
      </c>
      <c r="F115">
        <v>3.26</v>
      </c>
      <c r="G115">
        <v>0</v>
      </c>
      <c r="H115">
        <v>3.3</v>
      </c>
    </row>
    <row r="116" spans="1:8" x14ac:dyDescent="0.55000000000000004">
      <c r="A116" s="11" t="str">
        <f t="shared" si="3"/>
        <v>2月</v>
      </c>
      <c r="B116" s="11" t="str">
        <f t="shared" si="4"/>
        <v>2月5日</v>
      </c>
      <c r="C116" s="11" t="str">
        <f t="shared" si="5"/>
        <v>17時</v>
      </c>
      <c r="D116" s="10">
        <v>45693.666666666664</v>
      </c>
      <c r="E116">
        <v>0</v>
      </c>
      <c r="F116">
        <v>3.2</v>
      </c>
      <c r="G116">
        <v>0</v>
      </c>
      <c r="H116">
        <v>3.24</v>
      </c>
    </row>
    <row r="117" spans="1:8" x14ac:dyDescent="0.55000000000000004">
      <c r="A117" s="11" t="str">
        <f t="shared" si="3"/>
        <v>2月</v>
      </c>
      <c r="B117" s="11" t="str">
        <f t="shared" si="4"/>
        <v>2月5日</v>
      </c>
      <c r="C117" s="11" t="str">
        <f t="shared" si="5"/>
        <v>18時</v>
      </c>
      <c r="D117" s="10">
        <v>45693.708333333336</v>
      </c>
      <c r="E117">
        <v>0</v>
      </c>
      <c r="F117">
        <v>2.2799999999999998</v>
      </c>
      <c r="G117">
        <v>0</v>
      </c>
      <c r="H117">
        <v>2.3199999999999998</v>
      </c>
    </row>
    <row r="118" spans="1:8" x14ac:dyDescent="0.55000000000000004">
      <c r="A118" s="11" t="str">
        <f t="shared" si="3"/>
        <v>2月</v>
      </c>
      <c r="B118" s="11" t="str">
        <f t="shared" si="4"/>
        <v>2月5日</v>
      </c>
      <c r="C118" s="11" t="str">
        <f t="shared" si="5"/>
        <v>19時</v>
      </c>
      <c r="D118" s="10">
        <v>45693.75</v>
      </c>
      <c r="E118">
        <v>0</v>
      </c>
      <c r="F118">
        <v>1.53</v>
      </c>
      <c r="G118">
        <v>0</v>
      </c>
      <c r="H118">
        <v>1.57</v>
      </c>
    </row>
    <row r="119" spans="1:8" x14ac:dyDescent="0.55000000000000004">
      <c r="A119" s="11" t="str">
        <f t="shared" si="3"/>
        <v>2月</v>
      </c>
      <c r="B119" s="11" t="str">
        <f t="shared" si="4"/>
        <v>2月5日</v>
      </c>
      <c r="C119" s="11" t="str">
        <f t="shared" si="5"/>
        <v>20時</v>
      </c>
      <c r="D119" s="10">
        <v>45693.791666666664</v>
      </c>
      <c r="E119">
        <v>0</v>
      </c>
      <c r="F119">
        <v>1.55</v>
      </c>
      <c r="G119">
        <v>0</v>
      </c>
      <c r="H119">
        <v>1.59</v>
      </c>
    </row>
    <row r="120" spans="1:8" x14ac:dyDescent="0.55000000000000004">
      <c r="A120" s="11" t="str">
        <f t="shared" si="3"/>
        <v>2月</v>
      </c>
      <c r="B120" s="11" t="str">
        <f t="shared" si="4"/>
        <v>2月5日</v>
      </c>
      <c r="C120" s="11" t="str">
        <f t="shared" si="5"/>
        <v>21時</v>
      </c>
      <c r="D120" s="10">
        <v>45693.833333333336</v>
      </c>
      <c r="E120">
        <v>0</v>
      </c>
      <c r="F120">
        <v>1.44</v>
      </c>
      <c r="G120">
        <v>0</v>
      </c>
      <c r="H120">
        <v>1.47</v>
      </c>
    </row>
    <row r="121" spans="1:8" x14ac:dyDescent="0.55000000000000004">
      <c r="A121" s="11" t="str">
        <f t="shared" si="3"/>
        <v>2月</v>
      </c>
      <c r="B121" s="11" t="str">
        <f t="shared" si="4"/>
        <v>2月5日</v>
      </c>
      <c r="C121" s="11" t="str">
        <f t="shared" si="5"/>
        <v>22時</v>
      </c>
      <c r="D121" s="10">
        <v>45693.875</v>
      </c>
      <c r="E121">
        <v>0</v>
      </c>
      <c r="F121">
        <v>1.71</v>
      </c>
      <c r="G121">
        <v>0</v>
      </c>
      <c r="H121">
        <v>1.75</v>
      </c>
    </row>
    <row r="122" spans="1:8" x14ac:dyDescent="0.55000000000000004">
      <c r="A122" s="11" t="str">
        <f t="shared" si="3"/>
        <v>2月</v>
      </c>
      <c r="B122" s="11" t="str">
        <f t="shared" si="4"/>
        <v>2月5日</v>
      </c>
      <c r="C122" s="11" t="str">
        <f t="shared" si="5"/>
        <v>23時</v>
      </c>
      <c r="D122" s="10">
        <v>45693.916666666664</v>
      </c>
      <c r="E122">
        <v>0</v>
      </c>
      <c r="F122">
        <v>1.28</v>
      </c>
      <c r="G122">
        <v>0</v>
      </c>
      <c r="H122">
        <v>1.32</v>
      </c>
    </row>
    <row r="123" spans="1:8" x14ac:dyDescent="0.55000000000000004">
      <c r="A123" s="11" t="str">
        <f t="shared" si="3"/>
        <v>2月</v>
      </c>
      <c r="B123" s="11" t="str">
        <f t="shared" si="4"/>
        <v>2月5日</v>
      </c>
      <c r="C123" s="11" t="str">
        <f t="shared" si="5"/>
        <v>24時</v>
      </c>
      <c r="D123" s="10">
        <v>45693.958333333336</v>
      </c>
      <c r="E123">
        <v>0</v>
      </c>
      <c r="F123">
        <v>2.2400000000000002</v>
      </c>
      <c r="G123">
        <v>0</v>
      </c>
      <c r="H123">
        <v>2.2799999999999998</v>
      </c>
    </row>
    <row r="124" spans="1:8" x14ac:dyDescent="0.55000000000000004">
      <c r="A124" s="11" t="str">
        <f t="shared" si="3"/>
        <v>2月</v>
      </c>
      <c r="B124" s="11" t="str">
        <f t="shared" si="4"/>
        <v>2月6日</v>
      </c>
      <c r="C124" s="11" t="str">
        <f t="shared" si="5"/>
        <v>1時</v>
      </c>
      <c r="D124" s="10">
        <v>45694</v>
      </c>
      <c r="E124">
        <v>0</v>
      </c>
      <c r="F124">
        <v>1.23</v>
      </c>
      <c r="G124">
        <v>0</v>
      </c>
      <c r="H124">
        <v>1.26</v>
      </c>
    </row>
    <row r="125" spans="1:8" x14ac:dyDescent="0.55000000000000004">
      <c r="A125" s="11" t="str">
        <f t="shared" si="3"/>
        <v>2月</v>
      </c>
      <c r="B125" s="11" t="str">
        <f t="shared" si="4"/>
        <v>2月6日</v>
      </c>
      <c r="C125" s="11" t="str">
        <f t="shared" si="5"/>
        <v>2時</v>
      </c>
      <c r="D125" s="10">
        <v>45694.041666666664</v>
      </c>
      <c r="E125">
        <v>0</v>
      </c>
      <c r="F125">
        <v>1.18</v>
      </c>
      <c r="G125">
        <v>0</v>
      </c>
      <c r="H125">
        <v>1.22</v>
      </c>
    </row>
    <row r="126" spans="1:8" x14ac:dyDescent="0.55000000000000004">
      <c r="A126" s="11" t="str">
        <f t="shared" si="3"/>
        <v>2月</v>
      </c>
      <c r="B126" s="11" t="str">
        <f t="shared" si="4"/>
        <v>2月6日</v>
      </c>
      <c r="C126" s="11" t="str">
        <f t="shared" si="5"/>
        <v>3時</v>
      </c>
      <c r="D126" s="10">
        <v>45694.083333333336</v>
      </c>
      <c r="E126">
        <v>0</v>
      </c>
      <c r="F126">
        <v>1.18</v>
      </c>
      <c r="G126">
        <v>0</v>
      </c>
      <c r="H126">
        <v>1.22</v>
      </c>
    </row>
    <row r="127" spans="1:8" x14ac:dyDescent="0.55000000000000004">
      <c r="A127" s="11" t="str">
        <f t="shared" si="3"/>
        <v>2月</v>
      </c>
      <c r="B127" s="11" t="str">
        <f t="shared" si="4"/>
        <v>2月6日</v>
      </c>
      <c r="C127" s="11" t="str">
        <f t="shared" si="5"/>
        <v>4時</v>
      </c>
      <c r="D127" s="10">
        <v>45694.125</v>
      </c>
      <c r="E127">
        <v>0</v>
      </c>
      <c r="F127">
        <v>1.27</v>
      </c>
      <c r="G127">
        <v>0</v>
      </c>
      <c r="H127">
        <v>1.31</v>
      </c>
    </row>
    <row r="128" spans="1:8" x14ac:dyDescent="0.55000000000000004">
      <c r="A128" s="11" t="str">
        <f t="shared" si="3"/>
        <v>2月</v>
      </c>
      <c r="B128" s="11" t="str">
        <f t="shared" si="4"/>
        <v>2月6日</v>
      </c>
      <c r="C128" s="11" t="str">
        <f t="shared" si="5"/>
        <v>5時</v>
      </c>
      <c r="D128" s="10">
        <v>45694.166666666664</v>
      </c>
      <c r="E128">
        <v>0</v>
      </c>
      <c r="F128">
        <v>1.27</v>
      </c>
      <c r="G128">
        <v>0</v>
      </c>
      <c r="H128">
        <v>1.31</v>
      </c>
    </row>
    <row r="129" spans="1:8" x14ac:dyDescent="0.55000000000000004">
      <c r="A129" s="11" t="str">
        <f t="shared" si="3"/>
        <v>2月</v>
      </c>
      <c r="B129" s="11" t="str">
        <f t="shared" si="4"/>
        <v>2月6日</v>
      </c>
      <c r="C129" s="11" t="str">
        <f t="shared" si="5"/>
        <v>6時</v>
      </c>
      <c r="D129" s="10">
        <v>45694.208333333336</v>
      </c>
      <c r="E129">
        <v>0</v>
      </c>
      <c r="F129">
        <v>1.93</v>
      </c>
      <c r="G129">
        <v>0</v>
      </c>
      <c r="H129">
        <v>1.97</v>
      </c>
    </row>
    <row r="130" spans="1:8" x14ac:dyDescent="0.55000000000000004">
      <c r="A130" s="11" t="str">
        <f t="shared" si="3"/>
        <v>2月</v>
      </c>
      <c r="B130" s="11" t="str">
        <f t="shared" si="4"/>
        <v>2月6日</v>
      </c>
      <c r="C130" s="11" t="str">
        <f t="shared" si="5"/>
        <v>7時</v>
      </c>
      <c r="D130" s="10">
        <v>45694.25</v>
      </c>
      <c r="E130">
        <v>0</v>
      </c>
      <c r="F130">
        <v>2.77</v>
      </c>
      <c r="G130">
        <v>0</v>
      </c>
      <c r="H130">
        <v>2.81</v>
      </c>
    </row>
    <row r="131" spans="1:8" x14ac:dyDescent="0.55000000000000004">
      <c r="A131" s="11" t="str">
        <f t="shared" si="3"/>
        <v>2月</v>
      </c>
      <c r="B131" s="11" t="str">
        <f t="shared" si="4"/>
        <v>2月6日</v>
      </c>
      <c r="C131" s="11" t="str">
        <f t="shared" si="5"/>
        <v>8時</v>
      </c>
      <c r="D131" s="10">
        <v>45694.291666666664</v>
      </c>
      <c r="E131">
        <v>0</v>
      </c>
      <c r="F131">
        <v>1.1399999999999999</v>
      </c>
      <c r="G131">
        <v>0</v>
      </c>
      <c r="H131">
        <v>1.18</v>
      </c>
    </row>
    <row r="132" spans="1:8" x14ac:dyDescent="0.55000000000000004">
      <c r="A132" s="11" t="str">
        <f t="shared" ref="A132:A195" si="6">MONTH(D132)&amp;"月"</f>
        <v>2月</v>
      </c>
      <c r="B132" s="11" t="str">
        <f t="shared" ref="B132:B195" si="7">A132&amp;DAY(D132)&amp;"日"</f>
        <v>2月6日</v>
      </c>
      <c r="C132" s="11" t="str">
        <f t="shared" ref="C132:C195" si="8">HOUR(D132)+1&amp;"時"</f>
        <v>9時</v>
      </c>
      <c r="D132" s="10">
        <v>45694.333333333336</v>
      </c>
      <c r="E132">
        <v>0</v>
      </c>
      <c r="F132">
        <v>1.02</v>
      </c>
      <c r="G132">
        <v>0</v>
      </c>
      <c r="H132">
        <v>1.06</v>
      </c>
    </row>
    <row r="133" spans="1:8" x14ac:dyDescent="0.55000000000000004">
      <c r="A133" s="11" t="str">
        <f t="shared" si="6"/>
        <v>2月</v>
      </c>
      <c r="B133" s="11" t="str">
        <f t="shared" si="7"/>
        <v>2月6日</v>
      </c>
      <c r="C133" s="11" t="str">
        <f t="shared" si="8"/>
        <v>10時</v>
      </c>
      <c r="D133" s="10">
        <v>45694.375</v>
      </c>
      <c r="E133">
        <v>0</v>
      </c>
      <c r="F133">
        <v>1.32</v>
      </c>
      <c r="G133">
        <v>0</v>
      </c>
      <c r="H133">
        <v>1.36</v>
      </c>
    </row>
    <row r="134" spans="1:8" x14ac:dyDescent="0.55000000000000004">
      <c r="A134" s="11" t="str">
        <f t="shared" si="6"/>
        <v>2月</v>
      </c>
      <c r="B134" s="11" t="str">
        <f t="shared" si="7"/>
        <v>2月6日</v>
      </c>
      <c r="C134" s="11" t="str">
        <f t="shared" si="8"/>
        <v>11時</v>
      </c>
      <c r="D134" s="10">
        <v>45694.416666666664</v>
      </c>
      <c r="E134">
        <v>0</v>
      </c>
      <c r="F134">
        <v>1.1000000000000001</v>
      </c>
      <c r="G134">
        <v>0</v>
      </c>
      <c r="H134">
        <v>1.1299999999999999</v>
      </c>
    </row>
    <row r="135" spans="1:8" x14ac:dyDescent="0.55000000000000004">
      <c r="A135" s="11" t="str">
        <f t="shared" si="6"/>
        <v>2月</v>
      </c>
      <c r="B135" s="11" t="str">
        <f t="shared" si="7"/>
        <v>2月6日</v>
      </c>
      <c r="C135" s="11" t="str">
        <f t="shared" si="8"/>
        <v>12時</v>
      </c>
      <c r="D135" s="10">
        <v>45694.458333333336</v>
      </c>
      <c r="E135">
        <v>0</v>
      </c>
      <c r="F135">
        <v>2.62</v>
      </c>
      <c r="G135">
        <v>0</v>
      </c>
      <c r="H135">
        <v>2.65</v>
      </c>
    </row>
    <row r="136" spans="1:8" x14ac:dyDescent="0.55000000000000004">
      <c r="A136" s="11" t="str">
        <f t="shared" si="6"/>
        <v>2月</v>
      </c>
      <c r="B136" s="11" t="str">
        <f t="shared" si="7"/>
        <v>2月6日</v>
      </c>
      <c r="C136" s="11" t="str">
        <f t="shared" si="8"/>
        <v>13時</v>
      </c>
      <c r="D136" s="10">
        <v>45694.5</v>
      </c>
      <c r="E136">
        <v>0</v>
      </c>
      <c r="F136">
        <v>1.0900000000000001</v>
      </c>
      <c r="G136">
        <v>0</v>
      </c>
      <c r="H136">
        <v>1.1200000000000001</v>
      </c>
    </row>
    <row r="137" spans="1:8" x14ac:dyDescent="0.55000000000000004">
      <c r="A137" s="11" t="str">
        <f t="shared" si="6"/>
        <v>2月</v>
      </c>
      <c r="B137" s="11" t="str">
        <f t="shared" si="7"/>
        <v>2月6日</v>
      </c>
      <c r="C137" s="11" t="str">
        <f t="shared" si="8"/>
        <v>14時</v>
      </c>
      <c r="D137" s="10">
        <v>45694.541666666664</v>
      </c>
      <c r="E137">
        <v>0</v>
      </c>
      <c r="F137">
        <v>0.97</v>
      </c>
      <c r="G137">
        <v>0</v>
      </c>
      <c r="H137">
        <v>1</v>
      </c>
    </row>
    <row r="138" spans="1:8" x14ac:dyDescent="0.55000000000000004">
      <c r="A138" s="11" t="str">
        <f t="shared" si="6"/>
        <v>2月</v>
      </c>
      <c r="B138" s="11" t="str">
        <f t="shared" si="7"/>
        <v>2月6日</v>
      </c>
      <c r="C138" s="11" t="str">
        <f t="shared" si="8"/>
        <v>15時</v>
      </c>
      <c r="D138" s="10">
        <v>45694.583333333336</v>
      </c>
      <c r="E138">
        <v>0</v>
      </c>
      <c r="F138">
        <v>1.22</v>
      </c>
      <c r="G138">
        <v>0</v>
      </c>
      <c r="H138">
        <v>1.26</v>
      </c>
    </row>
    <row r="139" spans="1:8" x14ac:dyDescent="0.55000000000000004">
      <c r="A139" s="11" t="str">
        <f t="shared" si="6"/>
        <v>2月</v>
      </c>
      <c r="B139" s="11" t="str">
        <f t="shared" si="7"/>
        <v>2月6日</v>
      </c>
      <c r="C139" s="11" t="str">
        <f t="shared" si="8"/>
        <v>16時</v>
      </c>
      <c r="D139" s="10">
        <v>45694.625</v>
      </c>
      <c r="E139">
        <v>0</v>
      </c>
      <c r="F139">
        <v>3.39</v>
      </c>
      <c r="G139">
        <v>0</v>
      </c>
      <c r="H139">
        <v>3.43</v>
      </c>
    </row>
    <row r="140" spans="1:8" x14ac:dyDescent="0.55000000000000004">
      <c r="A140" s="11" t="str">
        <f t="shared" si="6"/>
        <v>2月</v>
      </c>
      <c r="B140" s="11" t="str">
        <f t="shared" si="7"/>
        <v>2月6日</v>
      </c>
      <c r="C140" s="11" t="str">
        <f t="shared" si="8"/>
        <v>17時</v>
      </c>
      <c r="D140" s="10">
        <v>45694.666666666664</v>
      </c>
      <c r="E140">
        <v>0</v>
      </c>
      <c r="F140">
        <v>3.02</v>
      </c>
      <c r="G140">
        <v>0</v>
      </c>
      <c r="H140">
        <v>3.06</v>
      </c>
    </row>
    <row r="141" spans="1:8" x14ac:dyDescent="0.55000000000000004">
      <c r="A141" s="11" t="str">
        <f t="shared" si="6"/>
        <v>2月</v>
      </c>
      <c r="B141" s="11" t="str">
        <f t="shared" si="7"/>
        <v>2月6日</v>
      </c>
      <c r="C141" s="11" t="str">
        <f t="shared" si="8"/>
        <v>18時</v>
      </c>
      <c r="D141" s="10">
        <v>45694.708333333336</v>
      </c>
      <c r="E141">
        <v>0</v>
      </c>
      <c r="F141">
        <v>2.4900000000000002</v>
      </c>
      <c r="G141">
        <v>0</v>
      </c>
      <c r="H141">
        <v>2.5299999999999998</v>
      </c>
    </row>
    <row r="142" spans="1:8" x14ac:dyDescent="0.55000000000000004">
      <c r="A142" s="11" t="str">
        <f t="shared" si="6"/>
        <v>2月</v>
      </c>
      <c r="B142" s="11" t="str">
        <f t="shared" si="7"/>
        <v>2月6日</v>
      </c>
      <c r="C142" s="11" t="str">
        <f t="shared" si="8"/>
        <v>19時</v>
      </c>
      <c r="D142" s="10">
        <v>45694.75</v>
      </c>
      <c r="E142">
        <v>0</v>
      </c>
      <c r="F142">
        <v>1.65</v>
      </c>
      <c r="G142">
        <v>0</v>
      </c>
      <c r="H142">
        <v>1.69</v>
      </c>
    </row>
    <row r="143" spans="1:8" x14ac:dyDescent="0.55000000000000004">
      <c r="A143" s="11" t="str">
        <f t="shared" si="6"/>
        <v>2月</v>
      </c>
      <c r="B143" s="11" t="str">
        <f t="shared" si="7"/>
        <v>2月6日</v>
      </c>
      <c r="C143" s="11" t="str">
        <f t="shared" si="8"/>
        <v>20時</v>
      </c>
      <c r="D143" s="10">
        <v>45694.791666666664</v>
      </c>
      <c r="E143">
        <v>0</v>
      </c>
      <c r="F143">
        <v>1.33</v>
      </c>
      <c r="G143">
        <v>0</v>
      </c>
      <c r="H143">
        <v>1.37</v>
      </c>
    </row>
    <row r="144" spans="1:8" x14ac:dyDescent="0.55000000000000004">
      <c r="A144" s="11" t="str">
        <f t="shared" si="6"/>
        <v>2月</v>
      </c>
      <c r="B144" s="11" t="str">
        <f t="shared" si="7"/>
        <v>2月6日</v>
      </c>
      <c r="C144" s="11" t="str">
        <f t="shared" si="8"/>
        <v>21時</v>
      </c>
      <c r="D144" s="10">
        <v>45694.833333333336</v>
      </c>
      <c r="E144">
        <v>0</v>
      </c>
      <c r="F144">
        <v>1.57</v>
      </c>
      <c r="G144">
        <v>0</v>
      </c>
      <c r="H144">
        <v>1.61</v>
      </c>
    </row>
    <row r="145" spans="1:8" x14ac:dyDescent="0.55000000000000004">
      <c r="A145" s="11" t="str">
        <f t="shared" si="6"/>
        <v>2月</v>
      </c>
      <c r="B145" s="11" t="str">
        <f t="shared" si="7"/>
        <v>2月6日</v>
      </c>
      <c r="C145" s="11" t="str">
        <f t="shared" si="8"/>
        <v>22時</v>
      </c>
      <c r="D145" s="10">
        <v>45694.875</v>
      </c>
      <c r="E145">
        <v>0</v>
      </c>
      <c r="F145">
        <v>1.46</v>
      </c>
      <c r="G145">
        <v>0</v>
      </c>
      <c r="H145">
        <v>1.5</v>
      </c>
    </row>
    <row r="146" spans="1:8" x14ac:dyDescent="0.55000000000000004">
      <c r="A146" s="11" t="str">
        <f t="shared" si="6"/>
        <v>2月</v>
      </c>
      <c r="B146" s="11" t="str">
        <f t="shared" si="7"/>
        <v>2月6日</v>
      </c>
      <c r="C146" s="11" t="str">
        <f t="shared" si="8"/>
        <v>23時</v>
      </c>
      <c r="D146" s="10">
        <v>45694.916666666664</v>
      </c>
      <c r="E146">
        <v>0</v>
      </c>
      <c r="F146">
        <v>1.1599999999999999</v>
      </c>
      <c r="G146">
        <v>0</v>
      </c>
      <c r="H146">
        <v>1.19</v>
      </c>
    </row>
    <row r="147" spans="1:8" x14ac:dyDescent="0.55000000000000004">
      <c r="A147" s="11" t="str">
        <f t="shared" si="6"/>
        <v>2月</v>
      </c>
      <c r="B147" s="11" t="str">
        <f t="shared" si="7"/>
        <v>2月6日</v>
      </c>
      <c r="C147" s="11" t="str">
        <f t="shared" si="8"/>
        <v>24時</v>
      </c>
      <c r="D147" s="10">
        <v>45694.958333333336</v>
      </c>
      <c r="E147">
        <v>0</v>
      </c>
      <c r="F147">
        <v>1.19</v>
      </c>
      <c r="G147">
        <v>0</v>
      </c>
      <c r="H147">
        <v>1.23</v>
      </c>
    </row>
    <row r="148" spans="1:8" x14ac:dyDescent="0.55000000000000004">
      <c r="A148" s="11" t="str">
        <f t="shared" si="6"/>
        <v>2月</v>
      </c>
      <c r="B148" s="11" t="str">
        <f t="shared" si="7"/>
        <v>2月7日</v>
      </c>
      <c r="C148" s="11" t="str">
        <f t="shared" si="8"/>
        <v>1時</v>
      </c>
      <c r="D148" s="10">
        <v>45695</v>
      </c>
      <c r="E148">
        <v>0</v>
      </c>
      <c r="F148">
        <v>2.33</v>
      </c>
      <c r="G148">
        <v>0</v>
      </c>
      <c r="H148">
        <v>2.37</v>
      </c>
    </row>
    <row r="149" spans="1:8" x14ac:dyDescent="0.55000000000000004">
      <c r="A149" s="11" t="str">
        <f t="shared" si="6"/>
        <v>2月</v>
      </c>
      <c r="B149" s="11" t="str">
        <f t="shared" si="7"/>
        <v>2月7日</v>
      </c>
      <c r="C149" s="11" t="str">
        <f t="shared" si="8"/>
        <v>2時</v>
      </c>
      <c r="D149" s="10">
        <v>45695.041666666664</v>
      </c>
      <c r="E149">
        <v>0</v>
      </c>
      <c r="F149">
        <v>1.1100000000000001</v>
      </c>
      <c r="G149">
        <v>0</v>
      </c>
      <c r="H149">
        <v>1.1499999999999999</v>
      </c>
    </row>
    <row r="150" spans="1:8" x14ac:dyDescent="0.55000000000000004">
      <c r="A150" s="11" t="str">
        <f t="shared" si="6"/>
        <v>2月</v>
      </c>
      <c r="B150" s="11" t="str">
        <f t="shared" si="7"/>
        <v>2月7日</v>
      </c>
      <c r="C150" s="11" t="str">
        <f t="shared" si="8"/>
        <v>3時</v>
      </c>
      <c r="D150" s="10">
        <v>45695.083333333336</v>
      </c>
      <c r="E150">
        <v>0</v>
      </c>
      <c r="F150">
        <v>1.17</v>
      </c>
      <c r="G150">
        <v>0</v>
      </c>
      <c r="H150">
        <v>1.21</v>
      </c>
    </row>
    <row r="151" spans="1:8" x14ac:dyDescent="0.55000000000000004">
      <c r="A151" s="11" t="str">
        <f t="shared" si="6"/>
        <v>2月</v>
      </c>
      <c r="B151" s="11" t="str">
        <f t="shared" si="7"/>
        <v>2月7日</v>
      </c>
      <c r="C151" s="11" t="str">
        <f t="shared" si="8"/>
        <v>4時</v>
      </c>
      <c r="D151" s="10">
        <v>45695.125</v>
      </c>
      <c r="E151">
        <v>0</v>
      </c>
      <c r="F151">
        <v>1.1299999999999999</v>
      </c>
      <c r="G151">
        <v>0</v>
      </c>
      <c r="H151">
        <v>1.17</v>
      </c>
    </row>
    <row r="152" spans="1:8" x14ac:dyDescent="0.55000000000000004">
      <c r="A152" s="11" t="str">
        <f t="shared" si="6"/>
        <v>2月</v>
      </c>
      <c r="B152" s="11" t="str">
        <f t="shared" si="7"/>
        <v>2月7日</v>
      </c>
      <c r="C152" s="11" t="str">
        <f t="shared" si="8"/>
        <v>5時</v>
      </c>
      <c r="D152" s="10">
        <v>45695.166666666664</v>
      </c>
      <c r="E152">
        <v>0</v>
      </c>
      <c r="F152">
        <v>1.31</v>
      </c>
      <c r="G152">
        <v>0</v>
      </c>
      <c r="H152">
        <v>1.35</v>
      </c>
    </row>
    <row r="153" spans="1:8" x14ac:dyDescent="0.55000000000000004">
      <c r="A153" s="11" t="str">
        <f t="shared" si="6"/>
        <v>2月</v>
      </c>
      <c r="B153" s="11" t="str">
        <f t="shared" si="7"/>
        <v>2月7日</v>
      </c>
      <c r="C153" s="11" t="str">
        <f t="shared" si="8"/>
        <v>6時</v>
      </c>
      <c r="D153" s="10">
        <v>45695.208333333336</v>
      </c>
      <c r="E153">
        <v>0</v>
      </c>
      <c r="F153">
        <v>1.26</v>
      </c>
      <c r="G153">
        <v>0</v>
      </c>
      <c r="H153">
        <v>1.3</v>
      </c>
    </row>
    <row r="154" spans="1:8" x14ac:dyDescent="0.55000000000000004">
      <c r="A154" s="11" t="str">
        <f t="shared" si="6"/>
        <v>2月</v>
      </c>
      <c r="B154" s="11" t="str">
        <f t="shared" si="7"/>
        <v>2月7日</v>
      </c>
      <c r="C154" s="11" t="str">
        <f t="shared" si="8"/>
        <v>7時</v>
      </c>
      <c r="D154" s="10">
        <v>45695.25</v>
      </c>
      <c r="E154">
        <v>0</v>
      </c>
      <c r="F154">
        <v>3.21</v>
      </c>
      <c r="G154">
        <v>0</v>
      </c>
      <c r="H154">
        <v>3.25</v>
      </c>
    </row>
    <row r="155" spans="1:8" x14ac:dyDescent="0.55000000000000004">
      <c r="A155" s="11" t="str">
        <f t="shared" si="6"/>
        <v>2月</v>
      </c>
      <c r="B155" s="11" t="str">
        <f t="shared" si="7"/>
        <v>2月7日</v>
      </c>
      <c r="C155" s="11" t="str">
        <f t="shared" si="8"/>
        <v>8時</v>
      </c>
      <c r="D155" s="10">
        <v>45695.291666666664</v>
      </c>
      <c r="E155">
        <v>0</v>
      </c>
      <c r="F155">
        <v>1.27</v>
      </c>
      <c r="G155">
        <v>0</v>
      </c>
      <c r="H155">
        <v>1.31</v>
      </c>
    </row>
    <row r="156" spans="1:8" x14ac:dyDescent="0.55000000000000004">
      <c r="A156" s="11" t="str">
        <f t="shared" si="6"/>
        <v>2月</v>
      </c>
      <c r="B156" s="11" t="str">
        <f t="shared" si="7"/>
        <v>2月7日</v>
      </c>
      <c r="C156" s="11" t="str">
        <f t="shared" si="8"/>
        <v>9時</v>
      </c>
      <c r="D156" s="10">
        <v>45695.333333333336</v>
      </c>
      <c r="E156">
        <v>0</v>
      </c>
      <c r="F156">
        <v>0.9</v>
      </c>
      <c r="G156">
        <v>0</v>
      </c>
      <c r="H156">
        <v>0.94</v>
      </c>
    </row>
    <row r="157" spans="1:8" x14ac:dyDescent="0.55000000000000004">
      <c r="A157" s="11" t="str">
        <f t="shared" si="6"/>
        <v>2月</v>
      </c>
      <c r="B157" s="11" t="str">
        <f t="shared" si="7"/>
        <v>2月7日</v>
      </c>
      <c r="C157" s="11" t="str">
        <f t="shared" si="8"/>
        <v>10時</v>
      </c>
      <c r="D157" s="10">
        <v>45695.375</v>
      </c>
      <c r="E157">
        <v>0</v>
      </c>
      <c r="F157">
        <v>0.94</v>
      </c>
      <c r="G157">
        <v>0</v>
      </c>
      <c r="H157">
        <v>0.97</v>
      </c>
    </row>
    <row r="158" spans="1:8" x14ac:dyDescent="0.55000000000000004">
      <c r="A158" s="11" t="str">
        <f t="shared" si="6"/>
        <v>2月</v>
      </c>
      <c r="B158" s="11" t="str">
        <f t="shared" si="7"/>
        <v>2月7日</v>
      </c>
      <c r="C158" s="11" t="str">
        <f t="shared" si="8"/>
        <v>11時</v>
      </c>
      <c r="D158" s="10">
        <v>45695.416666666664</v>
      </c>
      <c r="E158">
        <v>0</v>
      </c>
      <c r="F158">
        <v>1.1000000000000001</v>
      </c>
      <c r="G158">
        <v>0</v>
      </c>
      <c r="H158">
        <v>1.1399999999999999</v>
      </c>
    </row>
    <row r="159" spans="1:8" x14ac:dyDescent="0.55000000000000004">
      <c r="A159" s="11" t="str">
        <f t="shared" si="6"/>
        <v>2月</v>
      </c>
      <c r="B159" s="11" t="str">
        <f t="shared" si="7"/>
        <v>2月7日</v>
      </c>
      <c r="C159" s="11" t="str">
        <f t="shared" si="8"/>
        <v>12時</v>
      </c>
      <c r="D159" s="10">
        <v>45695.458333333336</v>
      </c>
      <c r="E159">
        <v>0</v>
      </c>
      <c r="F159">
        <v>1.0900000000000001</v>
      </c>
      <c r="G159">
        <v>0</v>
      </c>
      <c r="H159">
        <v>1.1299999999999999</v>
      </c>
    </row>
    <row r="160" spans="1:8" x14ac:dyDescent="0.55000000000000004">
      <c r="A160" s="11" t="str">
        <f t="shared" si="6"/>
        <v>2月</v>
      </c>
      <c r="B160" s="11" t="str">
        <f t="shared" si="7"/>
        <v>2月7日</v>
      </c>
      <c r="C160" s="11" t="str">
        <f t="shared" si="8"/>
        <v>13時</v>
      </c>
      <c r="D160" s="10">
        <v>45695.5</v>
      </c>
      <c r="E160">
        <v>0</v>
      </c>
      <c r="F160">
        <v>1.05</v>
      </c>
      <c r="G160">
        <v>0</v>
      </c>
      <c r="H160">
        <v>1.08</v>
      </c>
    </row>
    <row r="161" spans="1:8" x14ac:dyDescent="0.55000000000000004">
      <c r="A161" s="11" t="str">
        <f t="shared" si="6"/>
        <v>2月</v>
      </c>
      <c r="B161" s="11" t="str">
        <f t="shared" si="7"/>
        <v>2月7日</v>
      </c>
      <c r="C161" s="11" t="str">
        <f t="shared" si="8"/>
        <v>14時</v>
      </c>
      <c r="D161" s="10">
        <v>45695.541666666664</v>
      </c>
      <c r="E161">
        <v>0</v>
      </c>
      <c r="F161">
        <v>2.11</v>
      </c>
      <c r="G161">
        <v>0</v>
      </c>
      <c r="H161">
        <v>2.15</v>
      </c>
    </row>
    <row r="162" spans="1:8" x14ac:dyDescent="0.55000000000000004">
      <c r="A162" s="11" t="str">
        <f t="shared" si="6"/>
        <v>2月</v>
      </c>
      <c r="B162" s="11" t="str">
        <f t="shared" si="7"/>
        <v>2月7日</v>
      </c>
      <c r="C162" s="11" t="str">
        <f t="shared" si="8"/>
        <v>15時</v>
      </c>
      <c r="D162" s="10">
        <v>45695.583333333336</v>
      </c>
      <c r="E162">
        <v>0</v>
      </c>
      <c r="F162">
        <v>1.05</v>
      </c>
      <c r="G162">
        <v>0</v>
      </c>
      <c r="H162">
        <v>1.0900000000000001</v>
      </c>
    </row>
    <row r="163" spans="1:8" x14ac:dyDescent="0.55000000000000004">
      <c r="A163" s="11" t="str">
        <f t="shared" si="6"/>
        <v>2月</v>
      </c>
      <c r="B163" s="11" t="str">
        <f t="shared" si="7"/>
        <v>2月7日</v>
      </c>
      <c r="C163" s="11" t="str">
        <f t="shared" si="8"/>
        <v>16時</v>
      </c>
      <c r="D163" s="10">
        <v>45695.625</v>
      </c>
      <c r="E163">
        <v>0</v>
      </c>
      <c r="F163">
        <v>3.17</v>
      </c>
      <c r="G163">
        <v>0</v>
      </c>
      <c r="H163">
        <v>3.21</v>
      </c>
    </row>
    <row r="164" spans="1:8" x14ac:dyDescent="0.55000000000000004">
      <c r="A164" s="11" t="str">
        <f t="shared" si="6"/>
        <v>2月</v>
      </c>
      <c r="B164" s="11" t="str">
        <f t="shared" si="7"/>
        <v>2月7日</v>
      </c>
      <c r="C164" s="11" t="str">
        <f t="shared" si="8"/>
        <v>17時</v>
      </c>
      <c r="D164" s="10">
        <v>45695.666666666664</v>
      </c>
      <c r="E164">
        <v>0</v>
      </c>
      <c r="F164">
        <v>3.16</v>
      </c>
      <c r="G164">
        <v>0</v>
      </c>
      <c r="H164">
        <v>3.2</v>
      </c>
    </row>
    <row r="165" spans="1:8" x14ac:dyDescent="0.55000000000000004">
      <c r="A165" s="11" t="str">
        <f t="shared" si="6"/>
        <v>2月</v>
      </c>
      <c r="B165" s="11" t="str">
        <f t="shared" si="7"/>
        <v>2月7日</v>
      </c>
      <c r="C165" s="11" t="str">
        <f t="shared" si="8"/>
        <v>18時</v>
      </c>
      <c r="D165" s="10">
        <v>45695.708333333336</v>
      </c>
      <c r="E165">
        <v>0</v>
      </c>
      <c r="F165">
        <v>1.97</v>
      </c>
      <c r="G165">
        <v>0</v>
      </c>
      <c r="H165">
        <v>2.0099999999999998</v>
      </c>
    </row>
    <row r="166" spans="1:8" x14ac:dyDescent="0.55000000000000004">
      <c r="A166" s="11" t="str">
        <f t="shared" si="6"/>
        <v>2月</v>
      </c>
      <c r="B166" s="11" t="str">
        <f t="shared" si="7"/>
        <v>2月7日</v>
      </c>
      <c r="C166" s="11" t="str">
        <f t="shared" si="8"/>
        <v>19時</v>
      </c>
      <c r="D166" s="10">
        <v>45695.75</v>
      </c>
      <c r="E166">
        <v>0</v>
      </c>
      <c r="F166">
        <v>1.65</v>
      </c>
      <c r="G166">
        <v>0</v>
      </c>
      <c r="H166">
        <v>1.69</v>
      </c>
    </row>
    <row r="167" spans="1:8" x14ac:dyDescent="0.55000000000000004">
      <c r="A167" s="11" t="str">
        <f t="shared" si="6"/>
        <v>2月</v>
      </c>
      <c r="B167" s="11" t="str">
        <f t="shared" si="7"/>
        <v>2月7日</v>
      </c>
      <c r="C167" s="11" t="str">
        <f t="shared" si="8"/>
        <v>20時</v>
      </c>
      <c r="D167" s="10">
        <v>45695.791666666664</v>
      </c>
      <c r="E167">
        <v>0</v>
      </c>
      <c r="F167">
        <v>1.42</v>
      </c>
      <c r="G167">
        <v>0</v>
      </c>
      <c r="H167">
        <v>1.46</v>
      </c>
    </row>
    <row r="168" spans="1:8" x14ac:dyDescent="0.55000000000000004">
      <c r="A168" s="11" t="str">
        <f t="shared" si="6"/>
        <v>2月</v>
      </c>
      <c r="B168" s="11" t="str">
        <f t="shared" si="7"/>
        <v>2月7日</v>
      </c>
      <c r="C168" s="11" t="str">
        <f t="shared" si="8"/>
        <v>21時</v>
      </c>
      <c r="D168" s="10">
        <v>45695.833333333336</v>
      </c>
      <c r="E168">
        <v>0</v>
      </c>
      <c r="F168">
        <v>1.1100000000000001</v>
      </c>
      <c r="G168">
        <v>0</v>
      </c>
      <c r="H168">
        <v>1.1399999999999999</v>
      </c>
    </row>
    <row r="169" spans="1:8" x14ac:dyDescent="0.55000000000000004">
      <c r="A169" s="11" t="str">
        <f t="shared" si="6"/>
        <v>2月</v>
      </c>
      <c r="B169" s="11" t="str">
        <f t="shared" si="7"/>
        <v>2月7日</v>
      </c>
      <c r="C169" s="11" t="str">
        <f t="shared" si="8"/>
        <v>22時</v>
      </c>
      <c r="D169" s="10">
        <v>45695.875</v>
      </c>
      <c r="E169">
        <v>0</v>
      </c>
      <c r="F169">
        <v>1.31</v>
      </c>
      <c r="G169">
        <v>0</v>
      </c>
      <c r="H169">
        <v>1.35</v>
      </c>
    </row>
    <row r="170" spans="1:8" x14ac:dyDescent="0.55000000000000004">
      <c r="A170" s="11" t="str">
        <f t="shared" si="6"/>
        <v>2月</v>
      </c>
      <c r="B170" s="11" t="str">
        <f t="shared" si="7"/>
        <v>2月7日</v>
      </c>
      <c r="C170" s="11" t="str">
        <f t="shared" si="8"/>
        <v>23時</v>
      </c>
      <c r="D170" s="10">
        <v>45695.916666666664</v>
      </c>
      <c r="E170">
        <v>0</v>
      </c>
      <c r="F170">
        <v>1.1499999999999999</v>
      </c>
      <c r="G170">
        <v>0</v>
      </c>
      <c r="H170">
        <v>1.19</v>
      </c>
    </row>
    <row r="171" spans="1:8" x14ac:dyDescent="0.55000000000000004">
      <c r="A171" s="11" t="str">
        <f t="shared" si="6"/>
        <v>2月</v>
      </c>
      <c r="B171" s="11" t="str">
        <f t="shared" si="7"/>
        <v>2月7日</v>
      </c>
      <c r="C171" s="11" t="str">
        <f t="shared" si="8"/>
        <v>24時</v>
      </c>
      <c r="D171" s="10">
        <v>45695.958333333336</v>
      </c>
      <c r="E171">
        <v>0</v>
      </c>
      <c r="F171">
        <v>1.26</v>
      </c>
      <c r="G171">
        <v>0</v>
      </c>
      <c r="H171">
        <v>1.29</v>
      </c>
    </row>
    <row r="172" spans="1:8" x14ac:dyDescent="0.55000000000000004">
      <c r="A172" s="11" t="str">
        <f t="shared" si="6"/>
        <v>2月</v>
      </c>
      <c r="B172" s="11" t="str">
        <f t="shared" si="7"/>
        <v>2月8日</v>
      </c>
      <c r="C172" s="11" t="str">
        <f t="shared" si="8"/>
        <v>1時</v>
      </c>
      <c r="D172" s="10">
        <v>45696</v>
      </c>
      <c r="E172">
        <v>0</v>
      </c>
      <c r="F172">
        <v>1.3</v>
      </c>
      <c r="G172">
        <v>0</v>
      </c>
      <c r="H172">
        <v>1.34</v>
      </c>
    </row>
    <row r="173" spans="1:8" x14ac:dyDescent="0.55000000000000004">
      <c r="A173" s="11" t="str">
        <f t="shared" si="6"/>
        <v>2月</v>
      </c>
      <c r="B173" s="11" t="str">
        <f t="shared" si="7"/>
        <v>2月8日</v>
      </c>
      <c r="C173" s="11" t="str">
        <f t="shared" si="8"/>
        <v>2時</v>
      </c>
      <c r="D173" s="10">
        <v>45696.041666666664</v>
      </c>
      <c r="E173">
        <v>0</v>
      </c>
      <c r="F173">
        <v>1.35</v>
      </c>
      <c r="G173">
        <v>0</v>
      </c>
      <c r="H173">
        <v>1.39</v>
      </c>
    </row>
    <row r="174" spans="1:8" x14ac:dyDescent="0.55000000000000004">
      <c r="A174" s="11" t="str">
        <f t="shared" si="6"/>
        <v>2月</v>
      </c>
      <c r="B174" s="11" t="str">
        <f t="shared" si="7"/>
        <v>2月8日</v>
      </c>
      <c r="C174" s="11" t="str">
        <f t="shared" si="8"/>
        <v>3時</v>
      </c>
      <c r="D174" s="10">
        <v>45696.083333333336</v>
      </c>
      <c r="E174">
        <v>0</v>
      </c>
      <c r="F174">
        <v>3</v>
      </c>
      <c r="G174">
        <v>0</v>
      </c>
      <c r="H174">
        <v>3.04</v>
      </c>
    </row>
    <row r="175" spans="1:8" x14ac:dyDescent="0.55000000000000004">
      <c r="A175" s="11" t="str">
        <f t="shared" si="6"/>
        <v>2月</v>
      </c>
      <c r="B175" s="11" t="str">
        <f t="shared" si="7"/>
        <v>2月8日</v>
      </c>
      <c r="C175" s="11" t="str">
        <f t="shared" si="8"/>
        <v>4時</v>
      </c>
      <c r="D175" s="10">
        <v>45696.125</v>
      </c>
      <c r="E175">
        <v>0</v>
      </c>
      <c r="F175">
        <v>1.29</v>
      </c>
      <c r="G175">
        <v>0</v>
      </c>
      <c r="H175">
        <v>1.33</v>
      </c>
    </row>
    <row r="176" spans="1:8" x14ac:dyDescent="0.55000000000000004">
      <c r="A176" s="11" t="str">
        <f t="shared" si="6"/>
        <v>2月</v>
      </c>
      <c r="B176" s="11" t="str">
        <f t="shared" si="7"/>
        <v>2月8日</v>
      </c>
      <c r="C176" s="11" t="str">
        <f t="shared" si="8"/>
        <v>5時</v>
      </c>
      <c r="D176" s="10">
        <v>45696.166666666664</v>
      </c>
      <c r="E176">
        <v>0</v>
      </c>
      <c r="F176">
        <v>1.47</v>
      </c>
      <c r="G176">
        <v>0</v>
      </c>
      <c r="H176">
        <v>1.51</v>
      </c>
    </row>
    <row r="177" spans="1:8" x14ac:dyDescent="0.55000000000000004">
      <c r="A177" s="11" t="str">
        <f t="shared" si="6"/>
        <v>2月</v>
      </c>
      <c r="B177" s="11" t="str">
        <f t="shared" si="7"/>
        <v>2月8日</v>
      </c>
      <c r="C177" s="11" t="str">
        <f t="shared" si="8"/>
        <v>6時</v>
      </c>
      <c r="D177" s="10">
        <v>45696.208333333336</v>
      </c>
      <c r="E177">
        <v>0</v>
      </c>
      <c r="F177">
        <v>1.31</v>
      </c>
      <c r="G177">
        <v>0</v>
      </c>
      <c r="H177">
        <v>1.34</v>
      </c>
    </row>
    <row r="178" spans="1:8" x14ac:dyDescent="0.55000000000000004">
      <c r="A178" s="11" t="str">
        <f t="shared" si="6"/>
        <v>2月</v>
      </c>
      <c r="B178" s="11" t="str">
        <f t="shared" si="7"/>
        <v>2月8日</v>
      </c>
      <c r="C178" s="11" t="str">
        <f t="shared" si="8"/>
        <v>7時</v>
      </c>
      <c r="D178" s="10">
        <v>45696.25</v>
      </c>
      <c r="E178">
        <v>0</v>
      </c>
      <c r="F178">
        <v>1.43</v>
      </c>
      <c r="G178">
        <v>0</v>
      </c>
      <c r="H178">
        <v>1.47</v>
      </c>
    </row>
    <row r="179" spans="1:8" x14ac:dyDescent="0.55000000000000004">
      <c r="A179" s="11" t="str">
        <f t="shared" si="6"/>
        <v>2月</v>
      </c>
      <c r="B179" s="11" t="str">
        <f t="shared" si="7"/>
        <v>2月8日</v>
      </c>
      <c r="C179" s="11" t="str">
        <f t="shared" si="8"/>
        <v>8時</v>
      </c>
      <c r="D179" s="10">
        <v>45696.291666666664</v>
      </c>
      <c r="E179">
        <v>0</v>
      </c>
      <c r="F179">
        <v>2.0499999999999998</v>
      </c>
      <c r="G179">
        <v>0</v>
      </c>
      <c r="H179">
        <v>2.08</v>
      </c>
    </row>
    <row r="180" spans="1:8" x14ac:dyDescent="0.55000000000000004">
      <c r="A180" s="11" t="str">
        <f t="shared" si="6"/>
        <v>2月</v>
      </c>
      <c r="B180" s="11" t="str">
        <f t="shared" si="7"/>
        <v>2月8日</v>
      </c>
      <c r="C180" s="11" t="str">
        <f t="shared" si="8"/>
        <v>9時</v>
      </c>
      <c r="D180" s="10">
        <v>45696.333333333336</v>
      </c>
      <c r="E180">
        <v>0</v>
      </c>
      <c r="F180">
        <v>1.9</v>
      </c>
      <c r="G180">
        <v>0</v>
      </c>
      <c r="H180">
        <v>1.93</v>
      </c>
    </row>
    <row r="181" spans="1:8" x14ac:dyDescent="0.55000000000000004">
      <c r="A181" s="11" t="str">
        <f t="shared" si="6"/>
        <v>2月</v>
      </c>
      <c r="B181" s="11" t="str">
        <f t="shared" si="7"/>
        <v>2月8日</v>
      </c>
      <c r="C181" s="11" t="str">
        <f t="shared" si="8"/>
        <v>10時</v>
      </c>
      <c r="D181" s="10">
        <v>45696.375</v>
      </c>
      <c r="E181">
        <v>0</v>
      </c>
      <c r="F181">
        <v>1.1499999999999999</v>
      </c>
      <c r="G181">
        <v>0</v>
      </c>
      <c r="H181">
        <v>1.18</v>
      </c>
    </row>
    <row r="182" spans="1:8" x14ac:dyDescent="0.55000000000000004">
      <c r="A182" s="11" t="str">
        <f t="shared" si="6"/>
        <v>2月</v>
      </c>
      <c r="B182" s="11" t="str">
        <f t="shared" si="7"/>
        <v>2月8日</v>
      </c>
      <c r="C182" s="11" t="str">
        <f t="shared" si="8"/>
        <v>11時</v>
      </c>
      <c r="D182" s="10">
        <v>45696.416666666664</v>
      </c>
      <c r="E182">
        <v>0</v>
      </c>
      <c r="F182">
        <v>0.97</v>
      </c>
      <c r="G182">
        <v>0</v>
      </c>
      <c r="H182">
        <v>1</v>
      </c>
    </row>
    <row r="183" spans="1:8" x14ac:dyDescent="0.55000000000000004">
      <c r="A183" s="11" t="str">
        <f t="shared" si="6"/>
        <v>2月</v>
      </c>
      <c r="B183" s="11" t="str">
        <f t="shared" si="7"/>
        <v>2月8日</v>
      </c>
      <c r="C183" s="11" t="str">
        <f t="shared" si="8"/>
        <v>12時</v>
      </c>
      <c r="D183" s="10">
        <v>45696.458333333336</v>
      </c>
      <c r="E183">
        <v>0</v>
      </c>
      <c r="F183">
        <v>0.94</v>
      </c>
      <c r="G183">
        <v>0</v>
      </c>
      <c r="H183">
        <v>0.96</v>
      </c>
    </row>
    <row r="184" spans="1:8" x14ac:dyDescent="0.55000000000000004">
      <c r="A184" s="11" t="str">
        <f t="shared" si="6"/>
        <v>2月</v>
      </c>
      <c r="B184" s="11" t="str">
        <f t="shared" si="7"/>
        <v>2月8日</v>
      </c>
      <c r="C184" s="11" t="str">
        <f t="shared" si="8"/>
        <v>13時</v>
      </c>
      <c r="D184" s="10">
        <v>45696.5</v>
      </c>
      <c r="E184">
        <v>0</v>
      </c>
      <c r="F184">
        <v>1.02</v>
      </c>
      <c r="G184">
        <v>0</v>
      </c>
      <c r="H184">
        <v>1.05</v>
      </c>
    </row>
    <row r="185" spans="1:8" x14ac:dyDescent="0.55000000000000004">
      <c r="A185" s="11" t="str">
        <f t="shared" si="6"/>
        <v>2月</v>
      </c>
      <c r="B185" s="11" t="str">
        <f t="shared" si="7"/>
        <v>2月8日</v>
      </c>
      <c r="C185" s="11" t="str">
        <f t="shared" si="8"/>
        <v>14時</v>
      </c>
      <c r="D185" s="10">
        <v>45696.541666666664</v>
      </c>
      <c r="E185">
        <v>0</v>
      </c>
      <c r="F185">
        <v>2.06</v>
      </c>
      <c r="G185">
        <v>0</v>
      </c>
      <c r="H185">
        <v>2.09</v>
      </c>
    </row>
    <row r="186" spans="1:8" x14ac:dyDescent="0.55000000000000004">
      <c r="A186" s="11" t="str">
        <f t="shared" si="6"/>
        <v>2月</v>
      </c>
      <c r="B186" s="11" t="str">
        <f t="shared" si="7"/>
        <v>2月8日</v>
      </c>
      <c r="C186" s="11" t="str">
        <f t="shared" si="8"/>
        <v>15時</v>
      </c>
      <c r="D186" s="10">
        <v>45696.583333333336</v>
      </c>
      <c r="E186">
        <v>0</v>
      </c>
      <c r="F186">
        <v>1.54</v>
      </c>
      <c r="G186">
        <v>0</v>
      </c>
      <c r="H186">
        <v>1.58</v>
      </c>
    </row>
    <row r="187" spans="1:8" x14ac:dyDescent="0.55000000000000004">
      <c r="A187" s="11" t="str">
        <f t="shared" si="6"/>
        <v>2月</v>
      </c>
      <c r="B187" s="11" t="str">
        <f t="shared" si="7"/>
        <v>2月8日</v>
      </c>
      <c r="C187" s="11" t="str">
        <f t="shared" si="8"/>
        <v>16時</v>
      </c>
      <c r="D187" s="10">
        <v>45696.625</v>
      </c>
      <c r="E187">
        <v>0</v>
      </c>
      <c r="F187">
        <v>2.2599999999999998</v>
      </c>
      <c r="G187">
        <v>0</v>
      </c>
      <c r="H187">
        <v>2.29</v>
      </c>
    </row>
    <row r="188" spans="1:8" x14ac:dyDescent="0.55000000000000004">
      <c r="A188" s="11" t="str">
        <f t="shared" si="6"/>
        <v>2月</v>
      </c>
      <c r="B188" s="11" t="str">
        <f t="shared" si="7"/>
        <v>2月8日</v>
      </c>
      <c r="C188" s="11" t="str">
        <f t="shared" si="8"/>
        <v>17時</v>
      </c>
      <c r="D188" s="10">
        <v>45696.666666666664</v>
      </c>
      <c r="E188">
        <v>0</v>
      </c>
      <c r="F188">
        <v>3.06</v>
      </c>
      <c r="G188">
        <v>0</v>
      </c>
      <c r="H188">
        <v>3.09</v>
      </c>
    </row>
    <row r="189" spans="1:8" x14ac:dyDescent="0.55000000000000004">
      <c r="A189" s="11" t="str">
        <f t="shared" si="6"/>
        <v>2月</v>
      </c>
      <c r="B189" s="11" t="str">
        <f t="shared" si="7"/>
        <v>2月8日</v>
      </c>
      <c r="C189" s="11" t="str">
        <f t="shared" si="8"/>
        <v>18時</v>
      </c>
      <c r="D189" s="10">
        <v>45696.708333333336</v>
      </c>
      <c r="E189">
        <v>0</v>
      </c>
      <c r="F189">
        <v>3.18</v>
      </c>
      <c r="G189">
        <v>0</v>
      </c>
      <c r="H189">
        <v>3.22</v>
      </c>
    </row>
    <row r="190" spans="1:8" x14ac:dyDescent="0.55000000000000004">
      <c r="A190" s="11" t="str">
        <f t="shared" si="6"/>
        <v>2月</v>
      </c>
      <c r="B190" s="11" t="str">
        <f t="shared" si="7"/>
        <v>2月8日</v>
      </c>
      <c r="C190" s="11" t="str">
        <f t="shared" si="8"/>
        <v>19時</v>
      </c>
      <c r="D190" s="10">
        <v>45696.75</v>
      </c>
      <c r="E190">
        <v>0</v>
      </c>
      <c r="F190">
        <v>4.07</v>
      </c>
      <c r="G190">
        <v>0</v>
      </c>
      <c r="H190">
        <v>4.1100000000000003</v>
      </c>
    </row>
    <row r="191" spans="1:8" x14ac:dyDescent="0.55000000000000004">
      <c r="A191" s="11" t="str">
        <f t="shared" si="6"/>
        <v>2月</v>
      </c>
      <c r="B191" s="11" t="str">
        <f t="shared" si="7"/>
        <v>2月8日</v>
      </c>
      <c r="C191" s="11" t="str">
        <f t="shared" si="8"/>
        <v>20時</v>
      </c>
      <c r="D191" s="10">
        <v>45696.791666666664</v>
      </c>
      <c r="E191">
        <v>0</v>
      </c>
      <c r="F191">
        <v>3.52</v>
      </c>
      <c r="G191">
        <v>0</v>
      </c>
      <c r="H191">
        <v>3.56</v>
      </c>
    </row>
    <row r="192" spans="1:8" x14ac:dyDescent="0.55000000000000004">
      <c r="A192" s="11" t="str">
        <f t="shared" si="6"/>
        <v>1月</v>
      </c>
      <c r="B192" s="11" t="str">
        <f t="shared" si="7"/>
        <v>1月0日</v>
      </c>
      <c r="C192" s="11" t="str">
        <f t="shared" si="8"/>
        <v>1時</v>
      </c>
      <c r="D192" s="10"/>
    </row>
    <row r="193" spans="1:4" x14ac:dyDescent="0.55000000000000004">
      <c r="A193" s="11" t="str">
        <f t="shared" si="6"/>
        <v>1月</v>
      </c>
      <c r="B193" s="11" t="str">
        <f t="shared" si="7"/>
        <v>1月0日</v>
      </c>
      <c r="C193" s="11" t="str">
        <f t="shared" si="8"/>
        <v>1時</v>
      </c>
      <c r="D193" s="10"/>
    </row>
    <row r="194" spans="1:4" x14ac:dyDescent="0.55000000000000004">
      <c r="A194" s="11" t="str">
        <f t="shared" si="6"/>
        <v>1月</v>
      </c>
      <c r="B194" s="11" t="str">
        <f t="shared" si="7"/>
        <v>1月0日</v>
      </c>
      <c r="C194" s="11" t="str">
        <f t="shared" si="8"/>
        <v>1時</v>
      </c>
      <c r="D194" s="10"/>
    </row>
    <row r="195" spans="1:4" x14ac:dyDescent="0.55000000000000004">
      <c r="A195" s="11" t="str">
        <f t="shared" si="6"/>
        <v>1月</v>
      </c>
      <c r="B195" s="11" t="str">
        <f t="shared" si="7"/>
        <v>1月0日</v>
      </c>
      <c r="C195" s="11" t="str">
        <f t="shared" si="8"/>
        <v>1時</v>
      </c>
      <c r="D195" s="10"/>
    </row>
    <row r="196" spans="1:4" x14ac:dyDescent="0.55000000000000004">
      <c r="A196" s="11" t="str">
        <f t="shared" ref="A196:A259" si="9">MONTH(D196)&amp;"月"</f>
        <v>1月</v>
      </c>
      <c r="B196" s="11" t="str">
        <f t="shared" ref="B196:B259" si="10">A196&amp;DAY(D196)&amp;"日"</f>
        <v>1月0日</v>
      </c>
      <c r="C196" s="11" t="str">
        <f t="shared" ref="C196:C259" si="11">HOUR(D196)+1&amp;"時"</f>
        <v>1時</v>
      </c>
      <c r="D196" s="10"/>
    </row>
    <row r="197" spans="1:4" x14ac:dyDescent="0.55000000000000004">
      <c r="A197" s="11" t="str">
        <f t="shared" si="9"/>
        <v>1月</v>
      </c>
      <c r="B197" s="11" t="str">
        <f t="shared" si="10"/>
        <v>1月0日</v>
      </c>
      <c r="C197" s="11" t="str">
        <f t="shared" si="11"/>
        <v>1時</v>
      </c>
      <c r="D197" s="10"/>
    </row>
    <row r="198" spans="1:4" x14ac:dyDescent="0.55000000000000004">
      <c r="A198" s="11" t="str">
        <f t="shared" si="9"/>
        <v>1月</v>
      </c>
      <c r="B198" s="11" t="str">
        <f t="shared" si="10"/>
        <v>1月0日</v>
      </c>
      <c r="C198" s="11" t="str">
        <f t="shared" si="11"/>
        <v>1時</v>
      </c>
      <c r="D198" s="10"/>
    </row>
    <row r="199" spans="1:4" x14ac:dyDescent="0.55000000000000004">
      <c r="A199" s="11" t="str">
        <f t="shared" si="9"/>
        <v>1月</v>
      </c>
      <c r="B199" s="11" t="str">
        <f t="shared" si="10"/>
        <v>1月0日</v>
      </c>
      <c r="C199" s="11" t="str">
        <f t="shared" si="11"/>
        <v>1時</v>
      </c>
      <c r="D199" s="10"/>
    </row>
    <row r="200" spans="1:4" x14ac:dyDescent="0.55000000000000004">
      <c r="A200" s="11" t="str">
        <f t="shared" si="9"/>
        <v>1月</v>
      </c>
      <c r="B200" s="11" t="str">
        <f t="shared" si="10"/>
        <v>1月0日</v>
      </c>
      <c r="C200" s="11" t="str">
        <f t="shared" si="11"/>
        <v>1時</v>
      </c>
      <c r="D200" s="10"/>
    </row>
    <row r="201" spans="1:4" x14ac:dyDescent="0.55000000000000004">
      <c r="A201" s="11" t="str">
        <f t="shared" si="9"/>
        <v>1月</v>
      </c>
      <c r="B201" s="11" t="str">
        <f t="shared" si="10"/>
        <v>1月0日</v>
      </c>
      <c r="C201" s="11" t="str">
        <f t="shared" si="11"/>
        <v>1時</v>
      </c>
      <c r="D201" s="10"/>
    </row>
    <row r="202" spans="1:4" x14ac:dyDescent="0.55000000000000004">
      <c r="A202" s="11" t="str">
        <f t="shared" si="9"/>
        <v>1月</v>
      </c>
      <c r="B202" s="11" t="str">
        <f t="shared" si="10"/>
        <v>1月0日</v>
      </c>
      <c r="C202" s="11" t="str">
        <f t="shared" si="11"/>
        <v>1時</v>
      </c>
      <c r="D202" s="10"/>
    </row>
    <row r="203" spans="1:4" x14ac:dyDescent="0.55000000000000004">
      <c r="A203" s="11" t="str">
        <f t="shared" si="9"/>
        <v>1月</v>
      </c>
      <c r="B203" s="11" t="str">
        <f t="shared" si="10"/>
        <v>1月0日</v>
      </c>
      <c r="C203" s="11" t="str">
        <f t="shared" si="11"/>
        <v>1時</v>
      </c>
      <c r="D203" s="10"/>
    </row>
    <row r="204" spans="1:4" x14ac:dyDescent="0.55000000000000004">
      <c r="A204" s="11" t="str">
        <f t="shared" si="9"/>
        <v>1月</v>
      </c>
      <c r="B204" s="11" t="str">
        <f t="shared" si="10"/>
        <v>1月0日</v>
      </c>
      <c r="C204" s="11" t="str">
        <f t="shared" si="11"/>
        <v>1時</v>
      </c>
      <c r="D204" s="10"/>
    </row>
    <row r="205" spans="1:4" x14ac:dyDescent="0.55000000000000004">
      <c r="A205" s="11" t="str">
        <f t="shared" si="9"/>
        <v>1月</v>
      </c>
      <c r="B205" s="11" t="str">
        <f t="shared" si="10"/>
        <v>1月0日</v>
      </c>
      <c r="C205" s="11" t="str">
        <f t="shared" si="11"/>
        <v>1時</v>
      </c>
      <c r="D205" s="10"/>
    </row>
    <row r="206" spans="1:4" x14ac:dyDescent="0.55000000000000004">
      <c r="A206" s="11" t="str">
        <f t="shared" si="9"/>
        <v>1月</v>
      </c>
      <c r="B206" s="11" t="str">
        <f t="shared" si="10"/>
        <v>1月0日</v>
      </c>
      <c r="C206" s="11" t="str">
        <f t="shared" si="11"/>
        <v>1時</v>
      </c>
      <c r="D206" s="10"/>
    </row>
    <row r="207" spans="1:4" x14ac:dyDescent="0.55000000000000004">
      <c r="A207" s="11" t="str">
        <f t="shared" si="9"/>
        <v>1月</v>
      </c>
      <c r="B207" s="11" t="str">
        <f t="shared" si="10"/>
        <v>1月0日</v>
      </c>
      <c r="C207" s="11" t="str">
        <f t="shared" si="11"/>
        <v>1時</v>
      </c>
      <c r="D207" s="10"/>
    </row>
    <row r="208" spans="1:4" x14ac:dyDescent="0.55000000000000004">
      <c r="A208" s="11" t="str">
        <f t="shared" si="9"/>
        <v>1月</v>
      </c>
      <c r="B208" s="11" t="str">
        <f t="shared" si="10"/>
        <v>1月0日</v>
      </c>
      <c r="C208" s="11" t="str">
        <f t="shared" si="11"/>
        <v>1時</v>
      </c>
      <c r="D208" s="10"/>
    </row>
    <row r="209" spans="1:4" x14ac:dyDescent="0.55000000000000004">
      <c r="A209" s="11" t="str">
        <f t="shared" si="9"/>
        <v>1月</v>
      </c>
      <c r="B209" s="11" t="str">
        <f t="shared" si="10"/>
        <v>1月0日</v>
      </c>
      <c r="C209" s="11" t="str">
        <f t="shared" si="11"/>
        <v>1時</v>
      </c>
      <c r="D209" s="10"/>
    </row>
    <row r="210" spans="1:4" x14ac:dyDescent="0.55000000000000004">
      <c r="A210" s="11" t="str">
        <f t="shared" si="9"/>
        <v>1月</v>
      </c>
      <c r="B210" s="11" t="str">
        <f t="shared" si="10"/>
        <v>1月0日</v>
      </c>
      <c r="C210" s="11" t="str">
        <f t="shared" si="11"/>
        <v>1時</v>
      </c>
      <c r="D210" s="10"/>
    </row>
    <row r="211" spans="1:4" x14ac:dyDescent="0.55000000000000004">
      <c r="A211" s="11" t="str">
        <f t="shared" si="9"/>
        <v>1月</v>
      </c>
      <c r="B211" s="11" t="str">
        <f t="shared" si="10"/>
        <v>1月0日</v>
      </c>
      <c r="C211" s="11" t="str">
        <f t="shared" si="11"/>
        <v>1時</v>
      </c>
      <c r="D211" s="10"/>
    </row>
    <row r="212" spans="1:4" x14ac:dyDescent="0.55000000000000004">
      <c r="A212" s="11" t="str">
        <f t="shared" si="9"/>
        <v>1月</v>
      </c>
      <c r="B212" s="11" t="str">
        <f t="shared" si="10"/>
        <v>1月0日</v>
      </c>
      <c r="C212" s="11" t="str">
        <f t="shared" si="11"/>
        <v>1時</v>
      </c>
      <c r="D212" s="10"/>
    </row>
    <row r="213" spans="1:4" x14ac:dyDescent="0.55000000000000004">
      <c r="A213" s="11" t="str">
        <f t="shared" si="9"/>
        <v>1月</v>
      </c>
      <c r="B213" s="11" t="str">
        <f t="shared" si="10"/>
        <v>1月0日</v>
      </c>
      <c r="C213" s="11" t="str">
        <f t="shared" si="11"/>
        <v>1時</v>
      </c>
      <c r="D213" s="10"/>
    </row>
    <row r="214" spans="1:4" x14ac:dyDescent="0.55000000000000004">
      <c r="A214" s="11" t="str">
        <f t="shared" si="9"/>
        <v>1月</v>
      </c>
      <c r="B214" s="11" t="str">
        <f t="shared" si="10"/>
        <v>1月0日</v>
      </c>
      <c r="C214" s="11" t="str">
        <f t="shared" si="11"/>
        <v>1時</v>
      </c>
      <c r="D214" s="10"/>
    </row>
    <row r="215" spans="1:4" x14ac:dyDescent="0.55000000000000004">
      <c r="A215" s="11" t="str">
        <f t="shared" si="9"/>
        <v>1月</v>
      </c>
      <c r="B215" s="11" t="str">
        <f t="shared" si="10"/>
        <v>1月0日</v>
      </c>
      <c r="C215" s="11" t="str">
        <f t="shared" si="11"/>
        <v>1時</v>
      </c>
      <c r="D215" s="10"/>
    </row>
    <row r="216" spans="1:4" x14ac:dyDescent="0.55000000000000004">
      <c r="A216" s="11" t="str">
        <f t="shared" si="9"/>
        <v>1月</v>
      </c>
      <c r="B216" s="11" t="str">
        <f t="shared" si="10"/>
        <v>1月0日</v>
      </c>
      <c r="C216" s="11" t="str">
        <f t="shared" si="11"/>
        <v>1時</v>
      </c>
      <c r="D216" s="10"/>
    </row>
    <row r="217" spans="1:4" x14ac:dyDescent="0.55000000000000004">
      <c r="A217" s="11" t="str">
        <f t="shared" si="9"/>
        <v>1月</v>
      </c>
      <c r="B217" s="11" t="str">
        <f t="shared" si="10"/>
        <v>1月0日</v>
      </c>
      <c r="C217" s="11" t="str">
        <f t="shared" si="11"/>
        <v>1時</v>
      </c>
      <c r="D217" s="10"/>
    </row>
    <row r="218" spans="1:4" x14ac:dyDescent="0.55000000000000004">
      <c r="A218" s="11" t="str">
        <f t="shared" si="9"/>
        <v>1月</v>
      </c>
      <c r="B218" s="11" t="str">
        <f t="shared" si="10"/>
        <v>1月0日</v>
      </c>
      <c r="C218" s="11" t="str">
        <f t="shared" si="11"/>
        <v>1時</v>
      </c>
      <c r="D218" s="10"/>
    </row>
    <row r="219" spans="1:4" x14ac:dyDescent="0.55000000000000004">
      <c r="A219" s="11" t="str">
        <f t="shared" si="9"/>
        <v>1月</v>
      </c>
      <c r="B219" s="11" t="str">
        <f t="shared" si="10"/>
        <v>1月0日</v>
      </c>
      <c r="C219" s="11" t="str">
        <f t="shared" si="11"/>
        <v>1時</v>
      </c>
      <c r="D219" s="10"/>
    </row>
    <row r="220" spans="1:4" x14ac:dyDescent="0.55000000000000004">
      <c r="A220" s="11" t="str">
        <f t="shared" si="9"/>
        <v>1月</v>
      </c>
      <c r="B220" s="11" t="str">
        <f t="shared" si="10"/>
        <v>1月0日</v>
      </c>
      <c r="C220" s="11" t="str">
        <f t="shared" si="11"/>
        <v>1時</v>
      </c>
      <c r="D220" s="10"/>
    </row>
    <row r="221" spans="1:4" x14ac:dyDescent="0.55000000000000004">
      <c r="A221" s="11" t="str">
        <f t="shared" si="9"/>
        <v>1月</v>
      </c>
      <c r="B221" s="11" t="str">
        <f t="shared" si="10"/>
        <v>1月0日</v>
      </c>
      <c r="C221" s="11" t="str">
        <f t="shared" si="11"/>
        <v>1時</v>
      </c>
      <c r="D221" s="10"/>
    </row>
    <row r="222" spans="1:4" x14ac:dyDescent="0.55000000000000004">
      <c r="A222" s="11" t="str">
        <f t="shared" si="9"/>
        <v>1月</v>
      </c>
      <c r="B222" s="11" t="str">
        <f t="shared" si="10"/>
        <v>1月0日</v>
      </c>
      <c r="C222" s="11" t="str">
        <f t="shared" si="11"/>
        <v>1時</v>
      </c>
      <c r="D222" s="10"/>
    </row>
    <row r="223" spans="1:4" x14ac:dyDescent="0.55000000000000004">
      <c r="A223" s="11" t="str">
        <f t="shared" si="9"/>
        <v>1月</v>
      </c>
      <c r="B223" s="11" t="str">
        <f t="shared" si="10"/>
        <v>1月0日</v>
      </c>
      <c r="C223" s="11" t="str">
        <f t="shared" si="11"/>
        <v>1時</v>
      </c>
      <c r="D223" s="10"/>
    </row>
    <row r="224" spans="1:4" x14ac:dyDescent="0.55000000000000004">
      <c r="A224" s="11" t="str">
        <f t="shared" si="9"/>
        <v>1月</v>
      </c>
      <c r="B224" s="11" t="str">
        <f t="shared" si="10"/>
        <v>1月0日</v>
      </c>
      <c r="C224" s="11" t="str">
        <f t="shared" si="11"/>
        <v>1時</v>
      </c>
      <c r="D224" s="10"/>
    </row>
    <row r="225" spans="1:4" x14ac:dyDescent="0.55000000000000004">
      <c r="A225" s="11" t="str">
        <f t="shared" si="9"/>
        <v>1月</v>
      </c>
      <c r="B225" s="11" t="str">
        <f t="shared" si="10"/>
        <v>1月0日</v>
      </c>
      <c r="C225" s="11" t="str">
        <f t="shared" si="11"/>
        <v>1時</v>
      </c>
      <c r="D225" s="10"/>
    </row>
    <row r="226" spans="1:4" x14ac:dyDescent="0.55000000000000004">
      <c r="A226" s="11" t="str">
        <f t="shared" si="9"/>
        <v>1月</v>
      </c>
      <c r="B226" s="11" t="str">
        <f t="shared" si="10"/>
        <v>1月0日</v>
      </c>
      <c r="C226" s="11" t="str">
        <f t="shared" si="11"/>
        <v>1時</v>
      </c>
      <c r="D226" s="10"/>
    </row>
    <row r="227" spans="1:4" x14ac:dyDescent="0.55000000000000004">
      <c r="A227" s="11" t="str">
        <f t="shared" si="9"/>
        <v>1月</v>
      </c>
      <c r="B227" s="11" t="str">
        <f t="shared" si="10"/>
        <v>1月0日</v>
      </c>
      <c r="C227" s="11" t="str">
        <f t="shared" si="11"/>
        <v>1時</v>
      </c>
      <c r="D227" s="10"/>
    </row>
    <row r="228" spans="1:4" x14ac:dyDescent="0.55000000000000004">
      <c r="A228" s="11" t="str">
        <f t="shared" si="9"/>
        <v>1月</v>
      </c>
      <c r="B228" s="11" t="str">
        <f t="shared" si="10"/>
        <v>1月0日</v>
      </c>
      <c r="C228" s="11" t="str">
        <f t="shared" si="11"/>
        <v>1時</v>
      </c>
      <c r="D228" s="10"/>
    </row>
    <row r="229" spans="1:4" x14ac:dyDescent="0.55000000000000004">
      <c r="A229" s="11" t="str">
        <f t="shared" si="9"/>
        <v>1月</v>
      </c>
      <c r="B229" s="11" t="str">
        <f t="shared" si="10"/>
        <v>1月0日</v>
      </c>
      <c r="C229" s="11" t="str">
        <f t="shared" si="11"/>
        <v>1時</v>
      </c>
      <c r="D229" s="10"/>
    </row>
    <row r="230" spans="1:4" x14ac:dyDescent="0.55000000000000004">
      <c r="A230" s="11" t="str">
        <f t="shared" si="9"/>
        <v>1月</v>
      </c>
      <c r="B230" s="11" t="str">
        <f t="shared" si="10"/>
        <v>1月0日</v>
      </c>
      <c r="C230" s="11" t="str">
        <f t="shared" si="11"/>
        <v>1時</v>
      </c>
      <c r="D230" s="10"/>
    </row>
    <row r="231" spans="1:4" x14ac:dyDescent="0.55000000000000004">
      <c r="A231" s="11" t="str">
        <f t="shared" si="9"/>
        <v>1月</v>
      </c>
      <c r="B231" s="11" t="str">
        <f t="shared" si="10"/>
        <v>1月0日</v>
      </c>
      <c r="C231" s="11" t="str">
        <f t="shared" si="11"/>
        <v>1時</v>
      </c>
      <c r="D231" s="10"/>
    </row>
    <row r="232" spans="1:4" x14ac:dyDescent="0.55000000000000004">
      <c r="A232" s="11" t="str">
        <f t="shared" si="9"/>
        <v>1月</v>
      </c>
      <c r="B232" s="11" t="str">
        <f t="shared" si="10"/>
        <v>1月0日</v>
      </c>
      <c r="C232" s="11" t="str">
        <f t="shared" si="11"/>
        <v>1時</v>
      </c>
      <c r="D232" s="10"/>
    </row>
    <row r="233" spans="1:4" x14ac:dyDescent="0.55000000000000004">
      <c r="A233" s="11" t="str">
        <f t="shared" si="9"/>
        <v>1月</v>
      </c>
      <c r="B233" s="11" t="str">
        <f t="shared" si="10"/>
        <v>1月0日</v>
      </c>
      <c r="C233" s="11" t="str">
        <f t="shared" si="11"/>
        <v>1時</v>
      </c>
      <c r="D233" s="10"/>
    </row>
    <row r="234" spans="1:4" x14ac:dyDescent="0.55000000000000004">
      <c r="A234" s="11" t="str">
        <f t="shared" si="9"/>
        <v>1月</v>
      </c>
      <c r="B234" s="11" t="str">
        <f t="shared" si="10"/>
        <v>1月0日</v>
      </c>
      <c r="C234" s="11" t="str">
        <f t="shared" si="11"/>
        <v>1時</v>
      </c>
      <c r="D234" s="10"/>
    </row>
    <row r="235" spans="1:4" x14ac:dyDescent="0.55000000000000004">
      <c r="A235" s="11" t="str">
        <f t="shared" si="9"/>
        <v>1月</v>
      </c>
      <c r="B235" s="11" t="str">
        <f t="shared" si="10"/>
        <v>1月0日</v>
      </c>
      <c r="C235" s="11" t="str">
        <f t="shared" si="11"/>
        <v>1時</v>
      </c>
      <c r="D235" s="10"/>
    </row>
    <row r="236" spans="1:4" x14ac:dyDescent="0.55000000000000004">
      <c r="A236" s="11" t="str">
        <f t="shared" si="9"/>
        <v>1月</v>
      </c>
      <c r="B236" s="11" t="str">
        <f t="shared" si="10"/>
        <v>1月0日</v>
      </c>
      <c r="C236" s="11" t="str">
        <f t="shared" si="11"/>
        <v>1時</v>
      </c>
      <c r="D236" s="10"/>
    </row>
    <row r="237" spans="1:4" x14ac:dyDescent="0.55000000000000004">
      <c r="A237" s="11" t="str">
        <f t="shared" si="9"/>
        <v>1月</v>
      </c>
      <c r="B237" s="11" t="str">
        <f t="shared" si="10"/>
        <v>1月0日</v>
      </c>
      <c r="C237" s="11" t="str">
        <f t="shared" si="11"/>
        <v>1時</v>
      </c>
      <c r="D237" s="10"/>
    </row>
    <row r="238" spans="1:4" x14ac:dyDescent="0.55000000000000004">
      <c r="A238" s="11" t="str">
        <f t="shared" si="9"/>
        <v>1月</v>
      </c>
      <c r="B238" s="11" t="str">
        <f t="shared" si="10"/>
        <v>1月0日</v>
      </c>
      <c r="C238" s="11" t="str">
        <f t="shared" si="11"/>
        <v>1時</v>
      </c>
      <c r="D238" s="10"/>
    </row>
    <row r="239" spans="1:4" x14ac:dyDescent="0.55000000000000004">
      <c r="A239" s="11" t="str">
        <f t="shared" si="9"/>
        <v>1月</v>
      </c>
      <c r="B239" s="11" t="str">
        <f t="shared" si="10"/>
        <v>1月0日</v>
      </c>
      <c r="C239" s="11" t="str">
        <f t="shared" si="11"/>
        <v>1時</v>
      </c>
      <c r="D239" s="10"/>
    </row>
    <row r="240" spans="1:4" x14ac:dyDescent="0.55000000000000004">
      <c r="A240" s="11" t="str">
        <f t="shared" si="9"/>
        <v>1月</v>
      </c>
      <c r="B240" s="11" t="str">
        <f t="shared" si="10"/>
        <v>1月0日</v>
      </c>
      <c r="C240" s="11" t="str">
        <f t="shared" si="11"/>
        <v>1時</v>
      </c>
      <c r="D240" s="10"/>
    </row>
    <row r="241" spans="1:4" x14ac:dyDescent="0.55000000000000004">
      <c r="A241" s="11" t="str">
        <f t="shared" si="9"/>
        <v>1月</v>
      </c>
      <c r="B241" s="11" t="str">
        <f t="shared" si="10"/>
        <v>1月0日</v>
      </c>
      <c r="C241" s="11" t="str">
        <f t="shared" si="11"/>
        <v>1時</v>
      </c>
      <c r="D241" s="10"/>
    </row>
    <row r="242" spans="1:4" x14ac:dyDescent="0.55000000000000004">
      <c r="A242" s="11" t="str">
        <f t="shared" si="9"/>
        <v>1月</v>
      </c>
      <c r="B242" s="11" t="str">
        <f t="shared" si="10"/>
        <v>1月0日</v>
      </c>
      <c r="C242" s="11" t="str">
        <f t="shared" si="11"/>
        <v>1時</v>
      </c>
      <c r="D242" s="10"/>
    </row>
    <row r="243" spans="1:4" x14ac:dyDescent="0.55000000000000004">
      <c r="A243" s="11" t="str">
        <f t="shared" si="9"/>
        <v>1月</v>
      </c>
      <c r="B243" s="11" t="str">
        <f t="shared" si="10"/>
        <v>1月0日</v>
      </c>
      <c r="C243" s="11" t="str">
        <f t="shared" si="11"/>
        <v>1時</v>
      </c>
      <c r="D243" s="10"/>
    </row>
    <row r="244" spans="1:4" x14ac:dyDescent="0.55000000000000004">
      <c r="A244" s="11" t="str">
        <f t="shared" si="9"/>
        <v>1月</v>
      </c>
      <c r="B244" s="11" t="str">
        <f t="shared" si="10"/>
        <v>1月0日</v>
      </c>
      <c r="C244" s="11" t="str">
        <f t="shared" si="11"/>
        <v>1時</v>
      </c>
      <c r="D244" s="10"/>
    </row>
    <row r="245" spans="1:4" x14ac:dyDescent="0.55000000000000004">
      <c r="A245" s="11" t="str">
        <f t="shared" si="9"/>
        <v>1月</v>
      </c>
      <c r="B245" s="11" t="str">
        <f t="shared" si="10"/>
        <v>1月0日</v>
      </c>
      <c r="C245" s="11" t="str">
        <f t="shared" si="11"/>
        <v>1時</v>
      </c>
      <c r="D245" s="10"/>
    </row>
    <row r="246" spans="1:4" x14ac:dyDescent="0.55000000000000004">
      <c r="A246" s="11" t="str">
        <f t="shared" si="9"/>
        <v>1月</v>
      </c>
      <c r="B246" s="11" t="str">
        <f t="shared" si="10"/>
        <v>1月0日</v>
      </c>
      <c r="C246" s="11" t="str">
        <f t="shared" si="11"/>
        <v>1時</v>
      </c>
      <c r="D246" s="10"/>
    </row>
    <row r="247" spans="1:4" x14ac:dyDescent="0.55000000000000004">
      <c r="A247" s="11" t="str">
        <f t="shared" si="9"/>
        <v>1月</v>
      </c>
      <c r="B247" s="11" t="str">
        <f t="shared" si="10"/>
        <v>1月0日</v>
      </c>
      <c r="C247" s="11" t="str">
        <f t="shared" si="11"/>
        <v>1時</v>
      </c>
      <c r="D247" s="10"/>
    </row>
    <row r="248" spans="1:4" x14ac:dyDescent="0.55000000000000004">
      <c r="A248" s="11" t="str">
        <f t="shared" si="9"/>
        <v>1月</v>
      </c>
      <c r="B248" s="11" t="str">
        <f t="shared" si="10"/>
        <v>1月0日</v>
      </c>
      <c r="C248" s="11" t="str">
        <f t="shared" si="11"/>
        <v>1時</v>
      </c>
      <c r="D248" s="10"/>
    </row>
    <row r="249" spans="1:4" x14ac:dyDescent="0.55000000000000004">
      <c r="A249" s="11" t="str">
        <f t="shared" si="9"/>
        <v>1月</v>
      </c>
      <c r="B249" s="11" t="str">
        <f t="shared" si="10"/>
        <v>1月0日</v>
      </c>
      <c r="C249" s="11" t="str">
        <f t="shared" si="11"/>
        <v>1時</v>
      </c>
      <c r="D249" s="10"/>
    </row>
    <row r="250" spans="1:4" x14ac:dyDescent="0.55000000000000004">
      <c r="A250" s="11" t="str">
        <f t="shared" si="9"/>
        <v>1月</v>
      </c>
      <c r="B250" s="11" t="str">
        <f t="shared" si="10"/>
        <v>1月0日</v>
      </c>
      <c r="C250" s="11" t="str">
        <f t="shared" si="11"/>
        <v>1時</v>
      </c>
      <c r="D250" s="10"/>
    </row>
    <row r="251" spans="1:4" x14ac:dyDescent="0.55000000000000004">
      <c r="A251" s="11" t="str">
        <f t="shared" si="9"/>
        <v>1月</v>
      </c>
      <c r="B251" s="11" t="str">
        <f t="shared" si="10"/>
        <v>1月0日</v>
      </c>
      <c r="C251" s="11" t="str">
        <f t="shared" si="11"/>
        <v>1時</v>
      </c>
      <c r="D251" s="10"/>
    </row>
    <row r="252" spans="1:4" x14ac:dyDescent="0.55000000000000004">
      <c r="A252" s="11" t="str">
        <f t="shared" si="9"/>
        <v>1月</v>
      </c>
      <c r="B252" s="11" t="str">
        <f t="shared" si="10"/>
        <v>1月0日</v>
      </c>
      <c r="C252" s="11" t="str">
        <f t="shared" si="11"/>
        <v>1時</v>
      </c>
      <c r="D252" s="10"/>
    </row>
    <row r="253" spans="1:4" x14ac:dyDescent="0.55000000000000004">
      <c r="A253" s="11" t="str">
        <f t="shared" si="9"/>
        <v>1月</v>
      </c>
      <c r="B253" s="11" t="str">
        <f t="shared" si="10"/>
        <v>1月0日</v>
      </c>
      <c r="C253" s="11" t="str">
        <f t="shared" si="11"/>
        <v>1時</v>
      </c>
      <c r="D253" s="10"/>
    </row>
    <row r="254" spans="1:4" x14ac:dyDescent="0.55000000000000004">
      <c r="A254" s="11" t="str">
        <f t="shared" si="9"/>
        <v>1月</v>
      </c>
      <c r="B254" s="11" t="str">
        <f t="shared" si="10"/>
        <v>1月0日</v>
      </c>
      <c r="C254" s="11" t="str">
        <f t="shared" si="11"/>
        <v>1時</v>
      </c>
      <c r="D254" s="10"/>
    </row>
    <row r="255" spans="1:4" x14ac:dyDescent="0.55000000000000004">
      <c r="A255" s="11" t="str">
        <f t="shared" si="9"/>
        <v>1月</v>
      </c>
      <c r="B255" s="11" t="str">
        <f t="shared" si="10"/>
        <v>1月0日</v>
      </c>
      <c r="C255" s="11" t="str">
        <f t="shared" si="11"/>
        <v>1時</v>
      </c>
      <c r="D255" s="10"/>
    </row>
    <row r="256" spans="1:4" x14ac:dyDescent="0.55000000000000004">
      <c r="A256" s="11" t="str">
        <f t="shared" si="9"/>
        <v>1月</v>
      </c>
      <c r="B256" s="11" t="str">
        <f t="shared" si="10"/>
        <v>1月0日</v>
      </c>
      <c r="C256" s="11" t="str">
        <f t="shared" si="11"/>
        <v>1時</v>
      </c>
      <c r="D256" s="10"/>
    </row>
    <row r="257" spans="1:4" x14ac:dyDescent="0.55000000000000004">
      <c r="A257" s="11" t="str">
        <f t="shared" si="9"/>
        <v>1月</v>
      </c>
      <c r="B257" s="11" t="str">
        <f t="shared" si="10"/>
        <v>1月0日</v>
      </c>
      <c r="C257" s="11" t="str">
        <f t="shared" si="11"/>
        <v>1時</v>
      </c>
      <c r="D257" s="10"/>
    </row>
    <row r="258" spans="1:4" x14ac:dyDescent="0.55000000000000004">
      <c r="A258" s="11" t="str">
        <f t="shared" si="9"/>
        <v>1月</v>
      </c>
      <c r="B258" s="11" t="str">
        <f t="shared" si="10"/>
        <v>1月0日</v>
      </c>
      <c r="C258" s="11" t="str">
        <f t="shared" si="11"/>
        <v>1時</v>
      </c>
      <c r="D258" s="10"/>
    </row>
    <row r="259" spans="1:4" x14ac:dyDescent="0.55000000000000004">
      <c r="A259" s="11" t="str">
        <f t="shared" si="9"/>
        <v>1月</v>
      </c>
      <c r="B259" s="11" t="str">
        <f t="shared" si="10"/>
        <v>1月0日</v>
      </c>
      <c r="C259" s="11" t="str">
        <f t="shared" si="11"/>
        <v>1時</v>
      </c>
      <c r="D259" s="10"/>
    </row>
    <row r="260" spans="1:4" x14ac:dyDescent="0.55000000000000004">
      <c r="A260" s="11" t="str">
        <f t="shared" ref="A260:A323" si="12">MONTH(D260)&amp;"月"</f>
        <v>1月</v>
      </c>
      <c r="B260" s="11" t="str">
        <f t="shared" ref="B260:B323" si="13">A260&amp;DAY(D260)&amp;"日"</f>
        <v>1月0日</v>
      </c>
      <c r="C260" s="11" t="str">
        <f t="shared" ref="C260:C323" si="14">HOUR(D260)+1&amp;"時"</f>
        <v>1時</v>
      </c>
      <c r="D260" s="10"/>
    </row>
    <row r="261" spans="1:4" x14ac:dyDescent="0.55000000000000004">
      <c r="A261" s="11" t="str">
        <f t="shared" si="12"/>
        <v>1月</v>
      </c>
      <c r="B261" s="11" t="str">
        <f t="shared" si="13"/>
        <v>1月0日</v>
      </c>
      <c r="C261" s="11" t="str">
        <f t="shared" si="14"/>
        <v>1時</v>
      </c>
      <c r="D261" s="10"/>
    </row>
    <row r="262" spans="1:4" x14ac:dyDescent="0.55000000000000004">
      <c r="A262" s="11" t="str">
        <f t="shared" si="12"/>
        <v>1月</v>
      </c>
      <c r="B262" s="11" t="str">
        <f t="shared" si="13"/>
        <v>1月0日</v>
      </c>
      <c r="C262" s="11" t="str">
        <f t="shared" si="14"/>
        <v>1時</v>
      </c>
      <c r="D262" s="10"/>
    </row>
    <row r="263" spans="1:4" x14ac:dyDescent="0.55000000000000004">
      <c r="A263" s="11" t="str">
        <f t="shared" si="12"/>
        <v>1月</v>
      </c>
      <c r="B263" s="11" t="str">
        <f t="shared" si="13"/>
        <v>1月0日</v>
      </c>
      <c r="C263" s="11" t="str">
        <f t="shared" si="14"/>
        <v>1時</v>
      </c>
      <c r="D263" s="10"/>
    </row>
    <row r="264" spans="1:4" x14ac:dyDescent="0.55000000000000004">
      <c r="A264" s="11" t="str">
        <f t="shared" si="12"/>
        <v>1月</v>
      </c>
      <c r="B264" s="11" t="str">
        <f t="shared" si="13"/>
        <v>1月0日</v>
      </c>
      <c r="C264" s="11" t="str">
        <f t="shared" si="14"/>
        <v>1時</v>
      </c>
      <c r="D264" s="10"/>
    </row>
    <row r="265" spans="1:4" x14ac:dyDescent="0.55000000000000004">
      <c r="A265" s="11" t="str">
        <f t="shared" si="12"/>
        <v>1月</v>
      </c>
      <c r="B265" s="11" t="str">
        <f t="shared" si="13"/>
        <v>1月0日</v>
      </c>
      <c r="C265" s="11" t="str">
        <f t="shared" si="14"/>
        <v>1時</v>
      </c>
      <c r="D265" s="10"/>
    </row>
    <row r="266" spans="1:4" x14ac:dyDescent="0.55000000000000004">
      <c r="A266" s="11" t="str">
        <f t="shared" si="12"/>
        <v>1月</v>
      </c>
      <c r="B266" s="11" t="str">
        <f t="shared" si="13"/>
        <v>1月0日</v>
      </c>
      <c r="C266" s="11" t="str">
        <f t="shared" si="14"/>
        <v>1時</v>
      </c>
      <c r="D266" s="10"/>
    </row>
    <row r="267" spans="1:4" x14ac:dyDescent="0.55000000000000004">
      <c r="A267" s="11" t="str">
        <f t="shared" si="12"/>
        <v>1月</v>
      </c>
      <c r="B267" s="11" t="str">
        <f t="shared" si="13"/>
        <v>1月0日</v>
      </c>
      <c r="C267" s="11" t="str">
        <f t="shared" si="14"/>
        <v>1時</v>
      </c>
      <c r="D267" s="10"/>
    </row>
    <row r="268" spans="1:4" x14ac:dyDescent="0.55000000000000004">
      <c r="A268" s="11" t="str">
        <f t="shared" si="12"/>
        <v>1月</v>
      </c>
      <c r="B268" s="11" t="str">
        <f t="shared" si="13"/>
        <v>1月0日</v>
      </c>
      <c r="C268" s="11" t="str">
        <f t="shared" si="14"/>
        <v>1時</v>
      </c>
      <c r="D268" s="10"/>
    </row>
    <row r="269" spans="1:4" x14ac:dyDescent="0.55000000000000004">
      <c r="A269" s="11" t="str">
        <f t="shared" si="12"/>
        <v>1月</v>
      </c>
      <c r="B269" s="11" t="str">
        <f t="shared" si="13"/>
        <v>1月0日</v>
      </c>
      <c r="C269" s="11" t="str">
        <f t="shared" si="14"/>
        <v>1時</v>
      </c>
      <c r="D269" s="10"/>
    </row>
    <row r="270" spans="1:4" x14ac:dyDescent="0.55000000000000004">
      <c r="A270" s="11" t="str">
        <f t="shared" si="12"/>
        <v>1月</v>
      </c>
      <c r="B270" s="11" t="str">
        <f t="shared" si="13"/>
        <v>1月0日</v>
      </c>
      <c r="C270" s="11" t="str">
        <f t="shared" si="14"/>
        <v>1時</v>
      </c>
      <c r="D270" s="10"/>
    </row>
    <row r="271" spans="1:4" x14ac:dyDescent="0.55000000000000004">
      <c r="A271" s="11" t="str">
        <f t="shared" si="12"/>
        <v>1月</v>
      </c>
      <c r="B271" s="11" t="str">
        <f t="shared" si="13"/>
        <v>1月0日</v>
      </c>
      <c r="C271" s="11" t="str">
        <f t="shared" si="14"/>
        <v>1時</v>
      </c>
      <c r="D271" s="10"/>
    </row>
    <row r="272" spans="1:4" x14ac:dyDescent="0.55000000000000004">
      <c r="A272" s="11" t="str">
        <f t="shared" si="12"/>
        <v>1月</v>
      </c>
      <c r="B272" s="11" t="str">
        <f t="shared" si="13"/>
        <v>1月0日</v>
      </c>
      <c r="C272" s="11" t="str">
        <f t="shared" si="14"/>
        <v>1時</v>
      </c>
      <c r="D272" s="10"/>
    </row>
    <row r="273" spans="1:4" x14ac:dyDescent="0.55000000000000004">
      <c r="A273" s="11" t="str">
        <f t="shared" si="12"/>
        <v>1月</v>
      </c>
      <c r="B273" s="11" t="str">
        <f t="shared" si="13"/>
        <v>1月0日</v>
      </c>
      <c r="C273" s="11" t="str">
        <f t="shared" si="14"/>
        <v>1時</v>
      </c>
      <c r="D273" s="10"/>
    </row>
    <row r="274" spans="1:4" x14ac:dyDescent="0.55000000000000004">
      <c r="A274" s="11" t="str">
        <f t="shared" si="12"/>
        <v>1月</v>
      </c>
      <c r="B274" s="11" t="str">
        <f t="shared" si="13"/>
        <v>1月0日</v>
      </c>
      <c r="C274" s="11" t="str">
        <f t="shared" si="14"/>
        <v>1時</v>
      </c>
      <c r="D274" s="10"/>
    </row>
    <row r="275" spans="1:4" x14ac:dyDescent="0.55000000000000004">
      <c r="A275" s="11" t="str">
        <f t="shared" si="12"/>
        <v>1月</v>
      </c>
      <c r="B275" s="11" t="str">
        <f t="shared" si="13"/>
        <v>1月0日</v>
      </c>
      <c r="C275" s="11" t="str">
        <f t="shared" si="14"/>
        <v>1時</v>
      </c>
      <c r="D275" s="10"/>
    </row>
    <row r="276" spans="1:4" x14ac:dyDescent="0.55000000000000004">
      <c r="A276" s="11" t="str">
        <f t="shared" si="12"/>
        <v>1月</v>
      </c>
      <c r="B276" s="11" t="str">
        <f t="shared" si="13"/>
        <v>1月0日</v>
      </c>
      <c r="C276" s="11" t="str">
        <f t="shared" si="14"/>
        <v>1時</v>
      </c>
      <c r="D276" s="10"/>
    </row>
    <row r="277" spans="1:4" x14ac:dyDescent="0.55000000000000004">
      <c r="A277" s="11" t="str">
        <f t="shared" si="12"/>
        <v>1月</v>
      </c>
      <c r="B277" s="11" t="str">
        <f t="shared" si="13"/>
        <v>1月0日</v>
      </c>
      <c r="C277" s="11" t="str">
        <f t="shared" si="14"/>
        <v>1時</v>
      </c>
      <c r="D277" s="10"/>
    </row>
    <row r="278" spans="1:4" x14ac:dyDescent="0.55000000000000004">
      <c r="A278" s="11" t="str">
        <f t="shared" si="12"/>
        <v>1月</v>
      </c>
      <c r="B278" s="11" t="str">
        <f t="shared" si="13"/>
        <v>1月0日</v>
      </c>
      <c r="C278" s="11" t="str">
        <f t="shared" si="14"/>
        <v>1時</v>
      </c>
      <c r="D278" s="10"/>
    </row>
    <row r="279" spans="1:4" x14ac:dyDescent="0.55000000000000004">
      <c r="A279" s="11" t="str">
        <f t="shared" si="12"/>
        <v>1月</v>
      </c>
      <c r="B279" s="11" t="str">
        <f t="shared" si="13"/>
        <v>1月0日</v>
      </c>
      <c r="C279" s="11" t="str">
        <f t="shared" si="14"/>
        <v>1時</v>
      </c>
      <c r="D279" s="10"/>
    </row>
    <row r="280" spans="1:4" x14ac:dyDescent="0.55000000000000004">
      <c r="A280" s="11" t="str">
        <f t="shared" si="12"/>
        <v>1月</v>
      </c>
      <c r="B280" s="11" t="str">
        <f t="shared" si="13"/>
        <v>1月0日</v>
      </c>
      <c r="C280" s="11" t="str">
        <f t="shared" si="14"/>
        <v>1時</v>
      </c>
      <c r="D280" s="10"/>
    </row>
    <row r="281" spans="1:4" x14ac:dyDescent="0.55000000000000004">
      <c r="A281" s="11" t="str">
        <f t="shared" si="12"/>
        <v>1月</v>
      </c>
      <c r="B281" s="11" t="str">
        <f t="shared" si="13"/>
        <v>1月0日</v>
      </c>
      <c r="C281" s="11" t="str">
        <f t="shared" si="14"/>
        <v>1時</v>
      </c>
      <c r="D281" s="10"/>
    </row>
    <row r="282" spans="1:4" x14ac:dyDescent="0.55000000000000004">
      <c r="A282" s="11" t="str">
        <f t="shared" si="12"/>
        <v>1月</v>
      </c>
      <c r="B282" s="11" t="str">
        <f t="shared" si="13"/>
        <v>1月0日</v>
      </c>
      <c r="C282" s="11" t="str">
        <f t="shared" si="14"/>
        <v>1時</v>
      </c>
      <c r="D282" s="10"/>
    </row>
    <row r="283" spans="1:4" x14ac:dyDescent="0.55000000000000004">
      <c r="A283" s="11" t="str">
        <f t="shared" si="12"/>
        <v>1月</v>
      </c>
      <c r="B283" s="11" t="str">
        <f t="shared" si="13"/>
        <v>1月0日</v>
      </c>
      <c r="C283" s="11" t="str">
        <f t="shared" si="14"/>
        <v>1時</v>
      </c>
      <c r="D283" s="10"/>
    </row>
    <row r="284" spans="1:4" x14ac:dyDescent="0.55000000000000004">
      <c r="A284" s="11" t="str">
        <f t="shared" si="12"/>
        <v>1月</v>
      </c>
      <c r="B284" s="11" t="str">
        <f t="shared" si="13"/>
        <v>1月0日</v>
      </c>
      <c r="C284" s="11" t="str">
        <f t="shared" si="14"/>
        <v>1時</v>
      </c>
      <c r="D284" s="10"/>
    </row>
    <row r="285" spans="1:4" x14ac:dyDescent="0.55000000000000004">
      <c r="A285" s="11" t="str">
        <f t="shared" si="12"/>
        <v>1月</v>
      </c>
      <c r="B285" s="11" t="str">
        <f t="shared" si="13"/>
        <v>1月0日</v>
      </c>
      <c r="C285" s="11" t="str">
        <f t="shared" si="14"/>
        <v>1時</v>
      </c>
      <c r="D285" s="10"/>
    </row>
    <row r="286" spans="1:4" x14ac:dyDescent="0.55000000000000004">
      <c r="A286" s="11" t="str">
        <f t="shared" si="12"/>
        <v>1月</v>
      </c>
      <c r="B286" s="11" t="str">
        <f t="shared" si="13"/>
        <v>1月0日</v>
      </c>
      <c r="C286" s="11" t="str">
        <f t="shared" si="14"/>
        <v>1時</v>
      </c>
      <c r="D286" s="10"/>
    </row>
    <row r="287" spans="1:4" x14ac:dyDescent="0.55000000000000004">
      <c r="A287" s="11" t="str">
        <f t="shared" si="12"/>
        <v>1月</v>
      </c>
      <c r="B287" s="11" t="str">
        <f t="shared" si="13"/>
        <v>1月0日</v>
      </c>
      <c r="C287" s="11" t="str">
        <f t="shared" si="14"/>
        <v>1時</v>
      </c>
      <c r="D287" s="10"/>
    </row>
    <row r="288" spans="1:4" x14ac:dyDescent="0.55000000000000004">
      <c r="A288" s="11" t="str">
        <f t="shared" si="12"/>
        <v>1月</v>
      </c>
      <c r="B288" s="11" t="str">
        <f t="shared" si="13"/>
        <v>1月0日</v>
      </c>
      <c r="C288" s="11" t="str">
        <f t="shared" si="14"/>
        <v>1時</v>
      </c>
      <c r="D288" s="10"/>
    </row>
    <row r="289" spans="1:4" x14ac:dyDescent="0.55000000000000004">
      <c r="A289" s="11" t="str">
        <f t="shared" si="12"/>
        <v>1月</v>
      </c>
      <c r="B289" s="11" t="str">
        <f t="shared" si="13"/>
        <v>1月0日</v>
      </c>
      <c r="C289" s="11" t="str">
        <f t="shared" si="14"/>
        <v>1時</v>
      </c>
      <c r="D289" s="10"/>
    </row>
    <row r="290" spans="1:4" x14ac:dyDescent="0.55000000000000004">
      <c r="A290" s="11" t="str">
        <f t="shared" si="12"/>
        <v>1月</v>
      </c>
      <c r="B290" s="11" t="str">
        <f t="shared" si="13"/>
        <v>1月0日</v>
      </c>
      <c r="C290" s="11" t="str">
        <f t="shared" si="14"/>
        <v>1時</v>
      </c>
      <c r="D290" s="10"/>
    </row>
    <row r="291" spans="1:4" x14ac:dyDescent="0.55000000000000004">
      <c r="A291" s="11" t="str">
        <f t="shared" si="12"/>
        <v>1月</v>
      </c>
      <c r="B291" s="11" t="str">
        <f t="shared" si="13"/>
        <v>1月0日</v>
      </c>
      <c r="C291" s="11" t="str">
        <f t="shared" si="14"/>
        <v>1時</v>
      </c>
      <c r="D291" s="10"/>
    </row>
    <row r="292" spans="1:4" x14ac:dyDescent="0.55000000000000004">
      <c r="A292" s="11" t="str">
        <f t="shared" si="12"/>
        <v>1月</v>
      </c>
      <c r="B292" s="11" t="str">
        <f t="shared" si="13"/>
        <v>1月0日</v>
      </c>
      <c r="C292" s="11" t="str">
        <f t="shared" si="14"/>
        <v>1時</v>
      </c>
      <c r="D292" s="10"/>
    </row>
    <row r="293" spans="1:4" x14ac:dyDescent="0.55000000000000004">
      <c r="A293" s="11" t="str">
        <f t="shared" si="12"/>
        <v>1月</v>
      </c>
      <c r="B293" s="11" t="str">
        <f t="shared" si="13"/>
        <v>1月0日</v>
      </c>
      <c r="C293" s="11" t="str">
        <f t="shared" si="14"/>
        <v>1時</v>
      </c>
      <c r="D293" s="10"/>
    </row>
    <row r="294" spans="1:4" x14ac:dyDescent="0.55000000000000004">
      <c r="A294" s="11" t="str">
        <f t="shared" si="12"/>
        <v>1月</v>
      </c>
      <c r="B294" s="11" t="str">
        <f t="shared" si="13"/>
        <v>1月0日</v>
      </c>
      <c r="C294" s="11" t="str">
        <f t="shared" si="14"/>
        <v>1時</v>
      </c>
      <c r="D294" s="10"/>
    </row>
    <row r="295" spans="1:4" x14ac:dyDescent="0.55000000000000004">
      <c r="A295" s="11" t="str">
        <f t="shared" si="12"/>
        <v>1月</v>
      </c>
      <c r="B295" s="11" t="str">
        <f t="shared" si="13"/>
        <v>1月0日</v>
      </c>
      <c r="C295" s="11" t="str">
        <f t="shared" si="14"/>
        <v>1時</v>
      </c>
      <c r="D295" s="10"/>
    </row>
    <row r="296" spans="1:4" x14ac:dyDescent="0.55000000000000004">
      <c r="A296" s="11" t="str">
        <f t="shared" si="12"/>
        <v>1月</v>
      </c>
      <c r="B296" s="11" t="str">
        <f t="shared" si="13"/>
        <v>1月0日</v>
      </c>
      <c r="C296" s="11" t="str">
        <f t="shared" si="14"/>
        <v>1時</v>
      </c>
      <c r="D296" s="10"/>
    </row>
    <row r="297" spans="1:4" x14ac:dyDescent="0.55000000000000004">
      <c r="A297" s="11" t="str">
        <f t="shared" si="12"/>
        <v>1月</v>
      </c>
      <c r="B297" s="11" t="str">
        <f t="shared" si="13"/>
        <v>1月0日</v>
      </c>
      <c r="C297" s="11" t="str">
        <f t="shared" si="14"/>
        <v>1時</v>
      </c>
      <c r="D297" s="10"/>
    </row>
    <row r="298" spans="1:4" x14ac:dyDescent="0.55000000000000004">
      <c r="A298" s="11" t="str">
        <f t="shared" si="12"/>
        <v>1月</v>
      </c>
      <c r="B298" s="11" t="str">
        <f t="shared" si="13"/>
        <v>1月0日</v>
      </c>
      <c r="C298" s="11" t="str">
        <f t="shared" si="14"/>
        <v>1時</v>
      </c>
      <c r="D298" s="10"/>
    </row>
    <row r="299" spans="1:4" x14ac:dyDescent="0.55000000000000004">
      <c r="A299" s="11" t="str">
        <f t="shared" si="12"/>
        <v>1月</v>
      </c>
      <c r="B299" s="11" t="str">
        <f t="shared" si="13"/>
        <v>1月0日</v>
      </c>
      <c r="C299" s="11" t="str">
        <f t="shared" si="14"/>
        <v>1時</v>
      </c>
      <c r="D299" s="10"/>
    </row>
    <row r="300" spans="1:4" x14ac:dyDescent="0.55000000000000004">
      <c r="A300" s="11" t="str">
        <f t="shared" si="12"/>
        <v>1月</v>
      </c>
      <c r="B300" s="11" t="str">
        <f t="shared" si="13"/>
        <v>1月0日</v>
      </c>
      <c r="C300" s="11" t="str">
        <f t="shared" si="14"/>
        <v>1時</v>
      </c>
      <c r="D300" s="10"/>
    </row>
    <row r="301" spans="1:4" x14ac:dyDescent="0.55000000000000004">
      <c r="A301" s="11" t="str">
        <f t="shared" si="12"/>
        <v>1月</v>
      </c>
      <c r="B301" s="11" t="str">
        <f t="shared" si="13"/>
        <v>1月0日</v>
      </c>
      <c r="C301" s="11" t="str">
        <f t="shared" si="14"/>
        <v>1時</v>
      </c>
      <c r="D301" s="10"/>
    </row>
    <row r="302" spans="1:4" x14ac:dyDescent="0.55000000000000004">
      <c r="A302" s="11" t="str">
        <f t="shared" si="12"/>
        <v>1月</v>
      </c>
      <c r="B302" s="11" t="str">
        <f t="shared" si="13"/>
        <v>1月0日</v>
      </c>
      <c r="C302" s="11" t="str">
        <f t="shared" si="14"/>
        <v>1時</v>
      </c>
      <c r="D302" s="10"/>
    </row>
    <row r="303" spans="1:4" x14ac:dyDescent="0.55000000000000004">
      <c r="A303" s="11" t="str">
        <f t="shared" si="12"/>
        <v>1月</v>
      </c>
      <c r="B303" s="11" t="str">
        <f t="shared" si="13"/>
        <v>1月0日</v>
      </c>
      <c r="C303" s="11" t="str">
        <f t="shared" si="14"/>
        <v>1時</v>
      </c>
      <c r="D303" s="10"/>
    </row>
    <row r="304" spans="1:4" x14ac:dyDescent="0.55000000000000004">
      <c r="A304" s="11" t="str">
        <f t="shared" si="12"/>
        <v>1月</v>
      </c>
      <c r="B304" s="11" t="str">
        <f t="shared" si="13"/>
        <v>1月0日</v>
      </c>
      <c r="C304" s="11" t="str">
        <f t="shared" si="14"/>
        <v>1時</v>
      </c>
      <c r="D304" s="10"/>
    </row>
    <row r="305" spans="1:4" x14ac:dyDescent="0.55000000000000004">
      <c r="A305" s="11" t="str">
        <f t="shared" si="12"/>
        <v>1月</v>
      </c>
      <c r="B305" s="11" t="str">
        <f t="shared" si="13"/>
        <v>1月0日</v>
      </c>
      <c r="C305" s="11" t="str">
        <f t="shared" si="14"/>
        <v>1時</v>
      </c>
      <c r="D305" s="10"/>
    </row>
    <row r="306" spans="1:4" x14ac:dyDescent="0.55000000000000004">
      <c r="A306" s="11" t="str">
        <f t="shared" si="12"/>
        <v>1月</v>
      </c>
      <c r="B306" s="11" t="str">
        <f t="shared" si="13"/>
        <v>1月0日</v>
      </c>
      <c r="C306" s="11" t="str">
        <f t="shared" si="14"/>
        <v>1時</v>
      </c>
      <c r="D306" s="10"/>
    </row>
    <row r="307" spans="1:4" x14ac:dyDescent="0.55000000000000004">
      <c r="A307" s="11" t="str">
        <f t="shared" si="12"/>
        <v>1月</v>
      </c>
      <c r="B307" s="11" t="str">
        <f t="shared" si="13"/>
        <v>1月0日</v>
      </c>
      <c r="C307" s="11" t="str">
        <f t="shared" si="14"/>
        <v>1時</v>
      </c>
      <c r="D307" s="10"/>
    </row>
    <row r="308" spans="1:4" x14ac:dyDescent="0.55000000000000004">
      <c r="A308" s="11" t="str">
        <f t="shared" si="12"/>
        <v>1月</v>
      </c>
      <c r="B308" s="11" t="str">
        <f t="shared" si="13"/>
        <v>1月0日</v>
      </c>
      <c r="C308" s="11" t="str">
        <f t="shared" si="14"/>
        <v>1時</v>
      </c>
      <c r="D308" s="10"/>
    </row>
    <row r="309" spans="1:4" x14ac:dyDescent="0.55000000000000004">
      <c r="A309" s="11" t="str">
        <f t="shared" si="12"/>
        <v>1月</v>
      </c>
      <c r="B309" s="11" t="str">
        <f t="shared" si="13"/>
        <v>1月0日</v>
      </c>
      <c r="C309" s="11" t="str">
        <f t="shared" si="14"/>
        <v>1時</v>
      </c>
      <c r="D309" s="10"/>
    </row>
    <row r="310" spans="1:4" x14ac:dyDescent="0.55000000000000004">
      <c r="A310" s="11" t="str">
        <f t="shared" si="12"/>
        <v>1月</v>
      </c>
      <c r="B310" s="11" t="str">
        <f t="shared" si="13"/>
        <v>1月0日</v>
      </c>
      <c r="C310" s="11" t="str">
        <f t="shared" si="14"/>
        <v>1時</v>
      </c>
      <c r="D310" s="10"/>
    </row>
    <row r="311" spans="1:4" x14ac:dyDescent="0.55000000000000004">
      <c r="A311" s="11" t="str">
        <f t="shared" si="12"/>
        <v>1月</v>
      </c>
      <c r="B311" s="11" t="str">
        <f t="shared" si="13"/>
        <v>1月0日</v>
      </c>
      <c r="C311" s="11" t="str">
        <f t="shared" si="14"/>
        <v>1時</v>
      </c>
      <c r="D311" s="10"/>
    </row>
    <row r="312" spans="1:4" x14ac:dyDescent="0.55000000000000004">
      <c r="A312" s="11" t="str">
        <f t="shared" si="12"/>
        <v>1月</v>
      </c>
      <c r="B312" s="11" t="str">
        <f t="shared" si="13"/>
        <v>1月0日</v>
      </c>
      <c r="C312" s="11" t="str">
        <f t="shared" si="14"/>
        <v>1時</v>
      </c>
      <c r="D312" s="10"/>
    </row>
    <row r="313" spans="1:4" x14ac:dyDescent="0.55000000000000004">
      <c r="A313" s="11" t="str">
        <f t="shared" si="12"/>
        <v>1月</v>
      </c>
      <c r="B313" s="11" t="str">
        <f t="shared" si="13"/>
        <v>1月0日</v>
      </c>
      <c r="C313" s="11" t="str">
        <f t="shared" si="14"/>
        <v>1時</v>
      </c>
      <c r="D313" s="10"/>
    </row>
    <row r="314" spans="1:4" x14ac:dyDescent="0.55000000000000004">
      <c r="A314" s="11" t="str">
        <f t="shared" si="12"/>
        <v>1月</v>
      </c>
      <c r="B314" s="11" t="str">
        <f t="shared" si="13"/>
        <v>1月0日</v>
      </c>
      <c r="C314" s="11" t="str">
        <f t="shared" si="14"/>
        <v>1時</v>
      </c>
      <c r="D314" s="10"/>
    </row>
    <row r="315" spans="1:4" x14ac:dyDescent="0.55000000000000004">
      <c r="A315" s="11" t="str">
        <f t="shared" si="12"/>
        <v>1月</v>
      </c>
      <c r="B315" s="11" t="str">
        <f t="shared" si="13"/>
        <v>1月0日</v>
      </c>
      <c r="C315" s="11" t="str">
        <f t="shared" si="14"/>
        <v>1時</v>
      </c>
      <c r="D315" s="10"/>
    </row>
    <row r="316" spans="1:4" x14ac:dyDescent="0.55000000000000004">
      <c r="A316" s="11" t="str">
        <f t="shared" si="12"/>
        <v>1月</v>
      </c>
      <c r="B316" s="11" t="str">
        <f t="shared" si="13"/>
        <v>1月0日</v>
      </c>
      <c r="C316" s="11" t="str">
        <f t="shared" si="14"/>
        <v>1時</v>
      </c>
      <c r="D316" s="10"/>
    </row>
    <row r="317" spans="1:4" x14ac:dyDescent="0.55000000000000004">
      <c r="A317" s="11" t="str">
        <f t="shared" si="12"/>
        <v>1月</v>
      </c>
      <c r="B317" s="11" t="str">
        <f t="shared" si="13"/>
        <v>1月0日</v>
      </c>
      <c r="C317" s="11" t="str">
        <f t="shared" si="14"/>
        <v>1時</v>
      </c>
      <c r="D317" s="10"/>
    </row>
    <row r="318" spans="1:4" x14ac:dyDescent="0.55000000000000004">
      <c r="A318" s="11" t="str">
        <f t="shared" si="12"/>
        <v>1月</v>
      </c>
      <c r="B318" s="11" t="str">
        <f t="shared" si="13"/>
        <v>1月0日</v>
      </c>
      <c r="C318" s="11" t="str">
        <f t="shared" si="14"/>
        <v>1時</v>
      </c>
      <c r="D318" s="10"/>
    </row>
    <row r="319" spans="1:4" x14ac:dyDescent="0.55000000000000004">
      <c r="A319" s="11" t="str">
        <f t="shared" si="12"/>
        <v>1月</v>
      </c>
      <c r="B319" s="11" t="str">
        <f t="shared" si="13"/>
        <v>1月0日</v>
      </c>
      <c r="C319" s="11" t="str">
        <f t="shared" si="14"/>
        <v>1時</v>
      </c>
      <c r="D319" s="10"/>
    </row>
    <row r="320" spans="1:4" x14ac:dyDescent="0.55000000000000004">
      <c r="A320" s="11" t="str">
        <f t="shared" si="12"/>
        <v>1月</v>
      </c>
      <c r="B320" s="11" t="str">
        <f t="shared" si="13"/>
        <v>1月0日</v>
      </c>
      <c r="C320" s="11" t="str">
        <f t="shared" si="14"/>
        <v>1時</v>
      </c>
      <c r="D320" s="10"/>
    </row>
    <row r="321" spans="1:4" x14ac:dyDescent="0.55000000000000004">
      <c r="A321" s="11" t="str">
        <f t="shared" si="12"/>
        <v>1月</v>
      </c>
      <c r="B321" s="11" t="str">
        <f t="shared" si="13"/>
        <v>1月0日</v>
      </c>
      <c r="C321" s="11" t="str">
        <f t="shared" si="14"/>
        <v>1時</v>
      </c>
      <c r="D321" s="10"/>
    </row>
    <row r="322" spans="1:4" x14ac:dyDescent="0.55000000000000004">
      <c r="A322" s="11" t="str">
        <f t="shared" si="12"/>
        <v>1月</v>
      </c>
      <c r="B322" s="11" t="str">
        <f t="shared" si="13"/>
        <v>1月0日</v>
      </c>
      <c r="C322" s="11" t="str">
        <f t="shared" si="14"/>
        <v>1時</v>
      </c>
      <c r="D322" s="10"/>
    </row>
    <row r="323" spans="1:4" x14ac:dyDescent="0.55000000000000004">
      <c r="A323" s="11" t="str">
        <f t="shared" si="12"/>
        <v>1月</v>
      </c>
      <c r="B323" s="11" t="str">
        <f t="shared" si="13"/>
        <v>1月0日</v>
      </c>
      <c r="C323" s="11" t="str">
        <f t="shared" si="14"/>
        <v>1時</v>
      </c>
      <c r="D323" s="10"/>
    </row>
    <row r="324" spans="1:4" x14ac:dyDescent="0.55000000000000004">
      <c r="A324" s="11" t="str">
        <f t="shared" ref="A324:A387" si="15">MONTH(D324)&amp;"月"</f>
        <v>1月</v>
      </c>
      <c r="B324" s="11" t="str">
        <f t="shared" ref="B324:B387" si="16">A324&amp;DAY(D324)&amp;"日"</f>
        <v>1月0日</v>
      </c>
      <c r="C324" s="11" t="str">
        <f t="shared" ref="C324:C387" si="17">HOUR(D324)+1&amp;"時"</f>
        <v>1時</v>
      </c>
      <c r="D324" s="10"/>
    </row>
    <row r="325" spans="1:4" x14ac:dyDescent="0.55000000000000004">
      <c r="A325" s="11" t="str">
        <f t="shared" si="15"/>
        <v>1月</v>
      </c>
      <c r="B325" s="11" t="str">
        <f t="shared" si="16"/>
        <v>1月0日</v>
      </c>
      <c r="C325" s="11" t="str">
        <f t="shared" si="17"/>
        <v>1時</v>
      </c>
      <c r="D325" s="10"/>
    </row>
    <row r="326" spans="1:4" x14ac:dyDescent="0.55000000000000004">
      <c r="A326" s="11" t="str">
        <f t="shared" si="15"/>
        <v>1月</v>
      </c>
      <c r="B326" s="11" t="str">
        <f t="shared" si="16"/>
        <v>1月0日</v>
      </c>
      <c r="C326" s="11" t="str">
        <f t="shared" si="17"/>
        <v>1時</v>
      </c>
      <c r="D326" s="10"/>
    </row>
    <row r="327" spans="1:4" x14ac:dyDescent="0.55000000000000004">
      <c r="A327" s="11" t="str">
        <f t="shared" si="15"/>
        <v>1月</v>
      </c>
      <c r="B327" s="11" t="str">
        <f t="shared" si="16"/>
        <v>1月0日</v>
      </c>
      <c r="C327" s="11" t="str">
        <f t="shared" si="17"/>
        <v>1時</v>
      </c>
      <c r="D327" s="10"/>
    </row>
    <row r="328" spans="1:4" x14ac:dyDescent="0.55000000000000004">
      <c r="A328" s="11" t="str">
        <f t="shared" si="15"/>
        <v>1月</v>
      </c>
      <c r="B328" s="11" t="str">
        <f t="shared" si="16"/>
        <v>1月0日</v>
      </c>
      <c r="C328" s="11" t="str">
        <f t="shared" si="17"/>
        <v>1時</v>
      </c>
      <c r="D328" s="10"/>
    </row>
    <row r="329" spans="1:4" x14ac:dyDescent="0.55000000000000004">
      <c r="A329" s="11" t="str">
        <f t="shared" si="15"/>
        <v>1月</v>
      </c>
      <c r="B329" s="11" t="str">
        <f t="shared" si="16"/>
        <v>1月0日</v>
      </c>
      <c r="C329" s="11" t="str">
        <f t="shared" si="17"/>
        <v>1時</v>
      </c>
      <c r="D329" s="10"/>
    </row>
    <row r="330" spans="1:4" x14ac:dyDescent="0.55000000000000004">
      <c r="A330" s="11" t="str">
        <f t="shared" si="15"/>
        <v>1月</v>
      </c>
      <c r="B330" s="11" t="str">
        <f t="shared" si="16"/>
        <v>1月0日</v>
      </c>
      <c r="C330" s="11" t="str">
        <f t="shared" si="17"/>
        <v>1時</v>
      </c>
      <c r="D330" s="10"/>
    </row>
    <row r="331" spans="1:4" x14ac:dyDescent="0.55000000000000004">
      <c r="A331" s="11" t="str">
        <f t="shared" si="15"/>
        <v>1月</v>
      </c>
      <c r="B331" s="11" t="str">
        <f t="shared" si="16"/>
        <v>1月0日</v>
      </c>
      <c r="C331" s="11" t="str">
        <f t="shared" si="17"/>
        <v>1時</v>
      </c>
      <c r="D331" s="10"/>
    </row>
    <row r="332" spans="1:4" x14ac:dyDescent="0.55000000000000004">
      <c r="A332" s="11" t="str">
        <f t="shared" si="15"/>
        <v>1月</v>
      </c>
      <c r="B332" s="11" t="str">
        <f t="shared" si="16"/>
        <v>1月0日</v>
      </c>
      <c r="C332" s="11" t="str">
        <f t="shared" si="17"/>
        <v>1時</v>
      </c>
      <c r="D332" s="10"/>
    </row>
    <row r="333" spans="1:4" x14ac:dyDescent="0.55000000000000004">
      <c r="A333" s="11" t="str">
        <f t="shared" si="15"/>
        <v>1月</v>
      </c>
      <c r="B333" s="11" t="str">
        <f t="shared" si="16"/>
        <v>1月0日</v>
      </c>
      <c r="C333" s="11" t="str">
        <f t="shared" si="17"/>
        <v>1時</v>
      </c>
      <c r="D333" s="10"/>
    </row>
    <row r="334" spans="1:4" x14ac:dyDescent="0.55000000000000004">
      <c r="A334" s="11" t="str">
        <f t="shared" si="15"/>
        <v>1月</v>
      </c>
      <c r="B334" s="11" t="str">
        <f t="shared" si="16"/>
        <v>1月0日</v>
      </c>
      <c r="C334" s="11" t="str">
        <f t="shared" si="17"/>
        <v>1時</v>
      </c>
      <c r="D334" s="10"/>
    </row>
    <row r="335" spans="1:4" x14ac:dyDescent="0.55000000000000004">
      <c r="A335" s="11" t="str">
        <f t="shared" si="15"/>
        <v>1月</v>
      </c>
      <c r="B335" s="11" t="str">
        <f t="shared" si="16"/>
        <v>1月0日</v>
      </c>
      <c r="C335" s="11" t="str">
        <f t="shared" si="17"/>
        <v>1時</v>
      </c>
      <c r="D335" s="10"/>
    </row>
    <row r="336" spans="1:4" x14ac:dyDescent="0.55000000000000004">
      <c r="A336" s="11" t="str">
        <f t="shared" si="15"/>
        <v>1月</v>
      </c>
      <c r="B336" s="11" t="str">
        <f t="shared" si="16"/>
        <v>1月0日</v>
      </c>
      <c r="C336" s="11" t="str">
        <f t="shared" si="17"/>
        <v>1時</v>
      </c>
      <c r="D336" s="10"/>
    </row>
    <row r="337" spans="1:4" x14ac:dyDescent="0.55000000000000004">
      <c r="A337" s="11" t="str">
        <f t="shared" si="15"/>
        <v>1月</v>
      </c>
      <c r="B337" s="11" t="str">
        <f t="shared" si="16"/>
        <v>1月0日</v>
      </c>
      <c r="C337" s="11" t="str">
        <f t="shared" si="17"/>
        <v>1時</v>
      </c>
      <c r="D337" s="10"/>
    </row>
    <row r="338" spans="1:4" x14ac:dyDescent="0.55000000000000004">
      <c r="A338" s="11" t="str">
        <f t="shared" si="15"/>
        <v>1月</v>
      </c>
      <c r="B338" s="11" t="str">
        <f t="shared" si="16"/>
        <v>1月0日</v>
      </c>
      <c r="C338" s="11" t="str">
        <f t="shared" si="17"/>
        <v>1時</v>
      </c>
      <c r="D338" s="10"/>
    </row>
    <row r="339" spans="1:4" x14ac:dyDescent="0.55000000000000004">
      <c r="A339" s="11" t="str">
        <f t="shared" si="15"/>
        <v>1月</v>
      </c>
      <c r="B339" s="11" t="str">
        <f t="shared" si="16"/>
        <v>1月0日</v>
      </c>
      <c r="C339" s="11" t="str">
        <f t="shared" si="17"/>
        <v>1時</v>
      </c>
      <c r="D339" s="10"/>
    </row>
    <row r="340" spans="1:4" x14ac:dyDescent="0.55000000000000004">
      <c r="A340" s="11" t="str">
        <f t="shared" si="15"/>
        <v>1月</v>
      </c>
      <c r="B340" s="11" t="str">
        <f t="shared" si="16"/>
        <v>1月0日</v>
      </c>
      <c r="C340" s="11" t="str">
        <f t="shared" si="17"/>
        <v>1時</v>
      </c>
      <c r="D340" s="10"/>
    </row>
    <row r="341" spans="1:4" x14ac:dyDescent="0.55000000000000004">
      <c r="A341" s="11" t="str">
        <f t="shared" si="15"/>
        <v>1月</v>
      </c>
      <c r="B341" s="11" t="str">
        <f t="shared" si="16"/>
        <v>1月0日</v>
      </c>
      <c r="C341" s="11" t="str">
        <f t="shared" si="17"/>
        <v>1時</v>
      </c>
      <c r="D341" s="10"/>
    </row>
    <row r="342" spans="1:4" x14ac:dyDescent="0.55000000000000004">
      <c r="A342" s="11" t="str">
        <f t="shared" si="15"/>
        <v>1月</v>
      </c>
      <c r="B342" s="11" t="str">
        <f t="shared" si="16"/>
        <v>1月0日</v>
      </c>
      <c r="C342" s="11" t="str">
        <f t="shared" si="17"/>
        <v>1時</v>
      </c>
      <c r="D342" s="10"/>
    </row>
    <row r="343" spans="1:4" x14ac:dyDescent="0.55000000000000004">
      <c r="A343" s="11" t="str">
        <f t="shared" si="15"/>
        <v>1月</v>
      </c>
      <c r="B343" s="11" t="str">
        <f t="shared" si="16"/>
        <v>1月0日</v>
      </c>
      <c r="C343" s="11" t="str">
        <f t="shared" si="17"/>
        <v>1時</v>
      </c>
      <c r="D343" s="10"/>
    </row>
    <row r="344" spans="1:4" x14ac:dyDescent="0.55000000000000004">
      <c r="A344" s="11" t="str">
        <f t="shared" si="15"/>
        <v>1月</v>
      </c>
      <c r="B344" s="11" t="str">
        <f t="shared" si="16"/>
        <v>1月0日</v>
      </c>
      <c r="C344" s="11" t="str">
        <f t="shared" si="17"/>
        <v>1時</v>
      </c>
      <c r="D344" s="10"/>
    </row>
    <row r="345" spans="1:4" x14ac:dyDescent="0.55000000000000004">
      <c r="A345" s="11" t="str">
        <f t="shared" si="15"/>
        <v>1月</v>
      </c>
      <c r="B345" s="11" t="str">
        <f t="shared" si="16"/>
        <v>1月0日</v>
      </c>
      <c r="C345" s="11" t="str">
        <f t="shared" si="17"/>
        <v>1時</v>
      </c>
      <c r="D345" s="10"/>
    </row>
    <row r="346" spans="1:4" x14ac:dyDescent="0.55000000000000004">
      <c r="A346" s="11" t="str">
        <f t="shared" si="15"/>
        <v>1月</v>
      </c>
      <c r="B346" s="11" t="str">
        <f t="shared" si="16"/>
        <v>1月0日</v>
      </c>
      <c r="C346" s="11" t="str">
        <f t="shared" si="17"/>
        <v>1時</v>
      </c>
      <c r="D346" s="10"/>
    </row>
    <row r="347" spans="1:4" x14ac:dyDescent="0.55000000000000004">
      <c r="A347" s="11" t="str">
        <f t="shared" si="15"/>
        <v>1月</v>
      </c>
      <c r="B347" s="11" t="str">
        <f t="shared" si="16"/>
        <v>1月0日</v>
      </c>
      <c r="C347" s="11" t="str">
        <f t="shared" si="17"/>
        <v>1時</v>
      </c>
      <c r="D347" s="10"/>
    </row>
    <row r="348" spans="1:4" x14ac:dyDescent="0.55000000000000004">
      <c r="A348" s="11" t="str">
        <f t="shared" si="15"/>
        <v>1月</v>
      </c>
      <c r="B348" s="11" t="str">
        <f t="shared" si="16"/>
        <v>1月0日</v>
      </c>
      <c r="C348" s="11" t="str">
        <f t="shared" si="17"/>
        <v>1時</v>
      </c>
      <c r="D348" s="10"/>
    </row>
    <row r="349" spans="1:4" x14ac:dyDescent="0.55000000000000004">
      <c r="A349" s="11" t="str">
        <f t="shared" si="15"/>
        <v>1月</v>
      </c>
      <c r="B349" s="11" t="str">
        <f t="shared" si="16"/>
        <v>1月0日</v>
      </c>
      <c r="C349" s="11" t="str">
        <f t="shared" si="17"/>
        <v>1時</v>
      </c>
      <c r="D349" s="10"/>
    </row>
    <row r="350" spans="1:4" x14ac:dyDescent="0.55000000000000004">
      <c r="A350" s="11" t="str">
        <f t="shared" si="15"/>
        <v>1月</v>
      </c>
      <c r="B350" s="11" t="str">
        <f t="shared" si="16"/>
        <v>1月0日</v>
      </c>
      <c r="C350" s="11" t="str">
        <f t="shared" si="17"/>
        <v>1時</v>
      </c>
      <c r="D350" s="10"/>
    </row>
    <row r="351" spans="1:4" x14ac:dyDescent="0.55000000000000004">
      <c r="A351" s="11" t="str">
        <f t="shared" si="15"/>
        <v>1月</v>
      </c>
      <c r="B351" s="11" t="str">
        <f t="shared" si="16"/>
        <v>1月0日</v>
      </c>
      <c r="C351" s="11" t="str">
        <f t="shared" si="17"/>
        <v>1時</v>
      </c>
      <c r="D351" s="10"/>
    </row>
    <row r="352" spans="1:4" x14ac:dyDescent="0.55000000000000004">
      <c r="A352" s="11" t="str">
        <f t="shared" si="15"/>
        <v>1月</v>
      </c>
      <c r="B352" s="11" t="str">
        <f t="shared" si="16"/>
        <v>1月0日</v>
      </c>
      <c r="C352" s="11" t="str">
        <f t="shared" si="17"/>
        <v>1時</v>
      </c>
      <c r="D352" s="10"/>
    </row>
    <row r="353" spans="1:4" x14ac:dyDescent="0.55000000000000004">
      <c r="A353" s="11" t="str">
        <f t="shared" si="15"/>
        <v>1月</v>
      </c>
      <c r="B353" s="11" t="str">
        <f t="shared" si="16"/>
        <v>1月0日</v>
      </c>
      <c r="C353" s="11" t="str">
        <f t="shared" si="17"/>
        <v>1時</v>
      </c>
      <c r="D353" s="10"/>
    </row>
    <row r="354" spans="1:4" x14ac:dyDescent="0.55000000000000004">
      <c r="A354" s="11" t="str">
        <f t="shared" si="15"/>
        <v>1月</v>
      </c>
      <c r="B354" s="11" t="str">
        <f t="shared" si="16"/>
        <v>1月0日</v>
      </c>
      <c r="C354" s="11" t="str">
        <f t="shared" si="17"/>
        <v>1時</v>
      </c>
      <c r="D354" s="10"/>
    </row>
    <row r="355" spans="1:4" x14ac:dyDescent="0.55000000000000004">
      <c r="A355" s="11" t="str">
        <f t="shared" si="15"/>
        <v>1月</v>
      </c>
      <c r="B355" s="11" t="str">
        <f t="shared" si="16"/>
        <v>1月0日</v>
      </c>
      <c r="C355" s="11" t="str">
        <f t="shared" si="17"/>
        <v>1時</v>
      </c>
      <c r="D355" s="10"/>
    </row>
    <row r="356" spans="1:4" x14ac:dyDescent="0.55000000000000004">
      <c r="A356" s="11" t="str">
        <f t="shared" si="15"/>
        <v>1月</v>
      </c>
      <c r="B356" s="11" t="str">
        <f t="shared" si="16"/>
        <v>1月0日</v>
      </c>
      <c r="C356" s="11" t="str">
        <f t="shared" si="17"/>
        <v>1時</v>
      </c>
      <c r="D356" s="10"/>
    </row>
    <row r="357" spans="1:4" x14ac:dyDescent="0.55000000000000004">
      <c r="A357" s="11" t="str">
        <f t="shared" si="15"/>
        <v>1月</v>
      </c>
      <c r="B357" s="11" t="str">
        <f t="shared" si="16"/>
        <v>1月0日</v>
      </c>
      <c r="C357" s="11" t="str">
        <f t="shared" si="17"/>
        <v>1時</v>
      </c>
      <c r="D357" s="10"/>
    </row>
    <row r="358" spans="1:4" x14ac:dyDescent="0.55000000000000004">
      <c r="A358" s="11" t="str">
        <f t="shared" si="15"/>
        <v>1月</v>
      </c>
      <c r="B358" s="11" t="str">
        <f t="shared" si="16"/>
        <v>1月0日</v>
      </c>
      <c r="C358" s="11" t="str">
        <f t="shared" si="17"/>
        <v>1時</v>
      </c>
      <c r="D358" s="10"/>
    </row>
    <row r="359" spans="1:4" x14ac:dyDescent="0.55000000000000004">
      <c r="A359" s="11" t="str">
        <f t="shared" si="15"/>
        <v>1月</v>
      </c>
      <c r="B359" s="11" t="str">
        <f t="shared" si="16"/>
        <v>1月0日</v>
      </c>
      <c r="C359" s="11" t="str">
        <f t="shared" si="17"/>
        <v>1時</v>
      </c>
      <c r="D359" s="10"/>
    </row>
    <row r="360" spans="1:4" x14ac:dyDescent="0.55000000000000004">
      <c r="A360" s="11" t="str">
        <f t="shared" si="15"/>
        <v>1月</v>
      </c>
      <c r="B360" s="11" t="str">
        <f t="shared" si="16"/>
        <v>1月0日</v>
      </c>
      <c r="C360" s="11" t="str">
        <f t="shared" si="17"/>
        <v>1時</v>
      </c>
      <c r="D360" s="10"/>
    </row>
    <row r="361" spans="1:4" x14ac:dyDescent="0.55000000000000004">
      <c r="A361" s="11" t="str">
        <f t="shared" si="15"/>
        <v>1月</v>
      </c>
      <c r="B361" s="11" t="str">
        <f t="shared" si="16"/>
        <v>1月0日</v>
      </c>
      <c r="C361" s="11" t="str">
        <f t="shared" si="17"/>
        <v>1時</v>
      </c>
      <c r="D361" s="10"/>
    </row>
    <row r="362" spans="1:4" x14ac:dyDescent="0.55000000000000004">
      <c r="A362" s="11" t="str">
        <f t="shared" si="15"/>
        <v>1月</v>
      </c>
      <c r="B362" s="11" t="str">
        <f t="shared" si="16"/>
        <v>1月0日</v>
      </c>
      <c r="C362" s="11" t="str">
        <f t="shared" si="17"/>
        <v>1時</v>
      </c>
      <c r="D362" s="10"/>
    </row>
    <row r="363" spans="1:4" x14ac:dyDescent="0.55000000000000004">
      <c r="A363" s="11" t="str">
        <f t="shared" si="15"/>
        <v>1月</v>
      </c>
      <c r="B363" s="11" t="str">
        <f t="shared" si="16"/>
        <v>1月0日</v>
      </c>
      <c r="C363" s="11" t="str">
        <f t="shared" si="17"/>
        <v>1時</v>
      </c>
      <c r="D363" s="10"/>
    </row>
    <row r="364" spans="1:4" x14ac:dyDescent="0.55000000000000004">
      <c r="A364" s="11" t="str">
        <f t="shared" si="15"/>
        <v>1月</v>
      </c>
      <c r="B364" s="11" t="str">
        <f t="shared" si="16"/>
        <v>1月0日</v>
      </c>
      <c r="C364" s="11" t="str">
        <f t="shared" si="17"/>
        <v>1時</v>
      </c>
      <c r="D364" s="10"/>
    </row>
    <row r="365" spans="1:4" x14ac:dyDescent="0.55000000000000004">
      <c r="A365" s="11" t="str">
        <f t="shared" si="15"/>
        <v>1月</v>
      </c>
      <c r="B365" s="11" t="str">
        <f t="shared" si="16"/>
        <v>1月0日</v>
      </c>
      <c r="C365" s="11" t="str">
        <f t="shared" si="17"/>
        <v>1時</v>
      </c>
      <c r="D365" s="10"/>
    </row>
    <row r="366" spans="1:4" x14ac:dyDescent="0.55000000000000004">
      <c r="A366" s="11" t="str">
        <f t="shared" si="15"/>
        <v>1月</v>
      </c>
      <c r="B366" s="11" t="str">
        <f t="shared" si="16"/>
        <v>1月0日</v>
      </c>
      <c r="C366" s="11" t="str">
        <f t="shared" si="17"/>
        <v>1時</v>
      </c>
      <c r="D366" s="10"/>
    </row>
    <row r="367" spans="1:4" x14ac:dyDescent="0.55000000000000004">
      <c r="A367" s="11" t="str">
        <f t="shared" si="15"/>
        <v>1月</v>
      </c>
      <c r="B367" s="11" t="str">
        <f t="shared" si="16"/>
        <v>1月0日</v>
      </c>
      <c r="C367" s="11" t="str">
        <f t="shared" si="17"/>
        <v>1時</v>
      </c>
      <c r="D367" s="10"/>
    </row>
    <row r="368" spans="1:4" x14ac:dyDescent="0.55000000000000004">
      <c r="A368" s="11" t="str">
        <f t="shared" si="15"/>
        <v>1月</v>
      </c>
      <c r="B368" s="11" t="str">
        <f t="shared" si="16"/>
        <v>1月0日</v>
      </c>
      <c r="C368" s="11" t="str">
        <f t="shared" si="17"/>
        <v>1時</v>
      </c>
      <c r="D368" s="10"/>
    </row>
    <row r="369" spans="1:4" x14ac:dyDescent="0.55000000000000004">
      <c r="A369" s="11" t="str">
        <f t="shared" si="15"/>
        <v>1月</v>
      </c>
      <c r="B369" s="11" t="str">
        <f t="shared" si="16"/>
        <v>1月0日</v>
      </c>
      <c r="C369" s="11" t="str">
        <f t="shared" si="17"/>
        <v>1時</v>
      </c>
      <c r="D369" s="10"/>
    </row>
    <row r="370" spans="1:4" x14ac:dyDescent="0.55000000000000004">
      <c r="A370" s="11" t="str">
        <f t="shared" si="15"/>
        <v>1月</v>
      </c>
      <c r="B370" s="11" t="str">
        <f t="shared" si="16"/>
        <v>1月0日</v>
      </c>
      <c r="C370" s="11" t="str">
        <f t="shared" si="17"/>
        <v>1時</v>
      </c>
      <c r="D370" s="10"/>
    </row>
    <row r="371" spans="1:4" x14ac:dyDescent="0.55000000000000004">
      <c r="A371" s="11" t="str">
        <f t="shared" si="15"/>
        <v>1月</v>
      </c>
      <c r="B371" s="11" t="str">
        <f t="shared" si="16"/>
        <v>1月0日</v>
      </c>
      <c r="C371" s="11" t="str">
        <f t="shared" si="17"/>
        <v>1時</v>
      </c>
      <c r="D371" s="10"/>
    </row>
    <row r="372" spans="1:4" x14ac:dyDescent="0.55000000000000004">
      <c r="A372" s="11" t="str">
        <f t="shared" si="15"/>
        <v>1月</v>
      </c>
      <c r="B372" s="11" t="str">
        <f t="shared" si="16"/>
        <v>1月0日</v>
      </c>
      <c r="C372" s="11" t="str">
        <f t="shared" si="17"/>
        <v>1時</v>
      </c>
      <c r="D372" s="10"/>
    </row>
    <row r="373" spans="1:4" x14ac:dyDescent="0.55000000000000004">
      <c r="A373" s="11" t="str">
        <f t="shared" si="15"/>
        <v>1月</v>
      </c>
      <c r="B373" s="11" t="str">
        <f t="shared" si="16"/>
        <v>1月0日</v>
      </c>
      <c r="C373" s="11" t="str">
        <f t="shared" si="17"/>
        <v>1時</v>
      </c>
      <c r="D373" s="10"/>
    </row>
    <row r="374" spans="1:4" x14ac:dyDescent="0.55000000000000004">
      <c r="A374" s="11" t="str">
        <f t="shared" si="15"/>
        <v>1月</v>
      </c>
      <c r="B374" s="11" t="str">
        <f t="shared" si="16"/>
        <v>1月0日</v>
      </c>
      <c r="C374" s="11" t="str">
        <f t="shared" si="17"/>
        <v>1時</v>
      </c>
      <c r="D374" s="10"/>
    </row>
    <row r="375" spans="1:4" x14ac:dyDescent="0.55000000000000004">
      <c r="A375" s="11" t="str">
        <f t="shared" si="15"/>
        <v>1月</v>
      </c>
      <c r="B375" s="11" t="str">
        <f t="shared" si="16"/>
        <v>1月0日</v>
      </c>
      <c r="C375" s="11" t="str">
        <f t="shared" si="17"/>
        <v>1時</v>
      </c>
      <c r="D375" s="10"/>
    </row>
    <row r="376" spans="1:4" x14ac:dyDescent="0.55000000000000004">
      <c r="A376" s="11" t="str">
        <f t="shared" si="15"/>
        <v>1月</v>
      </c>
      <c r="B376" s="11" t="str">
        <f t="shared" si="16"/>
        <v>1月0日</v>
      </c>
      <c r="C376" s="11" t="str">
        <f t="shared" si="17"/>
        <v>1時</v>
      </c>
      <c r="D376" s="10"/>
    </row>
    <row r="377" spans="1:4" x14ac:dyDescent="0.55000000000000004">
      <c r="A377" s="11" t="str">
        <f t="shared" si="15"/>
        <v>1月</v>
      </c>
      <c r="B377" s="11" t="str">
        <f t="shared" si="16"/>
        <v>1月0日</v>
      </c>
      <c r="C377" s="11" t="str">
        <f t="shared" si="17"/>
        <v>1時</v>
      </c>
      <c r="D377" s="10"/>
    </row>
    <row r="378" spans="1:4" x14ac:dyDescent="0.55000000000000004">
      <c r="A378" s="11" t="str">
        <f t="shared" si="15"/>
        <v>1月</v>
      </c>
      <c r="B378" s="11" t="str">
        <f t="shared" si="16"/>
        <v>1月0日</v>
      </c>
      <c r="C378" s="11" t="str">
        <f t="shared" si="17"/>
        <v>1時</v>
      </c>
      <c r="D378" s="10"/>
    </row>
    <row r="379" spans="1:4" x14ac:dyDescent="0.55000000000000004">
      <c r="A379" s="11" t="str">
        <f t="shared" si="15"/>
        <v>1月</v>
      </c>
      <c r="B379" s="11" t="str">
        <f t="shared" si="16"/>
        <v>1月0日</v>
      </c>
      <c r="C379" s="11" t="str">
        <f t="shared" si="17"/>
        <v>1時</v>
      </c>
      <c r="D379" s="10"/>
    </row>
    <row r="380" spans="1:4" x14ac:dyDescent="0.55000000000000004">
      <c r="A380" s="11" t="str">
        <f t="shared" si="15"/>
        <v>1月</v>
      </c>
      <c r="B380" s="11" t="str">
        <f t="shared" si="16"/>
        <v>1月0日</v>
      </c>
      <c r="C380" s="11" t="str">
        <f t="shared" si="17"/>
        <v>1時</v>
      </c>
      <c r="D380" s="10"/>
    </row>
    <row r="381" spans="1:4" x14ac:dyDescent="0.55000000000000004">
      <c r="A381" s="11" t="str">
        <f t="shared" si="15"/>
        <v>1月</v>
      </c>
      <c r="B381" s="11" t="str">
        <f t="shared" si="16"/>
        <v>1月0日</v>
      </c>
      <c r="C381" s="11" t="str">
        <f t="shared" si="17"/>
        <v>1時</v>
      </c>
      <c r="D381" s="10"/>
    </row>
    <row r="382" spans="1:4" x14ac:dyDescent="0.55000000000000004">
      <c r="A382" s="11" t="str">
        <f t="shared" si="15"/>
        <v>1月</v>
      </c>
      <c r="B382" s="11" t="str">
        <f t="shared" si="16"/>
        <v>1月0日</v>
      </c>
      <c r="C382" s="11" t="str">
        <f t="shared" si="17"/>
        <v>1時</v>
      </c>
      <c r="D382" s="10"/>
    </row>
    <row r="383" spans="1:4" x14ac:dyDescent="0.55000000000000004">
      <c r="A383" s="11" t="str">
        <f t="shared" si="15"/>
        <v>1月</v>
      </c>
      <c r="B383" s="11" t="str">
        <f t="shared" si="16"/>
        <v>1月0日</v>
      </c>
      <c r="C383" s="11" t="str">
        <f t="shared" si="17"/>
        <v>1時</v>
      </c>
      <c r="D383" s="10"/>
    </row>
    <row r="384" spans="1:4" x14ac:dyDescent="0.55000000000000004">
      <c r="A384" s="11" t="str">
        <f t="shared" si="15"/>
        <v>1月</v>
      </c>
      <c r="B384" s="11" t="str">
        <f t="shared" si="16"/>
        <v>1月0日</v>
      </c>
      <c r="C384" s="11" t="str">
        <f t="shared" si="17"/>
        <v>1時</v>
      </c>
      <c r="D384" s="10"/>
    </row>
    <row r="385" spans="1:4" x14ac:dyDescent="0.55000000000000004">
      <c r="A385" s="11" t="str">
        <f t="shared" si="15"/>
        <v>1月</v>
      </c>
      <c r="B385" s="11" t="str">
        <f t="shared" si="16"/>
        <v>1月0日</v>
      </c>
      <c r="C385" s="11" t="str">
        <f t="shared" si="17"/>
        <v>1時</v>
      </c>
      <c r="D385" s="10"/>
    </row>
    <row r="386" spans="1:4" x14ac:dyDescent="0.55000000000000004">
      <c r="A386" s="11" t="str">
        <f t="shared" si="15"/>
        <v>1月</v>
      </c>
      <c r="B386" s="11" t="str">
        <f t="shared" si="16"/>
        <v>1月0日</v>
      </c>
      <c r="C386" s="11" t="str">
        <f t="shared" si="17"/>
        <v>1時</v>
      </c>
      <c r="D386" s="10"/>
    </row>
    <row r="387" spans="1:4" x14ac:dyDescent="0.55000000000000004">
      <c r="A387" s="11" t="str">
        <f t="shared" si="15"/>
        <v>1月</v>
      </c>
      <c r="B387" s="11" t="str">
        <f t="shared" si="16"/>
        <v>1月0日</v>
      </c>
      <c r="C387" s="11" t="str">
        <f t="shared" si="17"/>
        <v>1時</v>
      </c>
      <c r="D387" s="10"/>
    </row>
    <row r="388" spans="1:4" x14ac:dyDescent="0.55000000000000004">
      <c r="A388" s="11" t="str">
        <f t="shared" ref="A388:A451" si="18">MONTH(D388)&amp;"月"</f>
        <v>1月</v>
      </c>
      <c r="B388" s="11" t="str">
        <f t="shared" ref="B388:B451" si="19">A388&amp;DAY(D388)&amp;"日"</f>
        <v>1月0日</v>
      </c>
      <c r="C388" s="11" t="str">
        <f t="shared" ref="C388:C451" si="20">HOUR(D388)+1&amp;"時"</f>
        <v>1時</v>
      </c>
      <c r="D388" s="10"/>
    </row>
    <row r="389" spans="1:4" x14ac:dyDescent="0.55000000000000004">
      <c r="A389" s="11" t="str">
        <f t="shared" si="18"/>
        <v>1月</v>
      </c>
      <c r="B389" s="11" t="str">
        <f t="shared" si="19"/>
        <v>1月0日</v>
      </c>
      <c r="C389" s="11" t="str">
        <f t="shared" si="20"/>
        <v>1時</v>
      </c>
      <c r="D389" s="10"/>
    </row>
    <row r="390" spans="1:4" x14ac:dyDescent="0.55000000000000004">
      <c r="A390" s="11" t="str">
        <f t="shared" si="18"/>
        <v>1月</v>
      </c>
      <c r="B390" s="11" t="str">
        <f t="shared" si="19"/>
        <v>1月0日</v>
      </c>
      <c r="C390" s="11" t="str">
        <f t="shared" si="20"/>
        <v>1時</v>
      </c>
      <c r="D390" s="10"/>
    </row>
    <row r="391" spans="1:4" x14ac:dyDescent="0.55000000000000004">
      <c r="A391" s="11" t="str">
        <f t="shared" si="18"/>
        <v>1月</v>
      </c>
      <c r="B391" s="11" t="str">
        <f t="shared" si="19"/>
        <v>1月0日</v>
      </c>
      <c r="C391" s="11" t="str">
        <f t="shared" si="20"/>
        <v>1時</v>
      </c>
      <c r="D391" s="10"/>
    </row>
    <row r="392" spans="1:4" x14ac:dyDescent="0.55000000000000004">
      <c r="A392" s="11" t="str">
        <f t="shared" si="18"/>
        <v>1月</v>
      </c>
      <c r="B392" s="11" t="str">
        <f t="shared" si="19"/>
        <v>1月0日</v>
      </c>
      <c r="C392" s="11" t="str">
        <f t="shared" si="20"/>
        <v>1時</v>
      </c>
      <c r="D392" s="10"/>
    </row>
    <row r="393" spans="1:4" x14ac:dyDescent="0.55000000000000004">
      <c r="A393" s="11" t="str">
        <f t="shared" si="18"/>
        <v>1月</v>
      </c>
      <c r="B393" s="11" t="str">
        <f t="shared" si="19"/>
        <v>1月0日</v>
      </c>
      <c r="C393" s="11" t="str">
        <f t="shared" si="20"/>
        <v>1時</v>
      </c>
      <c r="D393" s="10"/>
    </row>
    <row r="394" spans="1:4" x14ac:dyDescent="0.55000000000000004">
      <c r="A394" s="11" t="str">
        <f t="shared" si="18"/>
        <v>1月</v>
      </c>
      <c r="B394" s="11" t="str">
        <f t="shared" si="19"/>
        <v>1月0日</v>
      </c>
      <c r="C394" s="11" t="str">
        <f t="shared" si="20"/>
        <v>1時</v>
      </c>
      <c r="D394" s="10"/>
    </row>
    <row r="395" spans="1:4" x14ac:dyDescent="0.55000000000000004">
      <c r="A395" s="11" t="str">
        <f t="shared" si="18"/>
        <v>1月</v>
      </c>
      <c r="B395" s="11" t="str">
        <f t="shared" si="19"/>
        <v>1月0日</v>
      </c>
      <c r="C395" s="11" t="str">
        <f t="shared" si="20"/>
        <v>1時</v>
      </c>
      <c r="D395" s="10"/>
    </row>
    <row r="396" spans="1:4" x14ac:dyDescent="0.55000000000000004">
      <c r="A396" s="11" t="str">
        <f t="shared" si="18"/>
        <v>1月</v>
      </c>
      <c r="B396" s="11" t="str">
        <f t="shared" si="19"/>
        <v>1月0日</v>
      </c>
      <c r="C396" s="11" t="str">
        <f t="shared" si="20"/>
        <v>1時</v>
      </c>
      <c r="D396" s="10"/>
    </row>
    <row r="397" spans="1:4" x14ac:dyDescent="0.55000000000000004">
      <c r="A397" s="11" t="str">
        <f t="shared" si="18"/>
        <v>1月</v>
      </c>
      <c r="B397" s="11" t="str">
        <f t="shared" si="19"/>
        <v>1月0日</v>
      </c>
      <c r="C397" s="11" t="str">
        <f t="shared" si="20"/>
        <v>1時</v>
      </c>
      <c r="D397" s="10"/>
    </row>
    <row r="398" spans="1:4" x14ac:dyDescent="0.55000000000000004">
      <c r="A398" s="11" t="str">
        <f t="shared" si="18"/>
        <v>1月</v>
      </c>
      <c r="B398" s="11" t="str">
        <f t="shared" si="19"/>
        <v>1月0日</v>
      </c>
      <c r="C398" s="11" t="str">
        <f t="shared" si="20"/>
        <v>1時</v>
      </c>
      <c r="D398" s="10"/>
    </row>
    <row r="399" spans="1:4" x14ac:dyDescent="0.55000000000000004">
      <c r="A399" s="11" t="str">
        <f t="shared" si="18"/>
        <v>1月</v>
      </c>
      <c r="B399" s="11" t="str">
        <f t="shared" si="19"/>
        <v>1月0日</v>
      </c>
      <c r="C399" s="11" t="str">
        <f t="shared" si="20"/>
        <v>1時</v>
      </c>
      <c r="D399" s="10"/>
    </row>
    <row r="400" spans="1:4" x14ac:dyDescent="0.55000000000000004">
      <c r="A400" s="11" t="str">
        <f t="shared" si="18"/>
        <v>1月</v>
      </c>
      <c r="B400" s="11" t="str">
        <f t="shared" si="19"/>
        <v>1月0日</v>
      </c>
      <c r="C400" s="11" t="str">
        <f t="shared" si="20"/>
        <v>1時</v>
      </c>
      <c r="D400" s="10"/>
    </row>
    <row r="401" spans="1:4" x14ac:dyDescent="0.55000000000000004">
      <c r="A401" s="11" t="str">
        <f t="shared" si="18"/>
        <v>1月</v>
      </c>
      <c r="B401" s="11" t="str">
        <f t="shared" si="19"/>
        <v>1月0日</v>
      </c>
      <c r="C401" s="11" t="str">
        <f t="shared" si="20"/>
        <v>1時</v>
      </c>
      <c r="D401" s="10"/>
    </row>
    <row r="402" spans="1:4" x14ac:dyDescent="0.55000000000000004">
      <c r="A402" s="11" t="str">
        <f t="shared" si="18"/>
        <v>1月</v>
      </c>
      <c r="B402" s="11" t="str">
        <f t="shared" si="19"/>
        <v>1月0日</v>
      </c>
      <c r="C402" s="11" t="str">
        <f t="shared" si="20"/>
        <v>1時</v>
      </c>
      <c r="D402" s="10"/>
    </row>
    <row r="403" spans="1:4" x14ac:dyDescent="0.55000000000000004">
      <c r="A403" s="11" t="str">
        <f t="shared" si="18"/>
        <v>1月</v>
      </c>
      <c r="B403" s="11" t="str">
        <f t="shared" si="19"/>
        <v>1月0日</v>
      </c>
      <c r="C403" s="11" t="str">
        <f t="shared" si="20"/>
        <v>1時</v>
      </c>
      <c r="D403" s="10"/>
    </row>
    <row r="404" spans="1:4" x14ac:dyDescent="0.55000000000000004">
      <c r="A404" s="11" t="str">
        <f t="shared" si="18"/>
        <v>1月</v>
      </c>
      <c r="B404" s="11" t="str">
        <f t="shared" si="19"/>
        <v>1月0日</v>
      </c>
      <c r="C404" s="11" t="str">
        <f t="shared" si="20"/>
        <v>1時</v>
      </c>
      <c r="D404" s="10"/>
    </row>
    <row r="405" spans="1:4" x14ac:dyDescent="0.55000000000000004">
      <c r="A405" s="11" t="str">
        <f t="shared" si="18"/>
        <v>1月</v>
      </c>
      <c r="B405" s="11" t="str">
        <f t="shared" si="19"/>
        <v>1月0日</v>
      </c>
      <c r="C405" s="11" t="str">
        <f t="shared" si="20"/>
        <v>1時</v>
      </c>
      <c r="D405" s="10"/>
    </row>
    <row r="406" spans="1:4" x14ac:dyDescent="0.55000000000000004">
      <c r="A406" s="11" t="str">
        <f t="shared" si="18"/>
        <v>1月</v>
      </c>
      <c r="B406" s="11" t="str">
        <f t="shared" si="19"/>
        <v>1月0日</v>
      </c>
      <c r="C406" s="11" t="str">
        <f t="shared" si="20"/>
        <v>1時</v>
      </c>
      <c r="D406" s="10"/>
    </row>
    <row r="407" spans="1:4" x14ac:dyDescent="0.55000000000000004">
      <c r="A407" s="11" t="str">
        <f t="shared" si="18"/>
        <v>1月</v>
      </c>
      <c r="B407" s="11" t="str">
        <f t="shared" si="19"/>
        <v>1月0日</v>
      </c>
      <c r="C407" s="11" t="str">
        <f t="shared" si="20"/>
        <v>1時</v>
      </c>
      <c r="D407" s="10"/>
    </row>
    <row r="408" spans="1:4" x14ac:dyDescent="0.55000000000000004">
      <c r="A408" s="11" t="str">
        <f t="shared" si="18"/>
        <v>1月</v>
      </c>
      <c r="B408" s="11" t="str">
        <f t="shared" si="19"/>
        <v>1月0日</v>
      </c>
      <c r="C408" s="11" t="str">
        <f t="shared" si="20"/>
        <v>1時</v>
      </c>
      <c r="D408" s="10"/>
    </row>
    <row r="409" spans="1:4" x14ac:dyDescent="0.55000000000000004">
      <c r="A409" s="11" t="str">
        <f t="shared" si="18"/>
        <v>1月</v>
      </c>
      <c r="B409" s="11" t="str">
        <f t="shared" si="19"/>
        <v>1月0日</v>
      </c>
      <c r="C409" s="11" t="str">
        <f t="shared" si="20"/>
        <v>1時</v>
      </c>
      <c r="D409" s="10"/>
    </row>
    <row r="410" spans="1:4" x14ac:dyDescent="0.55000000000000004">
      <c r="A410" s="11" t="str">
        <f t="shared" si="18"/>
        <v>1月</v>
      </c>
      <c r="B410" s="11" t="str">
        <f t="shared" si="19"/>
        <v>1月0日</v>
      </c>
      <c r="C410" s="11" t="str">
        <f t="shared" si="20"/>
        <v>1時</v>
      </c>
      <c r="D410" s="10"/>
    </row>
    <row r="411" spans="1:4" x14ac:dyDescent="0.55000000000000004">
      <c r="A411" s="11" t="str">
        <f t="shared" si="18"/>
        <v>1月</v>
      </c>
      <c r="B411" s="11" t="str">
        <f t="shared" si="19"/>
        <v>1月0日</v>
      </c>
      <c r="C411" s="11" t="str">
        <f t="shared" si="20"/>
        <v>1時</v>
      </c>
      <c r="D411" s="10"/>
    </row>
    <row r="412" spans="1:4" x14ac:dyDescent="0.55000000000000004">
      <c r="A412" s="11" t="str">
        <f t="shared" si="18"/>
        <v>1月</v>
      </c>
      <c r="B412" s="11" t="str">
        <f t="shared" si="19"/>
        <v>1月0日</v>
      </c>
      <c r="C412" s="11" t="str">
        <f t="shared" si="20"/>
        <v>1時</v>
      </c>
      <c r="D412" s="10"/>
    </row>
    <row r="413" spans="1:4" x14ac:dyDescent="0.55000000000000004">
      <c r="A413" s="11" t="str">
        <f t="shared" si="18"/>
        <v>1月</v>
      </c>
      <c r="B413" s="11" t="str">
        <f t="shared" si="19"/>
        <v>1月0日</v>
      </c>
      <c r="C413" s="11" t="str">
        <f t="shared" si="20"/>
        <v>1時</v>
      </c>
      <c r="D413" s="10"/>
    </row>
    <row r="414" spans="1:4" x14ac:dyDescent="0.55000000000000004">
      <c r="A414" s="11" t="str">
        <f t="shared" si="18"/>
        <v>1月</v>
      </c>
      <c r="B414" s="11" t="str">
        <f t="shared" si="19"/>
        <v>1月0日</v>
      </c>
      <c r="C414" s="11" t="str">
        <f t="shared" si="20"/>
        <v>1時</v>
      </c>
      <c r="D414" s="10"/>
    </row>
    <row r="415" spans="1:4" x14ac:dyDescent="0.55000000000000004">
      <c r="A415" s="11" t="str">
        <f t="shared" si="18"/>
        <v>1月</v>
      </c>
      <c r="B415" s="11" t="str">
        <f t="shared" si="19"/>
        <v>1月0日</v>
      </c>
      <c r="C415" s="11" t="str">
        <f t="shared" si="20"/>
        <v>1時</v>
      </c>
      <c r="D415" s="10"/>
    </row>
    <row r="416" spans="1:4" x14ac:dyDescent="0.55000000000000004">
      <c r="A416" s="11" t="str">
        <f t="shared" si="18"/>
        <v>1月</v>
      </c>
      <c r="B416" s="11" t="str">
        <f t="shared" si="19"/>
        <v>1月0日</v>
      </c>
      <c r="C416" s="11" t="str">
        <f t="shared" si="20"/>
        <v>1時</v>
      </c>
      <c r="D416" s="10"/>
    </row>
    <row r="417" spans="1:4" x14ac:dyDescent="0.55000000000000004">
      <c r="A417" s="11" t="str">
        <f t="shared" si="18"/>
        <v>1月</v>
      </c>
      <c r="B417" s="11" t="str">
        <f t="shared" si="19"/>
        <v>1月0日</v>
      </c>
      <c r="C417" s="11" t="str">
        <f t="shared" si="20"/>
        <v>1時</v>
      </c>
      <c r="D417" s="10"/>
    </row>
    <row r="418" spans="1:4" x14ac:dyDescent="0.55000000000000004">
      <c r="A418" s="11" t="str">
        <f t="shared" si="18"/>
        <v>1月</v>
      </c>
      <c r="B418" s="11" t="str">
        <f t="shared" si="19"/>
        <v>1月0日</v>
      </c>
      <c r="C418" s="11" t="str">
        <f t="shared" si="20"/>
        <v>1時</v>
      </c>
      <c r="D418" s="10"/>
    </row>
    <row r="419" spans="1:4" x14ac:dyDescent="0.55000000000000004">
      <c r="A419" s="11" t="str">
        <f t="shared" si="18"/>
        <v>1月</v>
      </c>
      <c r="B419" s="11" t="str">
        <f t="shared" si="19"/>
        <v>1月0日</v>
      </c>
      <c r="C419" s="11" t="str">
        <f t="shared" si="20"/>
        <v>1時</v>
      </c>
      <c r="D419" s="10"/>
    </row>
    <row r="420" spans="1:4" x14ac:dyDescent="0.55000000000000004">
      <c r="A420" s="11" t="str">
        <f t="shared" si="18"/>
        <v>1月</v>
      </c>
      <c r="B420" s="11" t="str">
        <f t="shared" si="19"/>
        <v>1月0日</v>
      </c>
      <c r="C420" s="11" t="str">
        <f t="shared" si="20"/>
        <v>1時</v>
      </c>
      <c r="D420" s="10"/>
    </row>
    <row r="421" spans="1:4" x14ac:dyDescent="0.55000000000000004">
      <c r="A421" s="11" t="str">
        <f t="shared" si="18"/>
        <v>1月</v>
      </c>
      <c r="B421" s="11" t="str">
        <f t="shared" si="19"/>
        <v>1月0日</v>
      </c>
      <c r="C421" s="11" t="str">
        <f t="shared" si="20"/>
        <v>1時</v>
      </c>
      <c r="D421" s="10"/>
    </row>
    <row r="422" spans="1:4" x14ac:dyDescent="0.55000000000000004">
      <c r="A422" s="11" t="str">
        <f t="shared" si="18"/>
        <v>1月</v>
      </c>
      <c r="B422" s="11" t="str">
        <f t="shared" si="19"/>
        <v>1月0日</v>
      </c>
      <c r="C422" s="11" t="str">
        <f t="shared" si="20"/>
        <v>1時</v>
      </c>
      <c r="D422" s="10"/>
    </row>
    <row r="423" spans="1:4" x14ac:dyDescent="0.55000000000000004">
      <c r="A423" s="11" t="str">
        <f t="shared" si="18"/>
        <v>1月</v>
      </c>
      <c r="B423" s="11" t="str">
        <f t="shared" si="19"/>
        <v>1月0日</v>
      </c>
      <c r="C423" s="11" t="str">
        <f t="shared" si="20"/>
        <v>1時</v>
      </c>
      <c r="D423" s="10"/>
    </row>
    <row r="424" spans="1:4" x14ac:dyDescent="0.55000000000000004">
      <c r="A424" s="11" t="str">
        <f t="shared" si="18"/>
        <v>1月</v>
      </c>
      <c r="B424" s="11" t="str">
        <f t="shared" si="19"/>
        <v>1月0日</v>
      </c>
      <c r="C424" s="11" t="str">
        <f t="shared" si="20"/>
        <v>1時</v>
      </c>
      <c r="D424" s="10"/>
    </row>
    <row r="425" spans="1:4" x14ac:dyDescent="0.55000000000000004">
      <c r="A425" s="11" t="str">
        <f t="shared" si="18"/>
        <v>1月</v>
      </c>
      <c r="B425" s="11" t="str">
        <f t="shared" si="19"/>
        <v>1月0日</v>
      </c>
      <c r="C425" s="11" t="str">
        <f t="shared" si="20"/>
        <v>1時</v>
      </c>
      <c r="D425" s="10"/>
    </row>
    <row r="426" spans="1:4" x14ac:dyDescent="0.55000000000000004">
      <c r="A426" s="11" t="str">
        <f t="shared" si="18"/>
        <v>1月</v>
      </c>
      <c r="B426" s="11" t="str">
        <f t="shared" si="19"/>
        <v>1月0日</v>
      </c>
      <c r="C426" s="11" t="str">
        <f t="shared" si="20"/>
        <v>1時</v>
      </c>
      <c r="D426" s="10"/>
    </row>
    <row r="427" spans="1:4" x14ac:dyDescent="0.55000000000000004">
      <c r="A427" s="11" t="str">
        <f t="shared" si="18"/>
        <v>1月</v>
      </c>
      <c r="B427" s="11" t="str">
        <f t="shared" si="19"/>
        <v>1月0日</v>
      </c>
      <c r="C427" s="11" t="str">
        <f t="shared" si="20"/>
        <v>1時</v>
      </c>
      <c r="D427" s="10"/>
    </row>
    <row r="428" spans="1:4" x14ac:dyDescent="0.55000000000000004">
      <c r="A428" s="11" t="str">
        <f t="shared" si="18"/>
        <v>1月</v>
      </c>
      <c r="B428" s="11" t="str">
        <f t="shared" si="19"/>
        <v>1月0日</v>
      </c>
      <c r="C428" s="11" t="str">
        <f t="shared" si="20"/>
        <v>1時</v>
      </c>
      <c r="D428" s="10"/>
    </row>
    <row r="429" spans="1:4" x14ac:dyDescent="0.55000000000000004">
      <c r="A429" s="11" t="str">
        <f t="shared" si="18"/>
        <v>1月</v>
      </c>
      <c r="B429" s="11" t="str">
        <f t="shared" si="19"/>
        <v>1月0日</v>
      </c>
      <c r="C429" s="11" t="str">
        <f t="shared" si="20"/>
        <v>1時</v>
      </c>
      <c r="D429" s="10"/>
    </row>
    <row r="430" spans="1:4" x14ac:dyDescent="0.55000000000000004">
      <c r="A430" s="11" t="str">
        <f t="shared" si="18"/>
        <v>1月</v>
      </c>
      <c r="B430" s="11" t="str">
        <f t="shared" si="19"/>
        <v>1月0日</v>
      </c>
      <c r="C430" s="11" t="str">
        <f t="shared" si="20"/>
        <v>1時</v>
      </c>
      <c r="D430" s="10"/>
    </row>
    <row r="431" spans="1:4" x14ac:dyDescent="0.55000000000000004">
      <c r="A431" s="11" t="str">
        <f t="shared" si="18"/>
        <v>1月</v>
      </c>
      <c r="B431" s="11" t="str">
        <f t="shared" si="19"/>
        <v>1月0日</v>
      </c>
      <c r="C431" s="11" t="str">
        <f t="shared" si="20"/>
        <v>1時</v>
      </c>
      <c r="D431" s="10"/>
    </row>
    <row r="432" spans="1:4" x14ac:dyDescent="0.55000000000000004">
      <c r="A432" s="11" t="str">
        <f t="shared" si="18"/>
        <v>1月</v>
      </c>
      <c r="B432" s="11" t="str">
        <f t="shared" si="19"/>
        <v>1月0日</v>
      </c>
      <c r="C432" s="11" t="str">
        <f t="shared" si="20"/>
        <v>1時</v>
      </c>
      <c r="D432" s="10"/>
    </row>
    <row r="433" spans="1:4" x14ac:dyDescent="0.55000000000000004">
      <c r="A433" s="11" t="str">
        <f t="shared" si="18"/>
        <v>1月</v>
      </c>
      <c r="B433" s="11" t="str">
        <f t="shared" si="19"/>
        <v>1月0日</v>
      </c>
      <c r="C433" s="11" t="str">
        <f t="shared" si="20"/>
        <v>1時</v>
      </c>
      <c r="D433" s="10"/>
    </row>
    <row r="434" spans="1:4" x14ac:dyDescent="0.55000000000000004">
      <c r="A434" s="11" t="str">
        <f t="shared" si="18"/>
        <v>1月</v>
      </c>
      <c r="B434" s="11" t="str">
        <f t="shared" si="19"/>
        <v>1月0日</v>
      </c>
      <c r="C434" s="11" t="str">
        <f t="shared" si="20"/>
        <v>1時</v>
      </c>
      <c r="D434" s="10"/>
    </row>
    <row r="435" spans="1:4" x14ac:dyDescent="0.55000000000000004">
      <c r="A435" s="11" t="str">
        <f t="shared" si="18"/>
        <v>1月</v>
      </c>
      <c r="B435" s="11" t="str">
        <f t="shared" si="19"/>
        <v>1月0日</v>
      </c>
      <c r="C435" s="11" t="str">
        <f t="shared" si="20"/>
        <v>1時</v>
      </c>
      <c r="D435" s="10"/>
    </row>
    <row r="436" spans="1:4" x14ac:dyDescent="0.55000000000000004">
      <c r="A436" s="11" t="str">
        <f t="shared" si="18"/>
        <v>1月</v>
      </c>
      <c r="B436" s="11" t="str">
        <f t="shared" si="19"/>
        <v>1月0日</v>
      </c>
      <c r="C436" s="11" t="str">
        <f t="shared" si="20"/>
        <v>1時</v>
      </c>
      <c r="D436" s="10"/>
    </row>
    <row r="437" spans="1:4" x14ac:dyDescent="0.55000000000000004">
      <c r="A437" s="11" t="str">
        <f t="shared" si="18"/>
        <v>1月</v>
      </c>
      <c r="B437" s="11" t="str">
        <f t="shared" si="19"/>
        <v>1月0日</v>
      </c>
      <c r="C437" s="11" t="str">
        <f t="shared" si="20"/>
        <v>1時</v>
      </c>
      <c r="D437" s="10"/>
    </row>
    <row r="438" spans="1:4" x14ac:dyDescent="0.55000000000000004">
      <c r="A438" s="11" t="str">
        <f t="shared" si="18"/>
        <v>1月</v>
      </c>
      <c r="B438" s="11" t="str">
        <f t="shared" si="19"/>
        <v>1月0日</v>
      </c>
      <c r="C438" s="11" t="str">
        <f t="shared" si="20"/>
        <v>1時</v>
      </c>
      <c r="D438" s="10"/>
    </row>
    <row r="439" spans="1:4" x14ac:dyDescent="0.55000000000000004">
      <c r="A439" s="11" t="str">
        <f t="shared" si="18"/>
        <v>1月</v>
      </c>
      <c r="B439" s="11" t="str">
        <f t="shared" si="19"/>
        <v>1月0日</v>
      </c>
      <c r="C439" s="11" t="str">
        <f t="shared" si="20"/>
        <v>1時</v>
      </c>
      <c r="D439" s="10"/>
    </row>
    <row r="440" spans="1:4" x14ac:dyDescent="0.55000000000000004">
      <c r="A440" s="11" t="str">
        <f t="shared" si="18"/>
        <v>1月</v>
      </c>
      <c r="B440" s="11" t="str">
        <f t="shared" si="19"/>
        <v>1月0日</v>
      </c>
      <c r="C440" s="11" t="str">
        <f t="shared" si="20"/>
        <v>1時</v>
      </c>
      <c r="D440" s="10"/>
    </row>
    <row r="441" spans="1:4" x14ac:dyDescent="0.55000000000000004">
      <c r="A441" s="11" t="str">
        <f t="shared" si="18"/>
        <v>1月</v>
      </c>
      <c r="B441" s="11" t="str">
        <f t="shared" si="19"/>
        <v>1月0日</v>
      </c>
      <c r="C441" s="11" t="str">
        <f t="shared" si="20"/>
        <v>1時</v>
      </c>
      <c r="D441" s="10"/>
    </row>
    <row r="442" spans="1:4" x14ac:dyDescent="0.55000000000000004">
      <c r="A442" s="11" t="str">
        <f t="shared" si="18"/>
        <v>1月</v>
      </c>
      <c r="B442" s="11" t="str">
        <f t="shared" si="19"/>
        <v>1月0日</v>
      </c>
      <c r="C442" s="11" t="str">
        <f t="shared" si="20"/>
        <v>1時</v>
      </c>
      <c r="D442" s="10"/>
    </row>
    <row r="443" spans="1:4" x14ac:dyDescent="0.55000000000000004">
      <c r="A443" s="11" t="str">
        <f t="shared" si="18"/>
        <v>1月</v>
      </c>
      <c r="B443" s="11" t="str">
        <f t="shared" si="19"/>
        <v>1月0日</v>
      </c>
      <c r="C443" s="11" t="str">
        <f t="shared" si="20"/>
        <v>1時</v>
      </c>
      <c r="D443" s="10"/>
    </row>
    <row r="444" spans="1:4" x14ac:dyDescent="0.55000000000000004">
      <c r="A444" s="11" t="str">
        <f t="shared" si="18"/>
        <v>1月</v>
      </c>
      <c r="B444" s="11" t="str">
        <f t="shared" si="19"/>
        <v>1月0日</v>
      </c>
      <c r="C444" s="11" t="str">
        <f t="shared" si="20"/>
        <v>1時</v>
      </c>
      <c r="D444" s="10"/>
    </row>
    <row r="445" spans="1:4" x14ac:dyDescent="0.55000000000000004">
      <c r="A445" s="11" t="str">
        <f t="shared" si="18"/>
        <v>1月</v>
      </c>
      <c r="B445" s="11" t="str">
        <f t="shared" si="19"/>
        <v>1月0日</v>
      </c>
      <c r="C445" s="11" t="str">
        <f t="shared" si="20"/>
        <v>1時</v>
      </c>
      <c r="D445" s="10"/>
    </row>
    <row r="446" spans="1:4" x14ac:dyDescent="0.55000000000000004">
      <c r="A446" s="11" t="str">
        <f t="shared" si="18"/>
        <v>1月</v>
      </c>
      <c r="B446" s="11" t="str">
        <f t="shared" si="19"/>
        <v>1月0日</v>
      </c>
      <c r="C446" s="11" t="str">
        <f t="shared" si="20"/>
        <v>1時</v>
      </c>
      <c r="D446" s="10"/>
    </row>
    <row r="447" spans="1:4" x14ac:dyDescent="0.55000000000000004">
      <c r="A447" s="11" t="str">
        <f t="shared" si="18"/>
        <v>1月</v>
      </c>
      <c r="B447" s="11" t="str">
        <f t="shared" si="19"/>
        <v>1月0日</v>
      </c>
      <c r="C447" s="11" t="str">
        <f t="shared" si="20"/>
        <v>1時</v>
      </c>
      <c r="D447" s="10"/>
    </row>
    <row r="448" spans="1:4" x14ac:dyDescent="0.55000000000000004">
      <c r="A448" s="11" t="str">
        <f t="shared" si="18"/>
        <v>1月</v>
      </c>
      <c r="B448" s="11" t="str">
        <f t="shared" si="19"/>
        <v>1月0日</v>
      </c>
      <c r="C448" s="11" t="str">
        <f t="shared" si="20"/>
        <v>1時</v>
      </c>
      <c r="D448" s="10"/>
    </row>
    <row r="449" spans="1:4" x14ac:dyDescent="0.55000000000000004">
      <c r="A449" s="11" t="str">
        <f t="shared" si="18"/>
        <v>1月</v>
      </c>
      <c r="B449" s="11" t="str">
        <f t="shared" si="19"/>
        <v>1月0日</v>
      </c>
      <c r="C449" s="11" t="str">
        <f t="shared" si="20"/>
        <v>1時</v>
      </c>
      <c r="D449" s="10"/>
    </row>
    <row r="450" spans="1:4" x14ac:dyDescent="0.55000000000000004">
      <c r="A450" s="11" t="str">
        <f t="shared" si="18"/>
        <v>1月</v>
      </c>
      <c r="B450" s="11" t="str">
        <f t="shared" si="19"/>
        <v>1月0日</v>
      </c>
      <c r="C450" s="11" t="str">
        <f t="shared" si="20"/>
        <v>1時</v>
      </c>
      <c r="D450" s="10"/>
    </row>
    <row r="451" spans="1:4" x14ac:dyDescent="0.55000000000000004">
      <c r="A451" s="11" t="str">
        <f t="shared" si="18"/>
        <v>1月</v>
      </c>
      <c r="B451" s="11" t="str">
        <f t="shared" si="19"/>
        <v>1月0日</v>
      </c>
      <c r="C451" s="11" t="str">
        <f t="shared" si="20"/>
        <v>1時</v>
      </c>
      <c r="D451" s="10"/>
    </row>
    <row r="452" spans="1:4" x14ac:dyDescent="0.55000000000000004">
      <c r="A452" s="11" t="str">
        <f t="shared" ref="A452:A515" si="21">MONTH(D452)&amp;"月"</f>
        <v>1月</v>
      </c>
      <c r="B452" s="11" t="str">
        <f t="shared" ref="B452:B515" si="22">A452&amp;DAY(D452)&amp;"日"</f>
        <v>1月0日</v>
      </c>
      <c r="C452" s="11" t="str">
        <f t="shared" ref="C452:C515" si="23">HOUR(D452)+1&amp;"時"</f>
        <v>1時</v>
      </c>
      <c r="D452" s="10"/>
    </row>
    <row r="453" spans="1:4" x14ac:dyDescent="0.55000000000000004">
      <c r="A453" s="11" t="str">
        <f t="shared" si="21"/>
        <v>1月</v>
      </c>
      <c r="B453" s="11" t="str">
        <f t="shared" si="22"/>
        <v>1月0日</v>
      </c>
      <c r="C453" s="11" t="str">
        <f t="shared" si="23"/>
        <v>1時</v>
      </c>
      <c r="D453" s="10"/>
    </row>
    <row r="454" spans="1:4" x14ac:dyDescent="0.55000000000000004">
      <c r="A454" s="11" t="str">
        <f t="shared" si="21"/>
        <v>1月</v>
      </c>
      <c r="B454" s="11" t="str">
        <f t="shared" si="22"/>
        <v>1月0日</v>
      </c>
      <c r="C454" s="11" t="str">
        <f t="shared" si="23"/>
        <v>1時</v>
      </c>
      <c r="D454" s="10"/>
    </row>
    <row r="455" spans="1:4" x14ac:dyDescent="0.55000000000000004">
      <c r="A455" s="11" t="str">
        <f t="shared" si="21"/>
        <v>1月</v>
      </c>
      <c r="B455" s="11" t="str">
        <f t="shared" si="22"/>
        <v>1月0日</v>
      </c>
      <c r="C455" s="11" t="str">
        <f t="shared" si="23"/>
        <v>1時</v>
      </c>
      <c r="D455" s="10"/>
    </row>
    <row r="456" spans="1:4" x14ac:dyDescent="0.55000000000000004">
      <c r="A456" s="11" t="str">
        <f t="shared" si="21"/>
        <v>1月</v>
      </c>
      <c r="B456" s="11" t="str">
        <f t="shared" si="22"/>
        <v>1月0日</v>
      </c>
      <c r="C456" s="11" t="str">
        <f t="shared" si="23"/>
        <v>1時</v>
      </c>
      <c r="D456" s="10"/>
    </row>
    <row r="457" spans="1:4" x14ac:dyDescent="0.55000000000000004">
      <c r="A457" s="11" t="str">
        <f t="shared" si="21"/>
        <v>1月</v>
      </c>
      <c r="B457" s="11" t="str">
        <f t="shared" si="22"/>
        <v>1月0日</v>
      </c>
      <c r="C457" s="11" t="str">
        <f t="shared" si="23"/>
        <v>1時</v>
      </c>
      <c r="D457" s="10"/>
    </row>
    <row r="458" spans="1:4" x14ac:dyDescent="0.55000000000000004">
      <c r="A458" s="11" t="str">
        <f t="shared" si="21"/>
        <v>1月</v>
      </c>
      <c r="B458" s="11" t="str">
        <f t="shared" si="22"/>
        <v>1月0日</v>
      </c>
      <c r="C458" s="11" t="str">
        <f t="shared" si="23"/>
        <v>1時</v>
      </c>
      <c r="D458" s="10"/>
    </row>
    <row r="459" spans="1:4" x14ac:dyDescent="0.55000000000000004">
      <c r="A459" s="11" t="str">
        <f t="shared" si="21"/>
        <v>1月</v>
      </c>
      <c r="B459" s="11" t="str">
        <f t="shared" si="22"/>
        <v>1月0日</v>
      </c>
      <c r="C459" s="11" t="str">
        <f t="shared" si="23"/>
        <v>1時</v>
      </c>
      <c r="D459" s="10"/>
    </row>
    <row r="460" spans="1:4" x14ac:dyDescent="0.55000000000000004">
      <c r="A460" s="11" t="str">
        <f t="shared" si="21"/>
        <v>1月</v>
      </c>
      <c r="B460" s="11" t="str">
        <f t="shared" si="22"/>
        <v>1月0日</v>
      </c>
      <c r="C460" s="11" t="str">
        <f t="shared" si="23"/>
        <v>1時</v>
      </c>
      <c r="D460" s="10"/>
    </row>
    <row r="461" spans="1:4" x14ac:dyDescent="0.55000000000000004">
      <c r="A461" s="11" t="str">
        <f t="shared" si="21"/>
        <v>1月</v>
      </c>
      <c r="B461" s="11" t="str">
        <f t="shared" si="22"/>
        <v>1月0日</v>
      </c>
      <c r="C461" s="11" t="str">
        <f t="shared" si="23"/>
        <v>1時</v>
      </c>
      <c r="D461" s="10"/>
    </row>
    <row r="462" spans="1:4" x14ac:dyDescent="0.55000000000000004">
      <c r="A462" s="11" t="str">
        <f t="shared" si="21"/>
        <v>1月</v>
      </c>
      <c r="B462" s="11" t="str">
        <f t="shared" si="22"/>
        <v>1月0日</v>
      </c>
      <c r="C462" s="11" t="str">
        <f t="shared" si="23"/>
        <v>1時</v>
      </c>
      <c r="D462" s="10"/>
    </row>
    <row r="463" spans="1:4" x14ac:dyDescent="0.55000000000000004">
      <c r="A463" s="11" t="str">
        <f t="shared" si="21"/>
        <v>1月</v>
      </c>
      <c r="B463" s="11" t="str">
        <f t="shared" si="22"/>
        <v>1月0日</v>
      </c>
      <c r="C463" s="11" t="str">
        <f t="shared" si="23"/>
        <v>1時</v>
      </c>
      <c r="D463" s="10"/>
    </row>
    <row r="464" spans="1:4" x14ac:dyDescent="0.55000000000000004">
      <c r="A464" s="11" t="str">
        <f t="shared" si="21"/>
        <v>1月</v>
      </c>
      <c r="B464" s="11" t="str">
        <f t="shared" si="22"/>
        <v>1月0日</v>
      </c>
      <c r="C464" s="11" t="str">
        <f t="shared" si="23"/>
        <v>1時</v>
      </c>
      <c r="D464" s="10"/>
    </row>
    <row r="465" spans="1:4" x14ac:dyDescent="0.55000000000000004">
      <c r="A465" s="11" t="str">
        <f t="shared" si="21"/>
        <v>1月</v>
      </c>
      <c r="B465" s="11" t="str">
        <f t="shared" si="22"/>
        <v>1月0日</v>
      </c>
      <c r="C465" s="11" t="str">
        <f t="shared" si="23"/>
        <v>1時</v>
      </c>
      <c r="D465" s="10"/>
    </row>
    <row r="466" spans="1:4" x14ac:dyDescent="0.55000000000000004">
      <c r="A466" s="11" t="str">
        <f t="shared" si="21"/>
        <v>1月</v>
      </c>
      <c r="B466" s="11" t="str">
        <f t="shared" si="22"/>
        <v>1月0日</v>
      </c>
      <c r="C466" s="11" t="str">
        <f t="shared" si="23"/>
        <v>1時</v>
      </c>
      <c r="D466" s="10"/>
    </row>
    <row r="467" spans="1:4" x14ac:dyDescent="0.55000000000000004">
      <c r="A467" s="11" t="str">
        <f t="shared" si="21"/>
        <v>1月</v>
      </c>
      <c r="B467" s="11" t="str">
        <f t="shared" si="22"/>
        <v>1月0日</v>
      </c>
      <c r="C467" s="11" t="str">
        <f t="shared" si="23"/>
        <v>1時</v>
      </c>
      <c r="D467" s="10"/>
    </row>
    <row r="468" spans="1:4" x14ac:dyDescent="0.55000000000000004">
      <c r="A468" s="11" t="str">
        <f t="shared" si="21"/>
        <v>1月</v>
      </c>
      <c r="B468" s="11" t="str">
        <f t="shared" si="22"/>
        <v>1月0日</v>
      </c>
      <c r="C468" s="11" t="str">
        <f t="shared" si="23"/>
        <v>1時</v>
      </c>
      <c r="D468" s="10"/>
    </row>
    <row r="469" spans="1:4" x14ac:dyDescent="0.55000000000000004">
      <c r="A469" s="11" t="str">
        <f t="shared" si="21"/>
        <v>1月</v>
      </c>
      <c r="B469" s="11" t="str">
        <f t="shared" si="22"/>
        <v>1月0日</v>
      </c>
      <c r="C469" s="11" t="str">
        <f t="shared" si="23"/>
        <v>1時</v>
      </c>
      <c r="D469" s="10"/>
    </row>
    <row r="470" spans="1:4" x14ac:dyDescent="0.55000000000000004">
      <c r="A470" s="11" t="str">
        <f t="shared" si="21"/>
        <v>1月</v>
      </c>
      <c r="B470" s="11" t="str">
        <f t="shared" si="22"/>
        <v>1月0日</v>
      </c>
      <c r="C470" s="11" t="str">
        <f t="shared" si="23"/>
        <v>1時</v>
      </c>
      <c r="D470" s="10"/>
    </row>
    <row r="471" spans="1:4" x14ac:dyDescent="0.55000000000000004">
      <c r="A471" s="11" t="str">
        <f t="shared" si="21"/>
        <v>1月</v>
      </c>
      <c r="B471" s="11" t="str">
        <f t="shared" si="22"/>
        <v>1月0日</v>
      </c>
      <c r="C471" s="11" t="str">
        <f t="shared" si="23"/>
        <v>1時</v>
      </c>
      <c r="D471" s="10"/>
    </row>
    <row r="472" spans="1:4" x14ac:dyDescent="0.55000000000000004">
      <c r="A472" s="11" t="str">
        <f t="shared" si="21"/>
        <v>1月</v>
      </c>
      <c r="B472" s="11" t="str">
        <f t="shared" si="22"/>
        <v>1月0日</v>
      </c>
      <c r="C472" s="11" t="str">
        <f t="shared" si="23"/>
        <v>1時</v>
      </c>
      <c r="D472" s="10"/>
    </row>
    <row r="473" spans="1:4" x14ac:dyDescent="0.55000000000000004">
      <c r="A473" s="11" t="str">
        <f t="shared" si="21"/>
        <v>1月</v>
      </c>
      <c r="B473" s="11" t="str">
        <f t="shared" si="22"/>
        <v>1月0日</v>
      </c>
      <c r="C473" s="11" t="str">
        <f t="shared" si="23"/>
        <v>1時</v>
      </c>
      <c r="D473" s="10"/>
    </row>
    <row r="474" spans="1:4" x14ac:dyDescent="0.55000000000000004">
      <c r="A474" s="11" t="str">
        <f t="shared" si="21"/>
        <v>1月</v>
      </c>
      <c r="B474" s="11" t="str">
        <f t="shared" si="22"/>
        <v>1月0日</v>
      </c>
      <c r="C474" s="11" t="str">
        <f t="shared" si="23"/>
        <v>1時</v>
      </c>
      <c r="D474" s="10"/>
    </row>
    <row r="475" spans="1:4" x14ac:dyDescent="0.55000000000000004">
      <c r="A475" s="11" t="str">
        <f t="shared" si="21"/>
        <v>1月</v>
      </c>
      <c r="B475" s="11" t="str">
        <f t="shared" si="22"/>
        <v>1月0日</v>
      </c>
      <c r="C475" s="11" t="str">
        <f t="shared" si="23"/>
        <v>1時</v>
      </c>
      <c r="D475" s="10"/>
    </row>
    <row r="476" spans="1:4" x14ac:dyDescent="0.55000000000000004">
      <c r="A476" s="11" t="str">
        <f t="shared" si="21"/>
        <v>1月</v>
      </c>
      <c r="B476" s="11" t="str">
        <f t="shared" si="22"/>
        <v>1月0日</v>
      </c>
      <c r="C476" s="11" t="str">
        <f t="shared" si="23"/>
        <v>1時</v>
      </c>
      <c r="D476" s="10"/>
    </row>
    <row r="477" spans="1:4" x14ac:dyDescent="0.55000000000000004">
      <c r="A477" s="11" t="str">
        <f t="shared" si="21"/>
        <v>1月</v>
      </c>
      <c r="B477" s="11" t="str">
        <f t="shared" si="22"/>
        <v>1月0日</v>
      </c>
      <c r="C477" s="11" t="str">
        <f t="shared" si="23"/>
        <v>1時</v>
      </c>
      <c r="D477" s="10"/>
    </row>
    <row r="478" spans="1:4" x14ac:dyDescent="0.55000000000000004">
      <c r="A478" s="11" t="str">
        <f t="shared" si="21"/>
        <v>1月</v>
      </c>
      <c r="B478" s="11" t="str">
        <f t="shared" si="22"/>
        <v>1月0日</v>
      </c>
      <c r="C478" s="11" t="str">
        <f t="shared" si="23"/>
        <v>1時</v>
      </c>
      <c r="D478" s="10"/>
    </row>
    <row r="479" spans="1:4" x14ac:dyDescent="0.55000000000000004">
      <c r="A479" s="11" t="str">
        <f t="shared" si="21"/>
        <v>1月</v>
      </c>
      <c r="B479" s="11" t="str">
        <f t="shared" si="22"/>
        <v>1月0日</v>
      </c>
      <c r="C479" s="11" t="str">
        <f t="shared" si="23"/>
        <v>1時</v>
      </c>
      <c r="D479" s="10"/>
    </row>
    <row r="480" spans="1:4" x14ac:dyDescent="0.55000000000000004">
      <c r="A480" s="11" t="str">
        <f t="shared" si="21"/>
        <v>1月</v>
      </c>
      <c r="B480" s="11" t="str">
        <f t="shared" si="22"/>
        <v>1月0日</v>
      </c>
      <c r="C480" s="11" t="str">
        <f t="shared" si="23"/>
        <v>1時</v>
      </c>
      <c r="D480" s="10"/>
    </row>
    <row r="481" spans="1:4" x14ac:dyDescent="0.55000000000000004">
      <c r="A481" s="11" t="str">
        <f t="shared" si="21"/>
        <v>1月</v>
      </c>
      <c r="B481" s="11" t="str">
        <f t="shared" si="22"/>
        <v>1月0日</v>
      </c>
      <c r="C481" s="11" t="str">
        <f t="shared" si="23"/>
        <v>1時</v>
      </c>
      <c r="D481" s="10"/>
    </row>
    <row r="482" spans="1:4" x14ac:dyDescent="0.55000000000000004">
      <c r="A482" s="11" t="str">
        <f t="shared" si="21"/>
        <v>1月</v>
      </c>
      <c r="B482" s="11" t="str">
        <f t="shared" si="22"/>
        <v>1月0日</v>
      </c>
      <c r="C482" s="11" t="str">
        <f t="shared" si="23"/>
        <v>1時</v>
      </c>
      <c r="D482" s="10"/>
    </row>
    <row r="483" spans="1:4" x14ac:dyDescent="0.55000000000000004">
      <c r="A483" s="11" t="str">
        <f t="shared" si="21"/>
        <v>1月</v>
      </c>
      <c r="B483" s="11" t="str">
        <f t="shared" si="22"/>
        <v>1月0日</v>
      </c>
      <c r="C483" s="11" t="str">
        <f t="shared" si="23"/>
        <v>1時</v>
      </c>
      <c r="D483" s="10"/>
    </row>
    <row r="484" spans="1:4" x14ac:dyDescent="0.55000000000000004">
      <c r="A484" s="11" t="str">
        <f t="shared" si="21"/>
        <v>1月</v>
      </c>
      <c r="B484" s="11" t="str">
        <f t="shared" si="22"/>
        <v>1月0日</v>
      </c>
      <c r="C484" s="11" t="str">
        <f t="shared" si="23"/>
        <v>1時</v>
      </c>
      <c r="D484" s="10"/>
    </row>
    <row r="485" spans="1:4" x14ac:dyDescent="0.55000000000000004">
      <c r="A485" s="11" t="str">
        <f t="shared" si="21"/>
        <v>1月</v>
      </c>
      <c r="B485" s="11" t="str">
        <f t="shared" si="22"/>
        <v>1月0日</v>
      </c>
      <c r="C485" s="11" t="str">
        <f t="shared" si="23"/>
        <v>1時</v>
      </c>
      <c r="D485" s="10"/>
    </row>
    <row r="486" spans="1:4" x14ac:dyDescent="0.55000000000000004">
      <c r="A486" s="11" t="str">
        <f t="shared" si="21"/>
        <v>1月</v>
      </c>
      <c r="B486" s="11" t="str">
        <f t="shared" si="22"/>
        <v>1月0日</v>
      </c>
      <c r="C486" s="11" t="str">
        <f t="shared" si="23"/>
        <v>1時</v>
      </c>
      <c r="D486" s="10"/>
    </row>
    <row r="487" spans="1:4" x14ac:dyDescent="0.55000000000000004">
      <c r="A487" s="11" t="str">
        <f t="shared" si="21"/>
        <v>1月</v>
      </c>
      <c r="B487" s="11" t="str">
        <f t="shared" si="22"/>
        <v>1月0日</v>
      </c>
      <c r="C487" s="11" t="str">
        <f t="shared" si="23"/>
        <v>1時</v>
      </c>
      <c r="D487" s="10"/>
    </row>
    <row r="488" spans="1:4" x14ac:dyDescent="0.55000000000000004">
      <c r="A488" s="11" t="str">
        <f t="shared" si="21"/>
        <v>1月</v>
      </c>
      <c r="B488" s="11" t="str">
        <f t="shared" si="22"/>
        <v>1月0日</v>
      </c>
      <c r="C488" s="11" t="str">
        <f t="shared" si="23"/>
        <v>1時</v>
      </c>
      <c r="D488" s="10"/>
    </row>
    <row r="489" spans="1:4" x14ac:dyDescent="0.55000000000000004">
      <c r="A489" s="11" t="str">
        <f t="shared" si="21"/>
        <v>1月</v>
      </c>
      <c r="B489" s="11" t="str">
        <f t="shared" si="22"/>
        <v>1月0日</v>
      </c>
      <c r="C489" s="11" t="str">
        <f t="shared" si="23"/>
        <v>1時</v>
      </c>
      <c r="D489" s="10"/>
    </row>
    <row r="490" spans="1:4" x14ac:dyDescent="0.55000000000000004">
      <c r="A490" s="11" t="str">
        <f t="shared" si="21"/>
        <v>1月</v>
      </c>
      <c r="B490" s="11" t="str">
        <f t="shared" si="22"/>
        <v>1月0日</v>
      </c>
      <c r="C490" s="11" t="str">
        <f t="shared" si="23"/>
        <v>1時</v>
      </c>
      <c r="D490" s="10"/>
    </row>
    <row r="491" spans="1:4" x14ac:dyDescent="0.55000000000000004">
      <c r="A491" s="11" t="str">
        <f t="shared" si="21"/>
        <v>1月</v>
      </c>
      <c r="B491" s="11" t="str">
        <f t="shared" si="22"/>
        <v>1月0日</v>
      </c>
      <c r="C491" s="11" t="str">
        <f t="shared" si="23"/>
        <v>1時</v>
      </c>
      <c r="D491" s="10"/>
    </row>
    <row r="492" spans="1:4" x14ac:dyDescent="0.55000000000000004">
      <c r="A492" s="11" t="str">
        <f t="shared" si="21"/>
        <v>1月</v>
      </c>
      <c r="B492" s="11" t="str">
        <f t="shared" si="22"/>
        <v>1月0日</v>
      </c>
      <c r="C492" s="11" t="str">
        <f t="shared" si="23"/>
        <v>1時</v>
      </c>
      <c r="D492" s="10"/>
    </row>
    <row r="493" spans="1:4" x14ac:dyDescent="0.55000000000000004">
      <c r="A493" s="11" t="str">
        <f t="shared" si="21"/>
        <v>1月</v>
      </c>
      <c r="B493" s="11" t="str">
        <f t="shared" si="22"/>
        <v>1月0日</v>
      </c>
      <c r="C493" s="11" t="str">
        <f t="shared" si="23"/>
        <v>1時</v>
      </c>
      <c r="D493" s="10"/>
    </row>
    <row r="494" spans="1:4" x14ac:dyDescent="0.55000000000000004">
      <c r="A494" s="11" t="str">
        <f t="shared" si="21"/>
        <v>1月</v>
      </c>
      <c r="B494" s="11" t="str">
        <f t="shared" si="22"/>
        <v>1月0日</v>
      </c>
      <c r="C494" s="11" t="str">
        <f t="shared" si="23"/>
        <v>1時</v>
      </c>
      <c r="D494" s="10"/>
    </row>
    <row r="495" spans="1:4" x14ac:dyDescent="0.55000000000000004">
      <c r="A495" s="11" t="str">
        <f t="shared" si="21"/>
        <v>1月</v>
      </c>
      <c r="B495" s="11" t="str">
        <f t="shared" si="22"/>
        <v>1月0日</v>
      </c>
      <c r="C495" s="11" t="str">
        <f t="shared" si="23"/>
        <v>1時</v>
      </c>
      <c r="D495" s="10"/>
    </row>
    <row r="496" spans="1:4" x14ac:dyDescent="0.55000000000000004">
      <c r="A496" s="11" t="str">
        <f t="shared" si="21"/>
        <v>1月</v>
      </c>
      <c r="B496" s="11" t="str">
        <f t="shared" si="22"/>
        <v>1月0日</v>
      </c>
      <c r="C496" s="11" t="str">
        <f t="shared" si="23"/>
        <v>1時</v>
      </c>
      <c r="D496" s="10"/>
    </row>
    <row r="497" spans="1:4" x14ac:dyDescent="0.55000000000000004">
      <c r="A497" s="11" t="str">
        <f t="shared" si="21"/>
        <v>1月</v>
      </c>
      <c r="B497" s="11" t="str">
        <f t="shared" si="22"/>
        <v>1月0日</v>
      </c>
      <c r="C497" s="11" t="str">
        <f t="shared" si="23"/>
        <v>1時</v>
      </c>
      <c r="D497" s="10"/>
    </row>
    <row r="498" spans="1:4" x14ac:dyDescent="0.55000000000000004">
      <c r="A498" s="11" t="str">
        <f t="shared" si="21"/>
        <v>1月</v>
      </c>
      <c r="B498" s="11" t="str">
        <f t="shared" si="22"/>
        <v>1月0日</v>
      </c>
      <c r="C498" s="11" t="str">
        <f t="shared" si="23"/>
        <v>1時</v>
      </c>
      <c r="D498" s="10"/>
    </row>
    <row r="499" spans="1:4" x14ac:dyDescent="0.55000000000000004">
      <c r="A499" s="11" t="str">
        <f t="shared" si="21"/>
        <v>1月</v>
      </c>
      <c r="B499" s="11" t="str">
        <f t="shared" si="22"/>
        <v>1月0日</v>
      </c>
      <c r="C499" s="11" t="str">
        <f t="shared" si="23"/>
        <v>1時</v>
      </c>
      <c r="D499" s="10"/>
    </row>
    <row r="500" spans="1:4" x14ac:dyDescent="0.55000000000000004">
      <c r="A500" s="11" t="str">
        <f t="shared" si="21"/>
        <v>1月</v>
      </c>
      <c r="B500" s="11" t="str">
        <f t="shared" si="22"/>
        <v>1月0日</v>
      </c>
      <c r="C500" s="11" t="str">
        <f t="shared" si="23"/>
        <v>1時</v>
      </c>
      <c r="D500" s="10"/>
    </row>
    <row r="501" spans="1:4" x14ac:dyDescent="0.55000000000000004">
      <c r="A501" s="11" t="str">
        <f t="shared" si="21"/>
        <v>1月</v>
      </c>
      <c r="B501" s="11" t="str">
        <f t="shared" si="22"/>
        <v>1月0日</v>
      </c>
      <c r="C501" s="11" t="str">
        <f t="shared" si="23"/>
        <v>1時</v>
      </c>
      <c r="D501" s="10"/>
    </row>
    <row r="502" spans="1:4" x14ac:dyDescent="0.55000000000000004">
      <c r="A502" s="11" t="str">
        <f t="shared" si="21"/>
        <v>1月</v>
      </c>
      <c r="B502" s="11" t="str">
        <f t="shared" si="22"/>
        <v>1月0日</v>
      </c>
      <c r="C502" s="11" t="str">
        <f t="shared" si="23"/>
        <v>1時</v>
      </c>
      <c r="D502" s="10"/>
    </row>
    <row r="503" spans="1:4" x14ac:dyDescent="0.55000000000000004">
      <c r="A503" s="11" t="str">
        <f t="shared" si="21"/>
        <v>1月</v>
      </c>
      <c r="B503" s="11" t="str">
        <f t="shared" si="22"/>
        <v>1月0日</v>
      </c>
      <c r="C503" s="11" t="str">
        <f t="shared" si="23"/>
        <v>1時</v>
      </c>
      <c r="D503" s="10"/>
    </row>
    <row r="504" spans="1:4" x14ac:dyDescent="0.55000000000000004">
      <c r="A504" s="11" t="str">
        <f t="shared" si="21"/>
        <v>1月</v>
      </c>
      <c r="B504" s="11" t="str">
        <f t="shared" si="22"/>
        <v>1月0日</v>
      </c>
      <c r="C504" s="11" t="str">
        <f t="shared" si="23"/>
        <v>1時</v>
      </c>
      <c r="D504" s="10"/>
    </row>
    <row r="505" spans="1:4" x14ac:dyDescent="0.55000000000000004">
      <c r="A505" s="11" t="str">
        <f t="shared" si="21"/>
        <v>1月</v>
      </c>
      <c r="B505" s="11" t="str">
        <f t="shared" si="22"/>
        <v>1月0日</v>
      </c>
      <c r="C505" s="11" t="str">
        <f t="shared" si="23"/>
        <v>1時</v>
      </c>
      <c r="D505" s="10"/>
    </row>
    <row r="506" spans="1:4" x14ac:dyDescent="0.55000000000000004">
      <c r="A506" s="11" t="str">
        <f t="shared" si="21"/>
        <v>1月</v>
      </c>
      <c r="B506" s="11" t="str">
        <f t="shared" si="22"/>
        <v>1月0日</v>
      </c>
      <c r="C506" s="11" t="str">
        <f t="shared" si="23"/>
        <v>1時</v>
      </c>
      <c r="D506" s="10"/>
    </row>
    <row r="507" spans="1:4" x14ac:dyDescent="0.55000000000000004">
      <c r="A507" s="11" t="str">
        <f t="shared" si="21"/>
        <v>1月</v>
      </c>
      <c r="B507" s="11" t="str">
        <f t="shared" si="22"/>
        <v>1月0日</v>
      </c>
      <c r="C507" s="11" t="str">
        <f t="shared" si="23"/>
        <v>1時</v>
      </c>
      <c r="D507" s="10"/>
    </row>
    <row r="508" spans="1:4" x14ac:dyDescent="0.55000000000000004">
      <c r="A508" s="11" t="str">
        <f t="shared" si="21"/>
        <v>1月</v>
      </c>
      <c r="B508" s="11" t="str">
        <f t="shared" si="22"/>
        <v>1月0日</v>
      </c>
      <c r="C508" s="11" t="str">
        <f t="shared" si="23"/>
        <v>1時</v>
      </c>
      <c r="D508" s="10"/>
    </row>
    <row r="509" spans="1:4" x14ac:dyDescent="0.55000000000000004">
      <c r="A509" s="11" t="str">
        <f t="shared" si="21"/>
        <v>1月</v>
      </c>
      <c r="B509" s="11" t="str">
        <f t="shared" si="22"/>
        <v>1月0日</v>
      </c>
      <c r="C509" s="11" t="str">
        <f t="shared" si="23"/>
        <v>1時</v>
      </c>
      <c r="D509" s="10"/>
    </row>
    <row r="510" spans="1:4" x14ac:dyDescent="0.55000000000000004">
      <c r="A510" s="11" t="str">
        <f t="shared" si="21"/>
        <v>1月</v>
      </c>
      <c r="B510" s="11" t="str">
        <f t="shared" si="22"/>
        <v>1月0日</v>
      </c>
      <c r="C510" s="11" t="str">
        <f t="shared" si="23"/>
        <v>1時</v>
      </c>
      <c r="D510" s="10"/>
    </row>
    <row r="511" spans="1:4" x14ac:dyDescent="0.55000000000000004">
      <c r="A511" s="11" t="str">
        <f t="shared" si="21"/>
        <v>1月</v>
      </c>
      <c r="B511" s="11" t="str">
        <f t="shared" si="22"/>
        <v>1月0日</v>
      </c>
      <c r="C511" s="11" t="str">
        <f t="shared" si="23"/>
        <v>1時</v>
      </c>
      <c r="D511" s="10"/>
    </row>
    <row r="512" spans="1:4" x14ac:dyDescent="0.55000000000000004">
      <c r="A512" s="11" t="str">
        <f t="shared" si="21"/>
        <v>1月</v>
      </c>
      <c r="B512" s="11" t="str">
        <f t="shared" si="22"/>
        <v>1月0日</v>
      </c>
      <c r="C512" s="11" t="str">
        <f t="shared" si="23"/>
        <v>1時</v>
      </c>
      <c r="D512" s="10"/>
    </row>
    <row r="513" spans="1:4" x14ac:dyDescent="0.55000000000000004">
      <c r="A513" s="11" t="str">
        <f t="shared" si="21"/>
        <v>1月</v>
      </c>
      <c r="B513" s="11" t="str">
        <f t="shared" si="22"/>
        <v>1月0日</v>
      </c>
      <c r="C513" s="11" t="str">
        <f t="shared" si="23"/>
        <v>1時</v>
      </c>
      <c r="D513" s="10"/>
    </row>
    <row r="514" spans="1:4" x14ac:dyDescent="0.55000000000000004">
      <c r="A514" s="11" t="str">
        <f t="shared" si="21"/>
        <v>1月</v>
      </c>
      <c r="B514" s="11" t="str">
        <f t="shared" si="22"/>
        <v>1月0日</v>
      </c>
      <c r="C514" s="11" t="str">
        <f t="shared" si="23"/>
        <v>1時</v>
      </c>
      <c r="D514" s="10"/>
    </row>
    <row r="515" spans="1:4" x14ac:dyDescent="0.55000000000000004">
      <c r="A515" s="11" t="str">
        <f t="shared" si="21"/>
        <v>1月</v>
      </c>
      <c r="B515" s="11" t="str">
        <f t="shared" si="22"/>
        <v>1月0日</v>
      </c>
      <c r="C515" s="11" t="str">
        <f t="shared" si="23"/>
        <v>1時</v>
      </c>
      <c r="D515" s="10"/>
    </row>
    <row r="516" spans="1:4" x14ac:dyDescent="0.55000000000000004">
      <c r="A516" s="11" t="str">
        <f t="shared" ref="A516:A579" si="24">MONTH(D516)&amp;"月"</f>
        <v>1月</v>
      </c>
      <c r="B516" s="11" t="str">
        <f t="shared" ref="B516:B579" si="25">A516&amp;DAY(D516)&amp;"日"</f>
        <v>1月0日</v>
      </c>
      <c r="C516" s="11" t="str">
        <f t="shared" ref="C516:C579" si="26">HOUR(D516)+1&amp;"時"</f>
        <v>1時</v>
      </c>
      <c r="D516" s="10"/>
    </row>
    <row r="517" spans="1:4" x14ac:dyDescent="0.55000000000000004">
      <c r="A517" s="11" t="str">
        <f t="shared" si="24"/>
        <v>1月</v>
      </c>
      <c r="B517" s="11" t="str">
        <f t="shared" si="25"/>
        <v>1月0日</v>
      </c>
      <c r="C517" s="11" t="str">
        <f t="shared" si="26"/>
        <v>1時</v>
      </c>
      <c r="D517" s="10"/>
    </row>
    <row r="518" spans="1:4" x14ac:dyDescent="0.55000000000000004">
      <c r="A518" s="11" t="str">
        <f t="shared" si="24"/>
        <v>1月</v>
      </c>
      <c r="B518" s="11" t="str">
        <f t="shared" si="25"/>
        <v>1月0日</v>
      </c>
      <c r="C518" s="11" t="str">
        <f t="shared" si="26"/>
        <v>1時</v>
      </c>
      <c r="D518" s="10"/>
    </row>
    <row r="519" spans="1:4" x14ac:dyDescent="0.55000000000000004">
      <c r="A519" s="11" t="str">
        <f t="shared" si="24"/>
        <v>1月</v>
      </c>
      <c r="B519" s="11" t="str">
        <f t="shared" si="25"/>
        <v>1月0日</v>
      </c>
      <c r="C519" s="11" t="str">
        <f t="shared" si="26"/>
        <v>1時</v>
      </c>
      <c r="D519" s="10"/>
    </row>
    <row r="520" spans="1:4" x14ac:dyDescent="0.55000000000000004">
      <c r="A520" s="11" t="str">
        <f t="shared" si="24"/>
        <v>1月</v>
      </c>
      <c r="B520" s="11" t="str">
        <f t="shared" si="25"/>
        <v>1月0日</v>
      </c>
      <c r="C520" s="11" t="str">
        <f t="shared" si="26"/>
        <v>1時</v>
      </c>
      <c r="D520" s="10"/>
    </row>
    <row r="521" spans="1:4" x14ac:dyDescent="0.55000000000000004">
      <c r="A521" s="11" t="str">
        <f t="shared" si="24"/>
        <v>1月</v>
      </c>
      <c r="B521" s="11" t="str">
        <f t="shared" si="25"/>
        <v>1月0日</v>
      </c>
      <c r="C521" s="11" t="str">
        <f t="shared" si="26"/>
        <v>1時</v>
      </c>
      <c r="D521" s="10"/>
    </row>
    <row r="522" spans="1:4" x14ac:dyDescent="0.55000000000000004">
      <c r="A522" s="11" t="str">
        <f t="shared" si="24"/>
        <v>1月</v>
      </c>
      <c r="B522" s="11" t="str">
        <f t="shared" si="25"/>
        <v>1月0日</v>
      </c>
      <c r="C522" s="11" t="str">
        <f t="shared" si="26"/>
        <v>1時</v>
      </c>
      <c r="D522" s="10"/>
    </row>
    <row r="523" spans="1:4" x14ac:dyDescent="0.55000000000000004">
      <c r="A523" s="11" t="str">
        <f t="shared" si="24"/>
        <v>1月</v>
      </c>
      <c r="B523" s="11" t="str">
        <f t="shared" si="25"/>
        <v>1月0日</v>
      </c>
      <c r="C523" s="11" t="str">
        <f t="shared" si="26"/>
        <v>1時</v>
      </c>
      <c r="D523" s="10"/>
    </row>
    <row r="524" spans="1:4" x14ac:dyDescent="0.55000000000000004">
      <c r="A524" s="11" t="str">
        <f t="shared" si="24"/>
        <v>1月</v>
      </c>
      <c r="B524" s="11" t="str">
        <f t="shared" si="25"/>
        <v>1月0日</v>
      </c>
      <c r="C524" s="11" t="str">
        <f t="shared" si="26"/>
        <v>1時</v>
      </c>
      <c r="D524" s="10"/>
    </row>
    <row r="525" spans="1:4" x14ac:dyDescent="0.55000000000000004">
      <c r="A525" s="11" t="str">
        <f t="shared" si="24"/>
        <v>1月</v>
      </c>
      <c r="B525" s="11" t="str">
        <f t="shared" si="25"/>
        <v>1月0日</v>
      </c>
      <c r="C525" s="11" t="str">
        <f t="shared" si="26"/>
        <v>1時</v>
      </c>
      <c r="D525" s="10"/>
    </row>
    <row r="526" spans="1:4" x14ac:dyDescent="0.55000000000000004">
      <c r="A526" s="11" t="str">
        <f t="shared" si="24"/>
        <v>1月</v>
      </c>
      <c r="B526" s="11" t="str">
        <f t="shared" si="25"/>
        <v>1月0日</v>
      </c>
      <c r="C526" s="11" t="str">
        <f t="shared" si="26"/>
        <v>1時</v>
      </c>
      <c r="D526" s="10"/>
    </row>
    <row r="527" spans="1:4" x14ac:dyDescent="0.55000000000000004">
      <c r="A527" s="11" t="str">
        <f t="shared" si="24"/>
        <v>1月</v>
      </c>
      <c r="B527" s="11" t="str">
        <f t="shared" si="25"/>
        <v>1月0日</v>
      </c>
      <c r="C527" s="11" t="str">
        <f t="shared" si="26"/>
        <v>1時</v>
      </c>
      <c r="D527" s="10"/>
    </row>
    <row r="528" spans="1:4" x14ac:dyDescent="0.55000000000000004">
      <c r="A528" s="11" t="str">
        <f t="shared" si="24"/>
        <v>1月</v>
      </c>
      <c r="B528" s="11" t="str">
        <f t="shared" si="25"/>
        <v>1月0日</v>
      </c>
      <c r="C528" s="11" t="str">
        <f t="shared" si="26"/>
        <v>1時</v>
      </c>
      <c r="D528" s="10"/>
    </row>
    <row r="529" spans="1:4" x14ac:dyDescent="0.55000000000000004">
      <c r="A529" s="11" t="str">
        <f t="shared" si="24"/>
        <v>1月</v>
      </c>
      <c r="B529" s="11" t="str">
        <f t="shared" si="25"/>
        <v>1月0日</v>
      </c>
      <c r="C529" s="11" t="str">
        <f t="shared" si="26"/>
        <v>1時</v>
      </c>
      <c r="D529" s="10"/>
    </row>
    <row r="530" spans="1:4" x14ac:dyDescent="0.55000000000000004">
      <c r="A530" s="11" t="str">
        <f t="shared" si="24"/>
        <v>1月</v>
      </c>
      <c r="B530" s="11" t="str">
        <f t="shared" si="25"/>
        <v>1月0日</v>
      </c>
      <c r="C530" s="11" t="str">
        <f t="shared" si="26"/>
        <v>1時</v>
      </c>
      <c r="D530" s="10"/>
    </row>
    <row r="531" spans="1:4" x14ac:dyDescent="0.55000000000000004">
      <c r="A531" s="11" t="str">
        <f t="shared" si="24"/>
        <v>1月</v>
      </c>
      <c r="B531" s="11" t="str">
        <f t="shared" si="25"/>
        <v>1月0日</v>
      </c>
      <c r="C531" s="11" t="str">
        <f t="shared" si="26"/>
        <v>1時</v>
      </c>
      <c r="D531" s="10"/>
    </row>
    <row r="532" spans="1:4" x14ac:dyDescent="0.55000000000000004">
      <c r="A532" s="11" t="str">
        <f t="shared" si="24"/>
        <v>1月</v>
      </c>
      <c r="B532" s="11" t="str">
        <f t="shared" si="25"/>
        <v>1月0日</v>
      </c>
      <c r="C532" s="11" t="str">
        <f t="shared" si="26"/>
        <v>1時</v>
      </c>
      <c r="D532" s="10"/>
    </row>
    <row r="533" spans="1:4" x14ac:dyDescent="0.55000000000000004">
      <c r="A533" s="11" t="str">
        <f t="shared" si="24"/>
        <v>1月</v>
      </c>
      <c r="B533" s="11" t="str">
        <f t="shared" si="25"/>
        <v>1月0日</v>
      </c>
      <c r="C533" s="11" t="str">
        <f t="shared" si="26"/>
        <v>1時</v>
      </c>
      <c r="D533" s="10"/>
    </row>
    <row r="534" spans="1:4" x14ac:dyDescent="0.55000000000000004">
      <c r="A534" s="11" t="str">
        <f t="shared" si="24"/>
        <v>1月</v>
      </c>
      <c r="B534" s="11" t="str">
        <f t="shared" si="25"/>
        <v>1月0日</v>
      </c>
      <c r="C534" s="11" t="str">
        <f t="shared" si="26"/>
        <v>1時</v>
      </c>
      <c r="D534" s="10"/>
    </row>
    <row r="535" spans="1:4" x14ac:dyDescent="0.55000000000000004">
      <c r="A535" s="11" t="str">
        <f t="shared" si="24"/>
        <v>1月</v>
      </c>
      <c r="B535" s="11" t="str">
        <f t="shared" si="25"/>
        <v>1月0日</v>
      </c>
      <c r="C535" s="11" t="str">
        <f t="shared" si="26"/>
        <v>1時</v>
      </c>
      <c r="D535" s="10"/>
    </row>
    <row r="536" spans="1:4" x14ac:dyDescent="0.55000000000000004">
      <c r="A536" s="11" t="str">
        <f t="shared" si="24"/>
        <v>1月</v>
      </c>
      <c r="B536" s="11" t="str">
        <f t="shared" si="25"/>
        <v>1月0日</v>
      </c>
      <c r="C536" s="11" t="str">
        <f t="shared" si="26"/>
        <v>1時</v>
      </c>
      <c r="D536" s="10"/>
    </row>
    <row r="537" spans="1:4" x14ac:dyDescent="0.55000000000000004">
      <c r="A537" s="11" t="str">
        <f t="shared" si="24"/>
        <v>1月</v>
      </c>
      <c r="B537" s="11" t="str">
        <f t="shared" si="25"/>
        <v>1月0日</v>
      </c>
      <c r="C537" s="11" t="str">
        <f t="shared" si="26"/>
        <v>1時</v>
      </c>
      <c r="D537" s="10"/>
    </row>
    <row r="538" spans="1:4" x14ac:dyDescent="0.55000000000000004">
      <c r="A538" s="11" t="str">
        <f t="shared" si="24"/>
        <v>1月</v>
      </c>
      <c r="B538" s="11" t="str">
        <f t="shared" si="25"/>
        <v>1月0日</v>
      </c>
      <c r="C538" s="11" t="str">
        <f t="shared" si="26"/>
        <v>1時</v>
      </c>
      <c r="D538" s="10"/>
    </row>
    <row r="539" spans="1:4" x14ac:dyDescent="0.55000000000000004">
      <c r="A539" s="11" t="str">
        <f t="shared" si="24"/>
        <v>1月</v>
      </c>
      <c r="B539" s="11" t="str">
        <f t="shared" si="25"/>
        <v>1月0日</v>
      </c>
      <c r="C539" s="11" t="str">
        <f t="shared" si="26"/>
        <v>1時</v>
      </c>
      <c r="D539" s="10"/>
    </row>
    <row r="540" spans="1:4" x14ac:dyDescent="0.55000000000000004">
      <c r="A540" s="11" t="str">
        <f t="shared" si="24"/>
        <v>1月</v>
      </c>
      <c r="B540" s="11" t="str">
        <f t="shared" si="25"/>
        <v>1月0日</v>
      </c>
      <c r="C540" s="11" t="str">
        <f t="shared" si="26"/>
        <v>1時</v>
      </c>
      <c r="D540" s="10"/>
    </row>
    <row r="541" spans="1:4" x14ac:dyDescent="0.55000000000000004">
      <c r="A541" s="11" t="str">
        <f t="shared" si="24"/>
        <v>1月</v>
      </c>
      <c r="B541" s="11" t="str">
        <f t="shared" si="25"/>
        <v>1月0日</v>
      </c>
      <c r="C541" s="11" t="str">
        <f t="shared" si="26"/>
        <v>1時</v>
      </c>
      <c r="D541" s="10"/>
    </row>
    <row r="542" spans="1:4" x14ac:dyDescent="0.55000000000000004">
      <c r="A542" s="11" t="str">
        <f t="shared" si="24"/>
        <v>1月</v>
      </c>
      <c r="B542" s="11" t="str">
        <f t="shared" si="25"/>
        <v>1月0日</v>
      </c>
      <c r="C542" s="11" t="str">
        <f t="shared" si="26"/>
        <v>1時</v>
      </c>
      <c r="D542" s="10"/>
    </row>
    <row r="543" spans="1:4" x14ac:dyDescent="0.55000000000000004">
      <c r="A543" s="11" t="str">
        <f t="shared" si="24"/>
        <v>1月</v>
      </c>
      <c r="B543" s="11" t="str">
        <f t="shared" si="25"/>
        <v>1月0日</v>
      </c>
      <c r="C543" s="11" t="str">
        <f t="shared" si="26"/>
        <v>1時</v>
      </c>
      <c r="D543" s="10"/>
    </row>
    <row r="544" spans="1:4" x14ac:dyDescent="0.55000000000000004">
      <c r="A544" s="11" t="str">
        <f t="shared" si="24"/>
        <v>1月</v>
      </c>
      <c r="B544" s="11" t="str">
        <f t="shared" si="25"/>
        <v>1月0日</v>
      </c>
      <c r="C544" s="11" t="str">
        <f t="shared" si="26"/>
        <v>1時</v>
      </c>
      <c r="D544" s="10"/>
    </row>
    <row r="545" spans="1:4" x14ac:dyDescent="0.55000000000000004">
      <c r="A545" s="11" t="str">
        <f t="shared" si="24"/>
        <v>1月</v>
      </c>
      <c r="B545" s="11" t="str">
        <f t="shared" si="25"/>
        <v>1月0日</v>
      </c>
      <c r="C545" s="11" t="str">
        <f t="shared" si="26"/>
        <v>1時</v>
      </c>
      <c r="D545" s="10"/>
    </row>
    <row r="546" spans="1:4" x14ac:dyDescent="0.55000000000000004">
      <c r="A546" s="11" t="str">
        <f t="shared" si="24"/>
        <v>1月</v>
      </c>
      <c r="B546" s="11" t="str">
        <f t="shared" si="25"/>
        <v>1月0日</v>
      </c>
      <c r="C546" s="11" t="str">
        <f t="shared" si="26"/>
        <v>1時</v>
      </c>
      <c r="D546" s="10"/>
    </row>
    <row r="547" spans="1:4" x14ac:dyDescent="0.55000000000000004">
      <c r="A547" s="11" t="str">
        <f t="shared" si="24"/>
        <v>1月</v>
      </c>
      <c r="B547" s="11" t="str">
        <f t="shared" si="25"/>
        <v>1月0日</v>
      </c>
      <c r="C547" s="11" t="str">
        <f t="shared" si="26"/>
        <v>1時</v>
      </c>
      <c r="D547" s="10"/>
    </row>
    <row r="548" spans="1:4" x14ac:dyDescent="0.55000000000000004">
      <c r="A548" s="11" t="str">
        <f t="shared" si="24"/>
        <v>1月</v>
      </c>
      <c r="B548" s="11" t="str">
        <f t="shared" si="25"/>
        <v>1月0日</v>
      </c>
      <c r="C548" s="11" t="str">
        <f t="shared" si="26"/>
        <v>1時</v>
      </c>
      <c r="D548" s="10"/>
    </row>
    <row r="549" spans="1:4" x14ac:dyDescent="0.55000000000000004">
      <c r="A549" s="11" t="str">
        <f t="shared" si="24"/>
        <v>1月</v>
      </c>
      <c r="B549" s="11" t="str">
        <f t="shared" si="25"/>
        <v>1月0日</v>
      </c>
      <c r="C549" s="11" t="str">
        <f t="shared" si="26"/>
        <v>1時</v>
      </c>
      <c r="D549" s="10"/>
    </row>
    <row r="550" spans="1:4" x14ac:dyDescent="0.55000000000000004">
      <c r="A550" s="11" t="str">
        <f t="shared" si="24"/>
        <v>1月</v>
      </c>
      <c r="B550" s="11" t="str">
        <f t="shared" si="25"/>
        <v>1月0日</v>
      </c>
      <c r="C550" s="11" t="str">
        <f t="shared" si="26"/>
        <v>1時</v>
      </c>
      <c r="D550" s="10"/>
    </row>
    <row r="551" spans="1:4" x14ac:dyDescent="0.55000000000000004">
      <c r="A551" s="11" t="str">
        <f t="shared" si="24"/>
        <v>1月</v>
      </c>
      <c r="B551" s="11" t="str">
        <f t="shared" si="25"/>
        <v>1月0日</v>
      </c>
      <c r="C551" s="11" t="str">
        <f t="shared" si="26"/>
        <v>1時</v>
      </c>
      <c r="D551" s="10"/>
    </row>
    <row r="552" spans="1:4" x14ac:dyDescent="0.55000000000000004">
      <c r="A552" s="11" t="str">
        <f t="shared" si="24"/>
        <v>1月</v>
      </c>
      <c r="B552" s="11" t="str">
        <f t="shared" si="25"/>
        <v>1月0日</v>
      </c>
      <c r="C552" s="11" t="str">
        <f t="shared" si="26"/>
        <v>1時</v>
      </c>
      <c r="D552" s="10"/>
    </row>
    <row r="553" spans="1:4" x14ac:dyDescent="0.55000000000000004">
      <c r="A553" s="11" t="str">
        <f t="shared" si="24"/>
        <v>1月</v>
      </c>
      <c r="B553" s="11" t="str">
        <f t="shared" si="25"/>
        <v>1月0日</v>
      </c>
      <c r="C553" s="11" t="str">
        <f t="shared" si="26"/>
        <v>1時</v>
      </c>
      <c r="D553" s="10"/>
    </row>
    <row r="554" spans="1:4" x14ac:dyDescent="0.55000000000000004">
      <c r="A554" s="11" t="str">
        <f t="shared" si="24"/>
        <v>1月</v>
      </c>
      <c r="B554" s="11" t="str">
        <f t="shared" si="25"/>
        <v>1月0日</v>
      </c>
      <c r="C554" s="11" t="str">
        <f t="shared" si="26"/>
        <v>1時</v>
      </c>
      <c r="D554" s="10"/>
    </row>
    <row r="555" spans="1:4" x14ac:dyDescent="0.55000000000000004">
      <c r="A555" s="11" t="str">
        <f t="shared" si="24"/>
        <v>1月</v>
      </c>
      <c r="B555" s="11" t="str">
        <f t="shared" si="25"/>
        <v>1月0日</v>
      </c>
      <c r="C555" s="11" t="str">
        <f t="shared" si="26"/>
        <v>1時</v>
      </c>
      <c r="D555" s="10"/>
    </row>
    <row r="556" spans="1:4" x14ac:dyDescent="0.55000000000000004">
      <c r="A556" s="11" t="str">
        <f t="shared" si="24"/>
        <v>1月</v>
      </c>
      <c r="B556" s="11" t="str">
        <f t="shared" si="25"/>
        <v>1月0日</v>
      </c>
      <c r="C556" s="11" t="str">
        <f t="shared" si="26"/>
        <v>1時</v>
      </c>
      <c r="D556" s="10"/>
    </row>
    <row r="557" spans="1:4" x14ac:dyDescent="0.55000000000000004">
      <c r="A557" s="11" t="str">
        <f t="shared" si="24"/>
        <v>1月</v>
      </c>
      <c r="B557" s="11" t="str">
        <f t="shared" si="25"/>
        <v>1月0日</v>
      </c>
      <c r="C557" s="11" t="str">
        <f t="shared" si="26"/>
        <v>1時</v>
      </c>
      <c r="D557" s="10"/>
    </row>
    <row r="558" spans="1:4" x14ac:dyDescent="0.55000000000000004">
      <c r="A558" s="11" t="str">
        <f t="shared" si="24"/>
        <v>1月</v>
      </c>
      <c r="B558" s="11" t="str">
        <f t="shared" si="25"/>
        <v>1月0日</v>
      </c>
      <c r="C558" s="11" t="str">
        <f t="shared" si="26"/>
        <v>1時</v>
      </c>
      <c r="D558" s="10"/>
    </row>
    <row r="559" spans="1:4" x14ac:dyDescent="0.55000000000000004">
      <c r="A559" s="11" t="str">
        <f t="shared" si="24"/>
        <v>1月</v>
      </c>
      <c r="B559" s="11" t="str">
        <f t="shared" si="25"/>
        <v>1月0日</v>
      </c>
      <c r="C559" s="11" t="str">
        <f t="shared" si="26"/>
        <v>1時</v>
      </c>
      <c r="D559" s="10"/>
    </row>
    <row r="560" spans="1:4" x14ac:dyDescent="0.55000000000000004">
      <c r="A560" s="11" t="str">
        <f t="shared" si="24"/>
        <v>1月</v>
      </c>
      <c r="B560" s="11" t="str">
        <f t="shared" si="25"/>
        <v>1月0日</v>
      </c>
      <c r="C560" s="11" t="str">
        <f t="shared" si="26"/>
        <v>1時</v>
      </c>
      <c r="D560" s="10"/>
    </row>
    <row r="561" spans="1:4" x14ac:dyDescent="0.55000000000000004">
      <c r="A561" s="11" t="str">
        <f t="shared" si="24"/>
        <v>1月</v>
      </c>
      <c r="B561" s="11" t="str">
        <f t="shared" si="25"/>
        <v>1月0日</v>
      </c>
      <c r="C561" s="11" t="str">
        <f t="shared" si="26"/>
        <v>1時</v>
      </c>
      <c r="D561" s="10"/>
    </row>
    <row r="562" spans="1:4" x14ac:dyDescent="0.55000000000000004">
      <c r="A562" s="11" t="str">
        <f t="shared" si="24"/>
        <v>1月</v>
      </c>
      <c r="B562" s="11" t="str">
        <f t="shared" si="25"/>
        <v>1月0日</v>
      </c>
      <c r="C562" s="11" t="str">
        <f t="shared" si="26"/>
        <v>1時</v>
      </c>
      <c r="D562" s="10"/>
    </row>
    <row r="563" spans="1:4" x14ac:dyDescent="0.55000000000000004">
      <c r="A563" s="11" t="str">
        <f t="shared" si="24"/>
        <v>1月</v>
      </c>
      <c r="B563" s="11" t="str">
        <f t="shared" si="25"/>
        <v>1月0日</v>
      </c>
      <c r="C563" s="11" t="str">
        <f t="shared" si="26"/>
        <v>1時</v>
      </c>
      <c r="D563" s="10"/>
    </row>
    <row r="564" spans="1:4" x14ac:dyDescent="0.55000000000000004">
      <c r="A564" s="11" t="str">
        <f t="shared" si="24"/>
        <v>1月</v>
      </c>
      <c r="B564" s="11" t="str">
        <f t="shared" si="25"/>
        <v>1月0日</v>
      </c>
      <c r="C564" s="11" t="str">
        <f t="shared" si="26"/>
        <v>1時</v>
      </c>
      <c r="D564" s="10"/>
    </row>
    <row r="565" spans="1:4" x14ac:dyDescent="0.55000000000000004">
      <c r="A565" s="11" t="str">
        <f t="shared" si="24"/>
        <v>1月</v>
      </c>
      <c r="B565" s="11" t="str">
        <f t="shared" si="25"/>
        <v>1月0日</v>
      </c>
      <c r="C565" s="11" t="str">
        <f t="shared" si="26"/>
        <v>1時</v>
      </c>
      <c r="D565" s="10"/>
    </row>
    <row r="566" spans="1:4" x14ac:dyDescent="0.55000000000000004">
      <c r="A566" s="11" t="str">
        <f t="shared" si="24"/>
        <v>1月</v>
      </c>
      <c r="B566" s="11" t="str">
        <f t="shared" si="25"/>
        <v>1月0日</v>
      </c>
      <c r="C566" s="11" t="str">
        <f t="shared" si="26"/>
        <v>1時</v>
      </c>
      <c r="D566" s="10"/>
    </row>
    <row r="567" spans="1:4" x14ac:dyDescent="0.55000000000000004">
      <c r="A567" s="11" t="str">
        <f t="shared" si="24"/>
        <v>1月</v>
      </c>
      <c r="B567" s="11" t="str">
        <f t="shared" si="25"/>
        <v>1月0日</v>
      </c>
      <c r="C567" s="11" t="str">
        <f t="shared" si="26"/>
        <v>1時</v>
      </c>
      <c r="D567" s="10"/>
    </row>
    <row r="568" spans="1:4" x14ac:dyDescent="0.55000000000000004">
      <c r="A568" s="11" t="str">
        <f t="shared" si="24"/>
        <v>1月</v>
      </c>
      <c r="B568" s="11" t="str">
        <f t="shared" si="25"/>
        <v>1月0日</v>
      </c>
      <c r="C568" s="11" t="str">
        <f t="shared" si="26"/>
        <v>1時</v>
      </c>
      <c r="D568" s="10"/>
    </row>
    <row r="569" spans="1:4" x14ac:dyDescent="0.55000000000000004">
      <c r="A569" s="11" t="str">
        <f t="shared" si="24"/>
        <v>1月</v>
      </c>
      <c r="B569" s="11" t="str">
        <f t="shared" si="25"/>
        <v>1月0日</v>
      </c>
      <c r="C569" s="11" t="str">
        <f t="shared" si="26"/>
        <v>1時</v>
      </c>
      <c r="D569" s="10"/>
    </row>
    <row r="570" spans="1:4" x14ac:dyDescent="0.55000000000000004">
      <c r="A570" s="11" t="str">
        <f t="shared" si="24"/>
        <v>1月</v>
      </c>
      <c r="B570" s="11" t="str">
        <f t="shared" si="25"/>
        <v>1月0日</v>
      </c>
      <c r="C570" s="11" t="str">
        <f t="shared" si="26"/>
        <v>1時</v>
      </c>
      <c r="D570" s="10"/>
    </row>
    <row r="571" spans="1:4" x14ac:dyDescent="0.55000000000000004">
      <c r="A571" s="11" t="str">
        <f t="shared" si="24"/>
        <v>1月</v>
      </c>
      <c r="B571" s="11" t="str">
        <f t="shared" si="25"/>
        <v>1月0日</v>
      </c>
      <c r="C571" s="11" t="str">
        <f t="shared" si="26"/>
        <v>1時</v>
      </c>
      <c r="D571" s="10"/>
    </row>
    <row r="572" spans="1:4" x14ac:dyDescent="0.55000000000000004">
      <c r="A572" s="11" t="str">
        <f t="shared" si="24"/>
        <v>1月</v>
      </c>
      <c r="B572" s="11" t="str">
        <f t="shared" si="25"/>
        <v>1月0日</v>
      </c>
      <c r="C572" s="11" t="str">
        <f t="shared" si="26"/>
        <v>1時</v>
      </c>
      <c r="D572" s="10"/>
    </row>
    <row r="573" spans="1:4" x14ac:dyDescent="0.55000000000000004">
      <c r="A573" s="11" t="str">
        <f t="shared" si="24"/>
        <v>1月</v>
      </c>
      <c r="B573" s="11" t="str">
        <f t="shared" si="25"/>
        <v>1月0日</v>
      </c>
      <c r="C573" s="11" t="str">
        <f t="shared" si="26"/>
        <v>1時</v>
      </c>
      <c r="D573" s="10"/>
    </row>
    <row r="574" spans="1:4" x14ac:dyDescent="0.55000000000000004">
      <c r="A574" s="11" t="str">
        <f t="shared" si="24"/>
        <v>1月</v>
      </c>
      <c r="B574" s="11" t="str">
        <f t="shared" si="25"/>
        <v>1月0日</v>
      </c>
      <c r="C574" s="11" t="str">
        <f t="shared" si="26"/>
        <v>1時</v>
      </c>
      <c r="D574" s="10"/>
    </row>
    <row r="575" spans="1:4" x14ac:dyDescent="0.55000000000000004">
      <c r="A575" s="11" t="str">
        <f t="shared" si="24"/>
        <v>1月</v>
      </c>
      <c r="B575" s="11" t="str">
        <f t="shared" si="25"/>
        <v>1月0日</v>
      </c>
      <c r="C575" s="11" t="str">
        <f t="shared" si="26"/>
        <v>1時</v>
      </c>
      <c r="D575" s="10"/>
    </row>
    <row r="576" spans="1:4" x14ac:dyDescent="0.55000000000000004">
      <c r="A576" s="11" t="str">
        <f t="shared" si="24"/>
        <v>1月</v>
      </c>
      <c r="B576" s="11" t="str">
        <f t="shared" si="25"/>
        <v>1月0日</v>
      </c>
      <c r="C576" s="11" t="str">
        <f t="shared" si="26"/>
        <v>1時</v>
      </c>
      <c r="D576" s="10"/>
    </row>
    <row r="577" spans="1:4" x14ac:dyDescent="0.55000000000000004">
      <c r="A577" s="11" t="str">
        <f t="shared" si="24"/>
        <v>1月</v>
      </c>
      <c r="B577" s="11" t="str">
        <f t="shared" si="25"/>
        <v>1月0日</v>
      </c>
      <c r="C577" s="11" t="str">
        <f t="shared" si="26"/>
        <v>1時</v>
      </c>
      <c r="D577" s="10"/>
    </row>
    <row r="578" spans="1:4" x14ac:dyDescent="0.55000000000000004">
      <c r="A578" s="11" t="str">
        <f t="shared" si="24"/>
        <v>1月</v>
      </c>
      <c r="B578" s="11" t="str">
        <f t="shared" si="25"/>
        <v>1月0日</v>
      </c>
      <c r="C578" s="11" t="str">
        <f t="shared" si="26"/>
        <v>1時</v>
      </c>
      <c r="D578" s="10"/>
    </row>
    <row r="579" spans="1:4" x14ac:dyDescent="0.55000000000000004">
      <c r="A579" s="11" t="str">
        <f t="shared" si="24"/>
        <v>1月</v>
      </c>
      <c r="B579" s="11" t="str">
        <f t="shared" si="25"/>
        <v>1月0日</v>
      </c>
      <c r="C579" s="11" t="str">
        <f t="shared" si="26"/>
        <v>1時</v>
      </c>
      <c r="D579" s="10"/>
    </row>
    <row r="580" spans="1:4" x14ac:dyDescent="0.55000000000000004">
      <c r="A580" s="11" t="str">
        <f t="shared" ref="A580:A643" si="27">MONTH(D580)&amp;"月"</f>
        <v>1月</v>
      </c>
      <c r="B580" s="11" t="str">
        <f t="shared" ref="B580:B643" si="28">A580&amp;DAY(D580)&amp;"日"</f>
        <v>1月0日</v>
      </c>
      <c r="C580" s="11" t="str">
        <f t="shared" ref="C580:C643" si="29">HOUR(D580)+1&amp;"時"</f>
        <v>1時</v>
      </c>
      <c r="D580" s="10"/>
    </row>
    <row r="581" spans="1:4" x14ac:dyDescent="0.55000000000000004">
      <c r="A581" s="11" t="str">
        <f t="shared" si="27"/>
        <v>1月</v>
      </c>
      <c r="B581" s="11" t="str">
        <f t="shared" si="28"/>
        <v>1月0日</v>
      </c>
      <c r="C581" s="11" t="str">
        <f t="shared" si="29"/>
        <v>1時</v>
      </c>
      <c r="D581" s="10"/>
    </row>
    <row r="582" spans="1:4" x14ac:dyDescent="0.55000000000000004">
      <c r="A582" s="11" t="str">
        <f t="shared" si="27"/>
        <v>1月</v>
      </c>
      <c r="B582" s="11" t="str">
        <f t="shared" si="28"/>
        <v>1月0日</v>
      </c>
      <c r="C582" s="11" t="str">
        <f t="shared" si="29"/>
        <v>1時</v>
      </c>
      <c r="D582" s="10"/>
    </row>
    <row r="583" spans="1:4" x14ac:dyDescent="0.55000000000000004">
      <c r="A583" s="11" t="str">
        <f t="shared" si="27"/>
        <v>1月</v>
      </c>
      <c r="B583" s="11" t="str">
        <f t="shared" si="28"/>
        <v>1月0日</v>
      </c>
      <c r="C583" s="11" t="str">
        <f t="shared" si="29"/>
        <v>1時</v>
      </c>
      <c r="D583" s="10"/>
    </row>
    <row r="584" spans="1:4" x14ac:dyDescent="0.55000000000000004">
      <c r="A584" s="11" t="str">
        <f t="shared" si="27"/>
        <v>1月</v>
      </c>
      <c r="B584" s="11" t="str">
        <f t="shared" si="28"/>
        <v>1月0日</v>
      </c>
      <c r="C584" s="11" t="str">
        <f t="shared" si="29"/>
        <v>1時</v>
      </c>
      <c r="D584" s="10"/>
    </row>
    <row r="585" spans="1:4" x14ac:dyDescent="0.55000000000000004">
      <c r="A585" s="11" t="str">
        <f t="shared" si="27"/>
        <v>1月</v>
      </c>
      <c r="B585" s="11" t="str">
        <f t="shared" si="28"/>
        <v>1月0日</v>
      </c>
      <c r="C585" s="11" t="str">
        <f t="shared" si="29"/>
        <v>1時</v>
      </c>
      <c r="D585" s="10"/>
    </row>
    <row r="586" spans="1:4" x14ac:dyDescent="0.55000000000000004">
      <c r="A586" s="11" t="str">
        <f t="shared" si="27"/>
        <v>1月</v>
      </c>
      <c r="B586" s="11" t="str">
        <f t="shared" si="28"/>
        <v>1月0日</v>
      </c>
      <c r="C586" s="11" t="str">
        <f t="shared" si="29"/>
        <v>1時</v>
      </c>
      <c r="D586" s="10"/>
    </row>
    <row r="587" spans="1:4" x14ac:dyDescent="0.55000000000000004">
      <c r="A587" s="11" t="str">
        <f t="shared" si="27"/>
        <v>1月</v>
      </c>
      <c r="B587" s="11" t="str">
        <f t="shared" si="28"/>
        <v>1月0日</v>
      </c>
      <c r="C587" s="11" t="str">
        <f t="shared" si="29"/>
        <v>1時</v>
      </c>
      <c r="D587" s="10"/>
    </row>
    <row r="588" spans="1:4" x14ac:dyDescent="0.55000000000000004">
      <c r="A588" s="11" t="str">
        <f t="shared" si="27"/>
        <v>1月</v>
      </c>
      <c r="B588" s="11" t="str">
        <f t="shared" si="28"/>
        <v>1月0日</v>
      </c>
      <c r="C588" s="11" t="str">
        <f t="shared" si="29"/>
        <v>1時</v>
      </c>
      <c r="D588" s="10"/>
    </row>
    <row r="589" spans="1:4" x14ac:dyDescent="0.55000000000000004">
      <c r="A589" s="11" t="str">
        <f t="shared" si="27"/>
        <v>1月</v>
      </c>
      <c r="B589" s="11" t="str">
        <f t="shared" si="28"/>
        <v>1月0日</v>
      </c>
      <c r="C589" s="11" t="str">
        <f t="shared" si="29"/>
        <v>1時</v>
      </c>
      <c r="D589" s="10"/>
    </row>
    <row r="590" spans="1:4" x14ac:dyDescent="0.55000000000000004">
      <c r="A590" s="11" t="str">
        <f t="shared" si="27"/>
        <v>1月</v>
      </c>
      <c r="B590" s="11" t="str">
        <f t="shared" si="28"/>
        <v>1月0日</v>
      </c>
      <c r="C590" s="11" t="str">
        <f t="shared" si="29"/>
        <v>1時</v>
      </c>
      <c r="D590" s="10"/>
    </row>
    <row r="591" spans="1:4" x14ac:dyDescent="0.55000000000000004">
      <c r="A591" s="11" t="str">
        <f t="shared" si="27"/>
        <v>1月</v>
      </c>
      <c r="B591" s="11" t="str">
        <f t="shared" si="28"/>
        <v>1月0日</v>
      </c>
      <c r="C591" s="11" t="str">
        <f t="shared" si="29"/>
        <v>1時</v>
      </c>
      <c r="D591" s="10"/>
    </row>
    <row r="592" spans="1:4" x14ac:dyDescent="0.55000000000000004">
      <c r="A592" s="11" t="str">
        <f t="shared" si="27"/>
        <v>1月</v>
      </c>
      <c r="B592" s="11" t="str">
        <f t="shared" si="28"/>
        <v>1月0日</v>
      </c>
      <c r="C592" s="11" t="str">
        <f t="shared" si="29"/>
        <v>1時</v>
      </c>
      <c r="D592" s="10"/>
    </row>
    <row r="593" spans="1:4" x14ac:dyDescent="0.55000000000000004">
      <c r="A593" s="11" t="str">
        <f t="shared" si="27"/>
        <v>1月</v>
      </c>
      <c r="B593" s="11" t="str">
        <f t="shared" si="28"/>
        <v>1月0日</v>
      </c>
      <c r="C593" s="11" t="str">
        <f t="shared" si="29"/>
        <v>1時</v>
      </c>
      <c r="D593" s="10"/>
    </row>
    <row r="594" spans="1:4" x14ac:dyDescent="0.55000000000000004">
      <c r="A594" s="11" t="str">
        <f t="shared" si="27"/>
        <v>1月</v>
      </c>
      <c r="B594" s="11" t="str">
        <f t="shared" si="28"/>
        <v>1月0日</v>
      </c>
      <c r="C594" s="11" t="str">
        <f t="shared" si="29"/>
        <v>1時</v>
      </c>
      <c r="D594" s="10"/>
    </row>
    <row r="595" spans="1:4" x14ac:dyDescent="0.55000000000000004">
      <c r="A595" s="11" t="str">
        <f t="shared" si="27"/>
        <v>1月</v>
      </c>
      <c r="B595" s="11" t="str">
        <f t="shared" si="28"/>
        <v>1月0日</v>
      </c>
      <c r="C595" s="11" t="str">
        <f t="shared" si="29"/>
        <v>1時</v>
      </c>
      <c r="D595" s="10"/>
    </row>
    <row r="596" spans="1:4" x14ac:dyDescent="0.55000000000000004">
      <c r="A596" s="11" t="str">
        <f t="shared" si="27"/>
        <v>1月</v>
      </c>
      <c r="B596" s="11" t="str">
        <f t="shared" si="28"/>
        <v>1月0日</v>
      </c>
      <c r="C596" s="11" t="str">
        <f t="shared" si="29"/>
        <v>1時</v>
      </c>
      <c r="D596" s="10"/>
    </row>
    <row r="597" spans="1:4" x14ac:dyDescent="0.55000000000000004">
      <c r="A597" s="11" t="str">
        <f t="shared" si="27"/>
        <v>1月</v>
      </c>
      <c r="B597" s="11" t="str">
        <f t="shared" si="28"/>
        <v>1月0日</v>
      </c>
      <c r="C597" s="11" t="str">
        <f t="shared" si="29"/>
        <v>1時</v>
      </c>
      <c r="D597" s="10"/>
    </row>
    <row r="598" spans="1:4" x14ac:dyDescent="0.55000000000000004">
      <c r="A598" s="11" t="str">
        <f t="shared" si="27"/>
        <v>1月</v>
      </c>
      <c r="B598" s="11" t="str">
        <f t="shared" si="28"/>
        <v>1月0日</v>
      </c>
      <c r="C598" s="11" t="str">
        <f t="shared" si="29"/>
        <v>1時</v>
      </c>
      <c r="D598" s="10"/>
    </row>
    <row r="599" spans="1:4" x14ac:dyDescent="0.55000000000000004">
      <c r="A599" s="11" t="str">
        <f t="shared" si="27"/>
        <v>1月</v>
      </c>
      <c r="B599" s="11" t="str">
        <f t="shared" si="28"/>
        <v>1月0日</v>
      </c>
      <c r="C599" s="11" t="str">
        <f t="shared" si="29"/>
        <v>1時</v>
      </c>
      <c r="D599" s="10"/>
    </row>
    <row r="600" spans="1:4" x14ac:dyDescent="0.55000000000000004">
      <c r="A600" s="11" t="str">
        <f t="shared" si="27"/>
        <v>1月</v>
      </c>
      <c r="B600" s="11" t="str">
        <f t="shared" si="28"/>
        <v>1月0日</v>
      </c>
      <c r="C600" s="11" t="str">
        <f t="shared" si="29"/>
        <v>1時</v>
      </c>
      <c r="D600" s="10"/>
    </row>
    <row r="601" spans="1:4" x14ac:dyDescent="0.55000000000000004">
      <c r="A601" s="11" t="str">
        <f t="shared" si="27"/>
        <v>1月</v>
      </c>
      <c r="B601" s="11" t="str">
        <f t="shared" si="28"/>
        <v>1月0日</v>
      </c>
      <c r="C601" s="11" t="str">
        <f t="shared" si="29"/>
        <v>1時</v>
      </c>
      <c r="D601" s="10"/>
    </row>
    <row r="602" spans="1:4" x14ac:dyDescent="0.55000000000000004">
      <c r="A602" s="11" t="str">
        <f t="shared" si="27"/>
        <v>1月</v>
      </c>
      <c r="B602" s="11" t="str">
        <f t="shared" si="28"/>
        <v>1月0日</v>
      </c>
      <c r="C602" s="11" t="str">
        <f t="shared" si="29"/>
        <v>1時</v>
      </c>
      <c r="D602" s="10"/>
    </row>
    <row r="603" spans="1:4" x14ac:dyDescent="0.55000000000000004">
      <c r="A603" s="11" t="str">
        <f t="shared" si="27"/>
        <v>1月</v>
      </c>
      <c r="B603" s="11" t="str">
        <f t="shared" si="28"/>
        <v>1月0日</v>
      </c>
      <c r="C603" s="11" t="str">
        <f t="shared" si="29"/>
        <v>1時</v>
      </c>
      <c r="D603" s="10"/>
    </row>
    <row r="604" spans="1:4" x14ac:dyDescent="0.55000000000000004">
      <c r="A604" s="11" t="str">
        <f t="shared" si="27"/>
        <v>1月</v>
      </c>
      <c r="B604" s="11" t="str">
        <f t="shared" si="28"/>
        <v>1月0日</v>
      </c>
      <c r="C604" s="11" t="str">
        <f t="shared" si="29"/>
        <v>1時</v>
      </c>
      <c r="D604" s="10"/>
    </row>
    <row r="605" spans="1:4" x14ac:dyDescent="0.55000000000000004">
      <c r="A605" s="11" t="str">
        <f t="shared" si="27"/>
        <v>1月</v>
      </c>
      <c r="B605" s="11" t="str">
        <f t="shared" si="28"/>
        <v>1月0日</v>
      </c>
      <c r="C605" s="11" t="str">
        <f t="shared" si="29"/>
        <v>1時</v>
      </c>
      <c r="D605" s="10"/>
    </row>
    <row r="606" spans="1:4" x14ac:dyDescent="0.55000000000000004">
      <c r="A606" s="11" t="str">
        <f t="shared" si="27"/>
        <v>1月</v>
      </c>
      <c r="B606" s="11" t="str">
        <f t="shared" si="28"/>
        <v>1月0日</v>
      </c>
      <c r="C606" s="11" t="str">
        <f t="shared" si="29"/>
        <v>1時</v>
      </c>
      <c r="D606" s="10"/>
    </row>
    <row r="607" spans="1:4" x14ac:dyDescent="0.55000000000000004">
      <c r="A607" s="11" t="str">
        <f t="shared" si="27"/>
        <v>1月</v>
      </c>
      <c r="B607" s="11" t="str">
        <f t="shared" si="28"/>
        <v>1月0日</v>
      </c>
      <c r="C607" s="11" t="str">
        <f t="shared" si="29"/>
        <v>1時</v>
      </c>
      <c r="D607" s="10"/>
    </row>
    <row r="608" spans="1:4" x14ac:dyDescent="0.55000000000000004">
      <c r="A608" s="11" t="str">
        <f t="shared" si="27"/>
        <v>1月</v>
      </c>
      <c r="B608" s="11" t="str">
        <f t="shared" si="28"/>
        <v>1月0日</v>
      </c>
      <c r="C608" s="11" t="str">
        <f t="shared" si="29"/>
        <v>1時</v>
      </c>
      <c r="D608" s="10"/>
    </row>
    <row r="609" spans="1:4" x14ac:dyDescent="0.55000000000000004">
      <c r="A609" s="11" t="str">
        <f t="shared" si="27"/>
        <v>1月</v>
      </c>
      <c r="B609" s="11" t="str">
        <f t="shared" si="28"/>
        <v>1月0日</v>
      </c>
      <c r="C609" s="11" t="str">
        <f t="shared" si="29"/>
        <v>1時</v>
      </c>
      <c r="D609" s="10"/>
    </row>
    <row r="610" spans="1:4" x14ac:dyDescent="0.55000000000000004">
      <c r="A610" s="11" t="str">
        <f t="shared" si="27"/>
        <v>1月</v>
      </c>
      <c r="B610" s="11" t="str">
        <f t="shared" si="28"/>
        <v>1月0日</v>
      </c>
      <c r="C610" s="11" t="str">
        <f t="shared" si="29"/>
        <v>1時</v>
      </c>
      <c r="D610" s="10"/>
    </row>
    <row r="611" spans="1:4" x14ac:dyDescent="0.55000000000000004">
      <c r="A611" s="11" t="str">
        <f t="shared" si="27"/>
        <v>1月</v>
      </c>
      <c r="B611" s="11" t="str">
        <f t="shared" si="28"/>
        <v>1月0日</v>
      </c>
      <c r="C611" s="11" t="str">
        <f t="shared" si="29"/>
        <v>1時</v>
      </c>
      <c r="D611" s="10"/>
    </row>
    <row r="612" spans="1:4" x14ac:dyDescent="0.55000000000000004">
      <c r="A612" s="11" t="str">
        <f t="shared" si="27"/>
        <v>1月</v>
      </c>
      <c r="B612" s="11" t="str">
        <f t="shared" si="28"/>
        <v>1月0日</v>
      </c>
      <c r="C612" s="11" t="str">
        <f t="shared" si="29"/>
        <v>1時</v>
      </c>
      <c r="D612" s="10"/>
    </row>
    <row r="613" spans="1:4" x14ac:dyDescent="0.55000000000000004">
      <c r="A613" s="11" t="str">
        <f t="shared" si="27"/>
        <v>1月</v>
      </c>
      <c r="B613" s="11" t="str">
        <f t="shared" si="28"/>
        <v>1月0日</v>
      </c>
      <c r="C613" s="11" t="str">
        <f t="shared" si="29"/>
        <v>1時</v>
      </c>
      <c r="D613" s="10"/>
    </row>
    <row r="614" spans="1:4" x14ac:dyDescent="0.55000000000000004">
      <c r="A614" s="11" t="str">
        <f t="shared" si="27"/>
        <v>1月</v>
      </c>
      <c r="B614" s="11" t="str">
        <f t="shared" si="28"/>
        <v>1月0日</v>
      </c>
      <c r="C614" s="11" t="str">
        <f t="shared" si="29"/>
        <v>1時</v>
      </c>
      <c r="D614" s="10"/>
    </row>
    <row r="615" spans="1:4" x14ac:dyDescent="0.55000000000000004">
      <c r="A615" s="11" t="str">
        <f t="shared" si="27"/>
        <v>1月</v>
      </c>
      <c r="B615" s="11" t="str">
        <f t="shared" si="28"/>
        <v>1月0日</v>
      </c>
      <c r="C615" s="11" t="str">
        <f t="shared" si="29"/>
        <v>1時</v>
      </c>
      <c r="D615" s="10"/>
    </row>
    <row r="616" spans="1:4" x14ac:dyDescent="0.55000000000000004">
      <c r="A616" s="11" t="str">
        <f t="shared" si="27"/>
        <v>1月</v>
      </c>
      <c r="B616" s="11" t="str">
        <f t="shared" si="28"/>
        <v>1月0日</v>
      </c>
      <c r="C616" s="11" t="str">
        <f t="shared" si="29"/>
        <v>1時</v>
      </c>
      <c r="D616" s="10"/>
    </row>
    <row r="617" spans="1:4" x14ac:dyDescent="0.55000000000000004">
      <c r="A617" s="11" t="str">
        <f t="shared" si="27"/>
        <v>1月</v>
      </c>
      <c r="B617" s="11" t="str">
        <f t="shared" si="28"/>
        <v>1月0日</v>
      </c>
      <c r="C617" s="11" t="str">
        <f t="shared" si="29"/>
        <v>1時</v>
      </c>
      <c r="D617" s="10"/>
    </row>
    <row r="618" spans="1:4" x14ac:dyDescent="0.55000000000000004">
      <c r="A618" s="11" t="str">
        <f t="shared" si="27"/>
        <v>1月</v>
      </c>
      <c r="B618" s="11" t="str">
        <f t="shared" si="28"/>
        <v>1月0日</v>
      </c>
      <c r="C618" s="11" t="str">
        <f t="shared" si="29"/>
        <v>1時</v>
      </c>
      <c r="D618" s="10"/>
    </row>
    <row r="619" spans="1:4" x14ac:dyDescent="0.55000000000000004">
      <c r="A619" s="11" t="str">
        <f t="shared" si="27"/>
        <v>1月</v>
      </c>
      <c r="B619" s="11" t="str">
        <f t="shared" si="28"/>
        <v>1月0日</v>
      </c>
      <c r="C619" s="11" t="str">
        <f t="shared" si="29"/>
        <v>1時</v>
      </c>
      <c r="D619" s="10"/>
    </row>
    <row r="620" spans="1:4" x14ac:dyDescent="0.55000000000000004">
      <c r="A620" s="11" t="str">
        <f t="shared" si="27"/>
        <v>1月</v>
      </c>
      <c r="B620" s="11" t="str">
        <f t="shared" si="28"/>
        <v>1月0日</v>
      </c>
      <c r="C620" s="11" t="str">
        <f t="shared" si="29"/>
        <v>1時</v>
      </c>
      <c r="D620" s="10"/>
    </row>
    <row r="621" spans="1:4" x14ac:dyDescent="0.55000000000000004">
      <c r="A621" s="11" t="str">
        <f t="shared" si="27"/>
        <v>1月</v>
      </c>
      <c r="B621" s="11" t="str">
        <f t="shared" si="28"/>
        <v>1月0日</v>
      </c>
      <c r="C621" s="11" t="str">
        <f t="shared" si="29"/>
        <v>1時</v>
      </c>
      <c r="D621" s="10"/>
    </row>
    <row r="622" spans="1:4" x14ac:dyDescent="0.55000000000000004">
      <c r="A622" s="11" t="str">
        <f t="shared" si="27"/>
        <v>1月</v>
      </c>
      <c r="B622" s="11" t="str">
        <f t="shared" si="28"/>
        <v>1月0日</v>
      </c>
      <c r="C622" s="11" t="str">
        <f t="shared" si="29"/>
        <v>1時</v>
      </c>
      <c r="D622" s="10"/>
    </row>
    <row r="623" spans="1:4" x14ac:dyDescent="0.55000000000000004">
      <c r="A623" s="11" t="str">
        <f t="shared" si="27"/>
        <v>1月</v>
      </c>
      <c r="B623" s="11" t="str">
        <f t="shared" si="28"/>
        <v>1月0日</v>
      </c>
      <c r="C623" s="11" t="str">
        <f t="shared" si="29"/>
        <v>1時</v>
      </c>
      <c r="D623" s="10"/>
    </row>
    <row r="624" spans="1:4" x14ac:dyDescent="0.55000000000000004">
      <c r="A624" s="11" t="str">
        <f t="shared" si="27"/>
        <v>1月</v>
      </c>
      <c r="B624" s="11" t="str">
        <f t="shared" si="28"/>
        <v>1月0日</v>
      </c>
      <c r="C624" s="11" t="str">
        <f t="shared" si="29"/>
        <v>1時</v>
      </c>
      <c r="D624" s="10"/>
    </row>
    <row r="625" spans="1:4" x14ac:dyDescent="0.55000000000000004">
      <c r="A625" s="11" t="str">
        <f t="shared" si="27"/>
        <v>1月</v>
      </c>
      <c r="B625" s="11" t="str">
        <f t="shared" si="28"/>
        <v>1月0日</v>
      </c>
      <c r="C625" s="11" t="str">
        <f t="shared" si="29"/>
        <v>1時</v>
      </c>
      <c r="D625" s="10"/>
    </row>
    <row r="626" spans="1:4" x14ac:dyDescent="0.55000000000000004">
      <c r="A626" s="11" t="str">
        <f t="shared" si="27"/>
        <v>1月</v>
      </c>
      <c r="B626" s="11" t="str">
        <f t="shared" si="28"/>
        <v>1月0日</v>
      </c>
      <c r="C626" s="11" t="str">
        <f t="shared" si="29"/>
        <v>1時</v>
      </c>
      <c r="D626" s="10"/>
    </row>
    <row r="627" spans="1:4" x14ac:dyDescent="0.55000000000000004">
      <c r="A627" s="11" t="str">
        <f t="shared" si="27"/>
        <v>1月</v>
      </c>
      <c r="B627" s="11" t="str">
        <f t="shared" si="28"/>
        <v>1月0日</v>
      </c>
      <c r="C627" s="11" t="str">
        <f t="shared" si="29"/>
        <v>1時</v>
      </c>
      <c r="D627" s="10"/>
    </row>
    <row r="628" spans="1:4" x14ac:dyDescent="0.55000000000000004">
      <c r="A628" s="11" t="str">
        <f t="shared" si="27"/>
        <v>1月</v>
      </c>
      <c r="B628" s="11" t="str">
        <f t="shared" si="28"/>
        <v>1月0日</v>
      </c>
      <c r="C628" s="11" t="str">
        <f t="shared" si="29"/>
        <v>1時</v>
      </c>
      <c r="D628" s="10"/>
    </row>
    <row r="629" spans="1:4" x14ac:dyDescent="0.55000000000000004">
      <c r="A629" s="11" t="str">
        <f t="shared" si="27"/>
        <v>1月</v>
      </c>
      <c r="B629" s="11" t="str">
        <f t="shared" si="28"/>
        <v>1月0日</v>
      </c>
      <c r="C629" s="11" t="str">
        <f t="shared" si="29"/>
        <v>1時</v>
      </c>
      <c r="D629" s="10"/>
    </row>
    <row r="630" spans="1:4" x14ac:dyDescent="0.55000000000000004">
      <c r="A630" s="11" t="str">
        <f t="shared" si="27"/>
        <v>1月</v>
      </c>
      <c r="B630" s="11" t="str">
        <f t="shared" si="28"/>
        <v>1月0日</v>
      </c>
      <c r="C630" s="11" t="str">
        <f t="shared" si="29"/>
        <v>1時</v>
      </c>
      <c r="D630" s="10"/>
    </row>
    <row r="631" spans="1:4" x14ac:dyDescent="0.55000000000000004">
      <c r="A631" s="11" t="str">
        <f t="shared" si="27"/>
        <v>1月</v>
      </c>
      <c r="B631" s="11" t="str">
        <f t="shared" si="28"/>
        <v>1月0日</v>
      </c>
      <c r="C631" s="11" t="str">
        <f t="shared" si="29"/>
        <v>1時</v>
      </c>
      <c r="D631" s="10"/>
    </row>
    <row r="632" spans="1:4" x14ac:dyDescent="0.55000000000000004">
      <c r="A632" s="11" t="str">
        <f t="shared" si="27"/>
        <v>1月</v>
      </c>
      <c r="B632" s="11" t="str">
        <f t="shared" si="28"/>
        <v>1月0日</v>
      </c>
      <c r="C632" s="11" t="str">
        <f t="shared" si="29"/>
        <v>1時</v>
      </c>
      <c r="D632" s="10"/>
    </row>
    <row r="633" spans="1:4" x14ac:dyDescent="0.55000000000000004">
      <c r="A633" s="11" t="str">
        <f t="shared" si="27"/>
        <v>1月</v>
      </c>
      <c r="B633" s="11" t="str">
        <f t="shared" si="28"/>
        <v>1月0日</v>
      </c>
      <c r="C633" s="11" t="str">
        <f t="shared" si="29"/>
        <v>1時</v>
      </c>
      <c r="D633" s="10"/>
    </row>
    <row r="634" spans="1:4" x14ac:dyDescent="0.55000000000000004">
      <c r="A634" s="11" t="str">
        <f t="shared" si="27"/>
        <v>1月</v>
      </c>
      <c r="B634" s="11" t="str">
        <f t="shared" si="28"/>
        <v>1月0日</v>
      </c>
      <c r="C634" s="11" t="str">
        <f t="shared" si="29"/>
        <v>1時</v>
      </c>
      <c r="D634" s="10"/>
    </row>
    <row r="635" spans="1:4" x14ac:dyDescent="0.55000000000000004">
      <c r="A635" s="11" t="str">
        <f t="shared" si="27"/>
        <v>1月</v>
      </c>
      <c r="B635" s="11" t="str">
        <f t="shared" si="28"/>
        <v>1月0日</v>
      </c>
      <c r="C635" s="11" t="str">
        <f t="shared" si="29"/>
        <v>1時</v>
      </c>
      <c r="D635" s="10"/>
    </row>
    <row r="636" spans="1:4" x14ac:dyDescent="0.55000000000000004">
      <c r="A636" s="11" t="str">
        <f t="shared" si="27"/>
        <v>1月</v>
      </c>
      <c r="B636" s="11" t="str">
        <f t="shared" si="28"/>
        <v>1月0日</v>
      </c>
      <c r="C636" s="11" t="str">
        <f t="shared" si="29"/>
        <v>1時</v>
      </c>
      <c r="D636" s="10"/>
    </row>
    <row r="637" spans="1:4" x14ac:dyDescent="0.55000000000000004">
      <c r="A637" s="11" t="str">
        <f t="shared" si="27"/>
        <v>1月</v>
      </c>
      <c r="B637" s="11" t="str">
        <f t="shared" si="28"/>
        <v>1月0日</v>
      </c>
      <c r="C637" s="11" t="str">
        <f t="shared" si="29"/>
        <v>1時</v>
      </c>
      <c r="D637" s="10"/>
    </row>
    <row r="638" spans="1:4" x14ac:dyDescent="0.55000000000000004">
      <c r="A638" s="11" t="str">
        <f t="shared" si="27"/>
        <v>1月</v>
      </c>
      <c r="B638" s="11" t="str">
        <f t="shared" si="28"/>
        <v>1月0日</v>
      </c>
      <c r="C638" s="11" t="str">
        <f t="shared" si="29"/>
        <v>1時</v>
      </c>
      <c r="D638" s="10"/>
    </row>
    <row r="639" spans="1:4" x14ac:dyDescent="0.55000000000000004">
      <c r="A639" s="11" t="str">
        <f t="shared" si="27"/>
        <v>1月</v>
      </c>
      <c r="B639" s="11" t="str">
        <f t="shared" si="28"/>
        <v>1月0日</v>
      </c>
      <c r="C639" s="11" t="str">
        <f t="shared" si="29"/>
        <v>1時</v>
      </c>
      <c r="D639" s="10"/>
    </row>
    <row r="640" spans="1:4" x14ac:dyDescent="0.55000000000000004">
      <c r="A640" s="11" t="str">
        <f t="shared" si="27"/>
        <v>1月</v>
      </c>
      <c r="B640" s="11" t="str">
        <f t="shared" si="28"/>
        <v>1月0日</v>
      </c>
      <c r="C640" s="11" t="str">
        <f t="shared" si="29"/>
        <v>1時</v>
      </c>
      <c r="D640" s="10"/>
    </row>
    <row r="641" spans="1:4" x14ac:dyDescent="0.55000000000000004">
      <c r="A641" s="11" t="str">
        <f t="shared" si="27"/>
        <v>1月</v>
      </c>
      <c r="B641" s="11" t="str">
        <f t="shared" si="28"/>
        <v>1月0日</v>
      </c>
      <c r="C641" s="11" t="str">
        <f t="shared" si="29"/>
        <v>1時</v>
      </c>
      <c r="D641" s="10"/>
    </row>
    <row r="642" spans="1:4" x14ac:dyDescent="0.55000000000000004">
      <c r="A642" s="11" t="str">
        <f t="shared" si="27"/>
        <v>1月</v>
      </c>
      <c r="B642" s="11" t="str">
        <f t="shared" si="28"/>
        <v>1月0日</v>
      </c>
      <c r="C642" s="11" t="str">
        <f t="shared" si="29"/>
        <v>1時</v>
      </c>
      <c r="D642" s="10"/>
    </row>
    <row r="643" spans="1:4" x14ac:dyDescent="0.55000000000000004">
      <c r="A643" s="11" t="str">
        <f t="shared" si="27"/>
        <v>1月</v>
      </c>
      <c r="B643" s="11" t="str">
        <f t="shared" si="28"/>
        <v>1月0日</v>
      </c>
      <c r="C643" s="11" t="str">
        <f t="shared" si="29"/>
        <v>1時</v>
      </c>
      <c r="D643" s="10"/>
    </row>
    <row r="644" spans="1:4" x14ac:dyDescent="0.55000000000000004">
      <c r="A644" s="11" t="str">
        <f t="shared" ref="A644:A707" si="30">MONTH(D644)&amp;"月"</f>
        <v>1月</v>
      </c>
      <c r="B644" s="11" t="str">
        <f t="shared" ref="B644:B707" si="31">A644&amp;DAY(D644)&amp;"日"</f>
        <v>1月0日</v>
      </c>
      <c r="C644" s="11" t="str">
        <f t="shared" ref="C644:C707" si="32">HOUR(D644)+1&amp;"時"</f>
        <v>1時</v>
      </c>
      <c r="D644" s="10"/>
    </row>
    <row r="645" spans="1:4" x14ac:dyDescent="0.55000000000000004">
      <c r="A645" s="11" t="str">
        <f t="shared" si="30"/>
        <v>1月</v>
      </c>
      <c r="B645" s="11" t="str">
        <f t="shared" si="31"/>
        <v>1月0日</v>
      </c>
      <c r="C645" s="11" t="str">
        <f t="shared" si="32"/>
        <v>1時</v>
      </c>
      <c r="D645" s="10"/>
    </row>
    <row r="646" spans="1:4" x14ac:dyDescent="0.55000000000000004">
      <c r="A646" s="11" t="str">
        <f t="shared" si="30"/>
        <v>1月</v>
      </c>
      <c r="B646" s="11" t="str">
        <f t="shared" si="31"/>
        <v>1月0日</v>
      </c>
      <c r="C646" s="11" t="str">
        <f t="shared" si="32"/>
        <v>1時</v>
      </c>
      <c r="D646" s="10"/>
    </row>
    <row r="647" spans="1:4" x14ac:dyDescent="0.55000000000000004">
      <c r="A647" s="11" t="str">
        <f t="shared" si="30"/>
        <v>1月</v>
      </c>
      <c r="B647" s="11" t="str">
        <f t="shared" si="31"/>
        <v>1月0日</v>
      </c>
      <c r="C647" s="11" t="str">
        <f t="shared" si="32"/>
        <v>1時</v>
      </c>
      <c r="D647" s="10"/>
    </row>
    <row r="648" spans="1:4" x14ac:dyDescent="0.55000000000000004">
      <c r="A648" s="11" t="str">
        <f t="shared" si="30"/>
        <v>1月</v>
      </c>
      <c r="B648" s="11" t="str">
        <f t="shared" si="31"/>
        <v>1月0日</v>
      </c>
      <c r="C648" s="11" t="str">
        <f t="shared" si="32"/>
        <v>1時</v>
      </c>
      <c r="D648" s="10"/>
    </row>
    <row r="649" spans="1:4" x14ac:dyDescent="0.55000000000000004">
      <c r="A649" s="11" t="str">
        <f t="shared" si="30"/>
        <v>1月</v>
      </c>
      <c r="B649" s="11" t="str">
        <f t="shared" si="31"/>
        <v>1月0日</v>
      </c>
      <c r="C649" s="11" t="str">
        <f t="shared" si="32"/>
        <v>1時</v>
      </c>
      <c r="D649" s="10"/>
    </row>
    <row r="650" spans="1:4" x14ac:dyDescent="0.55000000000000004">
      <c r="A650" s="11" t="str">
        <f t="shared" si="30"/>
        <v>1月</v>
      </c>
      <c r="B650" s="11" t="str">
        <f t="shared" si="31"/>
        <v>1月0日</v>
      </c>
      <c r="C650" s="11" t="str">
        <f t="shared" si="32"/>
        <v>1時</v>
      </c>
      <c r="D650" s="10"/>
    </row>
    <row r="651" spans="1:4" x14ac:dyDescent="0.55000000000000004">
      <c r="A651" s="11" t="str">
        <f t="shared" si="30"/>
        <v>1月</v>
      </c>
      <c r="B651" s="11" t="str">
        <f t="shared" si="31"/>
        <v>1月0日</v>
      </c>
      <c r="C651" s="11" t="str">
        <f t="shared" si="32"/>
        <v>1時</v>
      </c>
      <c r="D651" s="10"/>
    </row>
    <row r="652" spans="1:4" x14ac:dyDescent="0.55000000000000004">
      <c r="A652" s="11" t="str">
        <f t="shared" si="30"/>
        <v>1月</v>
      </c>
      <c r="B652" s="11" t="str">
        <f t="shared" si="31"/>
        <v>1月0日</v>
      </c>
      <c r="C652" s="11" t="str">
        <f t="shared" si="32"/>
        <v>1時</v>
      </c>
      <c r="D652" s="10"/>
    </row>
    <row r="653" spans="1:4" x14ac:dyDescent="0.55000000000000004">
      <c r="A653" s="11" t="str">
        <f t="shared" si="30"/>
        <v>1月</v>
      </c>
      <c r="B653" s="11" t="str">
        <f t="shared" si="31"/>
        <v>1月0日</v>
      </c>
      <c r="C653" s="11" t="str">
        <f t="shared" si="32"/>
        <v>1時</v>
      </c>
      <c r="D653" s="10"/>
    </row>
    <row r="654" spans="1:4" x14ac:dyDescent="0.55000000000000004">
      <c r="A654" s="11" t="str">
        <f t="shared" si="30"/>
        <v>1月</v>
      </c>
      <c r="B654" s="11" t="str">
        <f t="shared" si="31"/>
        <v>1月0日</v>
      </c>
      <c r="C654" s="11" t="str">
        <f t="shared" si="32"/>
        <v>1時</v>
      </c>
      <c r="D654" s="10"/>
    </row>
    <row r="655" spans="1:4" x14ac:dyDescent="0.55000000000000004">
      <c r="A655" s="11" t="str">
        <f t="shared" si="30"/>
        <v>1月</v>
      </c>
      <c r="B655" s="11" t="str">
        <f t="shared" si="31"/>
        <v>1月0日</v>
      </c>
      <c r="C655" s="11" t="str">
        <f t="shared" si="32"/>
        <v>1時</v>
      </c>
      <c r="D655" s="10"/>
    </row>
    <row r="656" spans="1:4" x14ac:dyDescent="0.55000000000000004">
      <c r="A656" s="11" t="str">
        <f t="shared" si="30"/>
        <v>1月</v>
      </c>
      <c r="B656" s="11" t="str">
        <f t="shared" si="31"/>
        <v>1月0日</v>
      </c>
      <c r="C656" s="11" t="str">
        <f t="shared" si="32"/>
        <v>1時</v>
      </c>
      <c r="D656" s="10"/>
    </row>
    <row r="657" spans="1:4" x14ac:dyDescent="0.55000000000000004">
      <c r="A657" s="11" t="str">
        <f t="shared" si="30"/>
        <v>1月</v>
      </c>
      <c r="B657" s="11" t="str">
        <f t="shared" si="31"/>
        <v>1月0日</v>
      </c>
      <c r="C657" s="11" t="str">
        <f t="shared" si="32"/>
        <v>1時</v>
      </c>
      <c r="D657" s="10"/>
    </row>
    <row r="658" spans="1:4" x14ac:dyDescent="0.55000000000000004">
      <c r="A658" s="11" t="str">
        <f t="shared" si="30"/>
        <v>1月</v>
      </c>
      <c r="B658" s="11" t="str">
        <f t="shared" si="31"/>
        <v>1月0日</v>
      </c>
      <c r="C658" s="11" t="str">
        <f t="shared" si="32"/>
        <v>1時</v>
      </c>
      <c r="D658" s="10"/>
    </row>
    <row r="659" spans="1:4" x14ac:dyDescent="0.55000000000000004">
      <c r="A659" s="11" t="str">
        <f t="shared" si="30"/>
        <v>1月</v>
      </c>
      <c r="B659" s="11" t="str">
        <f t="shared" si="31"/>
        <v>1月0日</v>
      </c>
      <c r="C659" s="11" t="str">
        <f t="shared" si="32"/>
        <v>1時</v>
      </c>
      <c r="D659" s="10"/>
    </row>
    <row r="660" spans="1:4" x14ac:dyDescent="0.55000000000000004">
      <c r="A660" s="11" t="str">
        <f t="shared" si="30"/>
        <v>1月</v>
      </c>
      <c r="B660" s="11" t="str">
        <f t="shared" si="31"/>
        <v>1月0日</v>
      </c>
      <c r="C660" s="11" t="str">
        <f t="shared" si="32"/>
        <v>1時</v>
      </c>
      <c r="D660" s="10"/>
    </row>
    <row r="661" spans="1:4" x14ac:dyDescent="0.55000000000000004">
      <c r="A661" s="11" t="str">
        <f t="shared" si="30"/>
        <v>1月</v>
      </c>
      <c r="B661" s="11" t="str">
        <f t="shared" si="31"/>
        <v>1月0日</v>
      </c>
      <c r="C661" s="11" t="str">
        <f t="shared" si="32"/>
        <v>1時</v>
      </c>
      <c r="D661" s="10"/>
    </row>
    <row r="662" spans="1:4" x14ac:dyDescent="0.55000000000000004">
      <c r="A662" s="11" t="str">
        <f t="shared" si="30"/>
        <v>1月</v>
      </c>
      <c r="B662" s="11" t="str">
        <f t="shared" si="31"/>
        <v>1月0日</v>
      </c>
      <c r="C662" s="11" t="str">
        <f t="shared" si="32"/>
        <v>1時</v>
      </c>
      <c r="D662" s="10"/>
    </row>
    <row r="663" spans="1:4" x14ac:dyDescent="0.55000000000000004">
      <c r="A663" s="11" t="str">
        <f t="shared" si="30"/>
        <v>1月</v>
      </c>
      <c r="B663" s="11" t="str">
        <f t="shared" si="31"/>
        <v>1月0日</v>
      </c>
      <c r="C663" s="11" t="str">
        <f t="shared" si="32"/>
        <v>1時</v>
      </c>
      <c r="D663" s="10"/>
    </row>
    <row r="664" spans="1:4" x14ac:dyDescent="0.55000000000000004">
      <c r="A664" s="11" t="str">
        <f t="shared" si="30"/>
        <v>1月</v>
      </c>
      <c r="B664" s="11" t="str">
        <f t="shared" si="31"/>
        <v>1月0日</v>
      </c>
      <c r="C664" s="11" t="str">
        <f t="shared" si="32"/>
        <v>1時</v>
      </c>
      <c r="D664" s="10"/>
    </row>
    <row r="665" spans="1:4" x14ac:dyDescent="0.55000000000000004">
      <c r="A665" s="11" t="str">
        <f t="shared" si="30"/>
        <v>1月</v>
      </c>
      <c r="B665" s="11" t="str">
        <f t="shared" si="31"/>
        <v>1月0日</v>
      </c>
      <c r="C665" s="11" t="str">
        <f t="shared" si="32"/>
        <v>1時</v>
      </c>
      <c r="D665" s="10"/>
    </row>
    <row r="666" spans="1:4" x14ac:dyDescent="0.55000000000000004">
      <c r="A666" s="11" t="str">
        <f t="shared" si="30"/>
        <v>1月</v>
      </c>
      <c r="B666" s="11" t="str">
        <f t="shared" si="31"/>
        <v>1月0日</v>
      </c>
      <c r="C666" s="11" t="str">
        <f t="shared" si="32"/>
        <v>1時</v>
      </c>
      <c r="D666" s="10"/>
    </row>
    <row r="667" spans="1:4" x14ac:dyDescent="0.55000000000000004">
      <c r="A667" s="11" t="str">
        <f t="shared" si="30"/>
        <v>1月</v>
      </c>
      <c r="B667" s="11" t="str">
        <f t="shared" si="31"/>
        <v>1月0日</v>
      </c>
      <c r="C667" s="11" t="str">
        <f t="shared" si="32"/>
        <v>1時</v>
      </c>
      <c r="D667" s="10"/>
    </row>
    <row r="668" spans="1:4" x14ac:dyDescent="0.55000000000000004">
      <c r="A668" s="11" t="str">
        <f t="shared" si="30"/>
        <v>1月</v>
      </c>
      <c r="B668" s="11" t="str">
        <f t="shared" si="31"/>
        <v>1月0日</v>
      </c>
      <c r="C668" s="11" t="str">
        <f t="shared" si="32"/>
        <v>1時</v>
      </c>
      <c r="D668" s="10"/>
    </row>
    <row r="669" spans="1:4" x14ac:dyDescent="0.55000000000000004">
      <c r="A669" s="11" t="str">
        <f t="shared" si="30"/>
        <v>1月</v>
      </c>
      <c r="B669" s="11" t="str">
        <f t="shared" si="31"/>
        <v>1月0日</v>
      </c>
      <c r="C669" s="11" t="str">
        <f t="shared" si="32"/>
        <v>1時</v>
      </c>
      <c r="D669" s="10"/>
    </row>
    <row r="670" spans="1:4" x14ac:dyDescent="0.55000000000000004">
      <c r="A670" s="11" t="str">
        <f t="shared" si="30"/>
        <v>1月</v>
      </c>
      <c r="B670" s="11" t="str">
        <f t="shared" si="31"/>
        <v>1月0日</v>
      </c>
      <c r="C670" s="11" t="str">
        <f t="shared" si="32"/>
        <v>1時</v>
      </c>
      <c r="D670" s="10"/>
    </row>
    <row r="671" spans="1:4" x14ac:dyDescent="0.55000000000000004">
      <c r="A671" s="11" t="str">
        <f t="shared" si="30"/>
        <v>1月</v>
      </c>
      <c r="B671" s="11" t="str">
        <f t="shared" si="31"/>
        <v>1月0日</v>
      </c>
      <c r="C671" s="11" t="str">
        <f t="shared" si="32"/>
        <v>1時</v>
      </c>
      <c r="D671" s="10"/>
    </row>
    <row r="672" spans="1:4" x14ac:dyDescent="0.55000000000000004">
      <c r="A672" s="11" t="str">
        <f t="shared" si="30"/>
        <v>1月</v>
      </c>
      <c r="B672" s="11" t="str">
        <f t="shared" si="31"/>
        <v>1月0日</v>
      </c>
      <c r="C672" s="11" t="str">
        <f t="shared" si="32"/>
        <v>1時</v>
      </c>
      <c r="D672" s="10"/>
    </row>
    <row r="673" spans="1:4" x14ac:dyDescent="0.55000000000000004">
      <c r="A673" s="11" t="str">
        <f t="shared" si="30"/>
        <v>1月</v>
      </c>
      <c r="B673" s="11" t="str">
        <f t="shared" si="31"/>
        <v>1月0日</v>
      </c>
      <c r="C673" s="11" t="str">
        <f t="shared" si="32"/>
        <v>1時</v>
      </c>
      <c r="D673" s="10"/>
    </row>
    <row r="674" spans="1:4" x14ac:dyDescent="0.55000000000000004">
      <c r="A674" s="11" t="str">
        <f t="shared" si="30"/>
        <v>1月</v>
      </c>
      <c r="B674" s="11" t="str">
        <f t="shared" si="31"/>
        <v>1月0日</v>
      </c>
      <c r="C674" s="11" t="str">
        <f t="shared" si="32"/>
        <v>1時</v>
      </c>
      <c r="D674" s="10"/>
    </row>
    <row r="675" spans="1:4" x14ac:dyDescent="0.55000000000000004">
      <c r="A675" s="11" t="str">
        <f t="shared" si="30"/>
        <v>1月</v>
      </c>
      <c r="B675" s="11" t="str">
        <f t="shared" si="31"/>
        <v>1月0日</v>
      </c>
      <c r="C675" s="11" t="str">
        <f t="shared" si="32"/>
        <v>1時</v>
      </c>
      <c r="D675" s="10"/>
    </row>
    <row r="676" spans="1:4" x14ac:dyDescent="0.55000000000000004">
      <c r="A676" s="11" t="str">
        <f t="shared" si="30"/>
        <v>1月</v>
      </c>
      <c r="B676" s="11" t="str">
        <f t="shared" si="31"/>
        <v>1月0日</v>
      </c>
      <c r="C676" s="11" t="str">
        <f t="shared" si="32"/>
        <v>1時</v>
      </c>
      <c r="D676" s="10"/>
    </row>
    <row r="677" spans="1:4" x14ac:dyDescent="0.55000000000000004">
      <c r="A677" s="11" t="str">
        <f t="shared" si="30"/>
        <v>1月</v>
      </c>
      <c r="B677" s="11" t="str">
        <f t="shared" si="31"/>
        <v>1月0日</v>
      </c>
      <c r="C677" s="11" t="str">
        <f t="shared" si="32"/>
        <v>1時</v>
      </c>
      <c r="D677" s="10"/>
    </row>
    <row r="678" spans="1:4" x14ac:dyDescent="0.55000000000000004">
      <c r="A678" s="11" t="str">
        <f t="shared" si="30"/>
        <v>1月</v>
      </c>
      <c r="B678" s="11" t="str">
        <f t="shared" si="31"/>
        <v>1月0日</v>
      </c>
      <c r="C678" s="11" t="str">
        <f t="shared" si="32"/>
        <v>1時</v>
      </c>
      <c r="D678" s="10"/>
    </row>
    <row r="679" spans="1:4" x14ac:dyDescent="0.55000000000000004">
      <c r="A679" s="11" t="str">
        <f t="shared" si="30"/>
        <v>1月</v>
      </c>
      <c r="B679" s="11" t="str">
        <f t="shared" si="31"/>
        <v>1月0日</v>
      </c>
      <c r="C679" s="11" t="str">
        <f t="shared" si="32"/>
        <v>1時</v>
      </c>
      <c r="D679" s="10"/>
    </row>
    <row r="680" spans="1:4" x14ac:dyDescent="0.55000000000000004">
      <c r="A680" s="11" t="str">
        <f t="shared" si="30"/>
        <v>1月</v>
      </c>
      <c r="B680" s="11" t="str">
        <f t="shared" si="31"/>
        <v>1月0日</v>
      </c>
      <c r="C680" s="11" t="str">
        <f t="shared" si="32"/>
        <v>1時</v>
      </c>
      <c r="D680" s="10"/>
    </row>
    <row r="681" spans="1:4" x14ac:dyDescent="0.55000000000000004">
      <c r="A681" s="11" t="str">
        <f t="shared" si="30"/>
        <v>1月</v>
      </c>
      <c r="B681" s="11" t="str">
        <f t="shared" si="31"/>
        <v>1月0日</v>
      </c>
      <c r="C681" s="11" t="str">
        <f t="shared" si="32"/>
        <v>1時</v>
      </c>
      <c r="D681" s="10"/>
    </row>
    <row r="682" spans="1:4" x14ac:dyDescent="0.55000000000000004">
      <c r="A682" s="11" t="str">
        <f t="shared" si="30"/>
        <v>1月</v>
      </c>
      <c r="B682" s="11" t="str">
        <f t="shared" si="31"/>
        <v>1月0日</v>
      </c>
      <c r="C682" s="11" t="str">
        <f t="shared" si="32"/>
        <v>1時</v>
      </c>
      <c r="D682" s="10"/>
    </row>
    <row r="683" spans="1:4" x14ac:dyDescent="0.55000000000000004">
      <c r="A683" s="11" t="str">
        <f t="shared" si="30"/>
        <v>1月</v>
      </c>
      <c r="B683" s="11" t="str">
        <f t="shared" si="31"/>
        <v>1月0日</v>
      </c>
      <c r="C683" s="11" t="str">
        <f t="shared" si="32"/>
        <v>1時</v>
      </c>
      <c r="D683" s="10"/>
    </row>
    <row r="684" spans="1:4" x14ac:dyDescent="0.55000000000000004">
      <c r="A684" s="11" t="str">
        <f t="shared" si="30"/>
        <v>1月</v>
      </c>
      <c r="B684" s="11" t="str">
        <f t="shared" si="31"/>
        <v>1月0日</v>
      </c>
      <c r="C684" s="11" t="str">
        <f t="shared" si="32"/>
        <v>1時</v>
      </c>
      <c r="D684" s="10"/>
    </row>
    <row r="685" spans="1:4" x14ac:dyDescent="0.55000000000000004">
      <c r="A685" s="11" t="str">
        <f t="shared" si="30"/>
        <v>1月</v>
      </c>
      <c r="B685" s="11" t="str">
        <f t="shared" si="31"/>
        <v>1月0日</v>
      </c>
      <c r="C685" s="11" t="str">
        <f t="shared" si="32"/>
        <v>1時</v>
      </c>
      <c r="D685" s="10"/>
    </row>
    <row r="686" spans="1:4" x14ac:dyDescent="0.55000000000000004">
      <c r="A686" s="11" t="str">
        <f t="shared" si="30"/>
        <v>1月</v>
      </c>
      <c r="B686" s="11" t="str">
        <f t="shared" si="31"/>
        <v>1月0日</v>
      </c>
      <c r="C686" s="11" t="str">
        <f t="shared" si="32"/>
        <v>1時</v>
      </c>
      <c r="D686" s="10"/>
    </row>
    <row r="687" spans="1:4" x14ac:dyDescent="0.55000000000000004">
      <c r="A687" s="11" t="str">
        <f t="shared" si="30"/>
        <v>1月</v>
      </c>
      <c r="B687" s="11" t="str">
        <f t="shared" si="31"/>
        <v>1月0日</v>
      </c>
      <c r="C687" s="11" t="str">
        <f t="shared" si="32"/>
        <v>1時</v>
      </c>
      <c r="D687" s="10"/>
    </row>
    <row r="688" spans="1:4" x14ac:dyDescent="0.55000000000000004">
      <c r="A688" s="11" t="str">
        <f t="shared" si="30"/>
        <v>1月</v>
      </c>
      <c r="B688" s="11" t="str">
        <f t="shared" si="31"/>
        <v>1月0日</v>
      </c>
      <c r="C688" s="11" t="str">
        <f t="shared" si="32"/>
        <v>1時</v>
      </c>
      <c r="D688" s="10"/>
    </row>
    <row r="689" spans="1:4" x14ac:dyDescent="0.55000000000000004">
      <c r="A689" s="11" t="str">
        <f t="shared" si="30"/>
        <v>1月</v>
      </c>
      <c r="B689" s="11" t="str">
        <f t="shared" si="31"/>
        <v>1月0日</v>
      </c>
      <c r="C689" s="11" t="str">
        <f t="shared" si="32"/>
        <v>1時</v>
      </c>
      <c r="D689" s="10"/>
    </row>
    <row r="690" spans="1:4" x14ac:dyDescent="0.55000000000000004">
      <c r="A690" s="11" t="str">
        <f t="shared" si="30"/>
        <v>1月</v>
      </c>
      <c r="B690" s="11" t="str">
        <f t="shared" si="31"/>
        <v>1月0日</v>
      </c>
      <c r="C690" s="11" t="str">
        <f t="shared" si="32"/>
        <v>1時</v>
      </c>
      <c r="D690" s="10"/>
    </row>
    <row r="691" spans="1:4" x14ac:dyDescent="0.55000000000000004">
      <c r="A691" s="11" t="str">
        <f t="shared" si="30"/>
        <v>1月</v>
      </c>
      <c r="B691" s="11" t="str">
        <f t="shared" si="31"/>
        <v>1月0日</v>
      </c>
      <c r="C691" s="11" t="str">
        <f t="shared" si="32"/>
        <v>1時</v>
      </c>
      <c r="D691" s="10"/>
    </row>
    <row r="692" spans="1:4" x14ac:dyDescent="0.55000000000000004">
      <c r="A692" s="11" t="str">
        <f t="shared" si="30"/>
        <v>1月</v>
      </c>
      <c r="B692" s="11" t="str">
        <f t="shared" si="31"/>
        <v>1月0日</v>
      </c>
      <c r="C692" s="11" t="str">
        <f t="shared" si="32"/>
        <v>1時</v>
      </c>
      <c r="D692" s="10"/>
    </row>
    <row r="693" spans="1:4" x14ac:dyDescent="0.55000000000000004">
      <c r="A693" s="11" t="str">
        <f t="shared" si="30"/>
        <v>1月</v>
      </c>
      <c r="B693" s="11" t="str">
        <f t="shared" si="31"/>
        <v>1月0日</v>
      </c>
      <c r="C693" s="11" t="str">
        <f t="shared" si="32"/>
        <v>1時</v>
      </c>
      <c r="D693" s="10"/>
    </row>
    <row r="694" spans="1:4" x14ac:dyDescent="0.55000000000000004">
      <c r="A694" s="11" t="str">
        <f t="shared" si="30"/>
        <v>1月</v>
      </c>
      <c r="B694" s="11" t="str">
        <f t="shared" si="31"/>
        <v>1月0日</v>
      </c>
      <c r="C694" s="11" t="str">
        <f t="shared" si="32"/>
        <v>1時</v>
      </c>
      <c r="D694" s="10"/>
    </row>
    <row r="695" spans="1:4" x14ac:dyDescent="0.55000000000000004">
      <c r="A695" s="11" t="str">
        <f t="shared" si="30"/>
        <v>1月</v>
      </c>
      <c r="B695" s="11" t="str">
        <f t="shared" si="31"/>
        <v>1月0日</v>
      </c>
      <c r="C695" s="11" t="str">
        <f t="shared" si="32"/>
        <v>1時</v>
      </c>
      <c r="D695" s="10"/>
    </row>
    <row r="696" spans="1:4" x14ac:dyDescent="0.55000000000000004">
      <c r="A696" s="11" t="str">
        <f t="shared" si="30"/>
        <v>1月</v>
      </c>
      <c r="B696" s="11" t="str">
        <f t="shared" si="31"/>
        <v>1月0日</v>
      </c>
      <c r="C696" s="11" t="str">
        <f t="shared" si="32"/>
        <v>1時</v>
      </c>
      <c r="D696" s="10"/>
    </row>
    <row r="697" spans="1:4" x14ac:dyDescent="0.55000000000000004">
      <c r="A697" s="11" t="str">
        <f t="shared" si="30"/>
        <v>1月</v>
      </c>
      <c r="B697" s="11" t="str">
        <f t="shared" si="31"/>
        <v>1月0日</v>
      </c>
      <c r="C697" s="11" t="str">
        <f t="shared" si="32"/>
        <v>1時</v>
      </c>
      <c r="D697" s="10"/>
    </row>
    <row r="698" spans="1:4" x14ac:dyDescent="0.55000000000000004">
      <c r="A698" s="11" t="str">
        <f t="shared" si="30"/>
        <v>1月</v>
      </c>
      <c r="B698" s="11" t="str">
        <f t="shared" si="31"/>
        <v>1月0日</v>
      </c>
      <c r="C698" s="11" t="str">
        <f t="shared" si="32"/>
        <v>1時</v>
      </c>
      <c r="D698" s="10"/>
    </row>
    <row r="699" spans="1:4" x14ac:dyDescent="0.55000000000000004">
      <c r="A699" s="11" t="str">
        <f t="shared" si="30"/>
        <v>1月</v>
      </c>
      <c r="B699" s="11" t="str">
        <f t="shared" si="31"/>
        <v>1月0日</v>
      </c>
      <c r="C699" s="11" t="str">
        <f t="shared" si="32"/>
        <v>1時</v>
      </c>
      <c r="D699" s="10"/>
    </row>
    <row r="700" spans="1:4" x14ac:dyDescent="0.55000000000000004">
      <c r="A700" s="11" t="str">
        <f t="shared" si="30"/>
        <v>1月</v>
      </c>
      <c r="B700" s="11" t="str">
        <f t="shared" si="31"/>
        <v>1月0日</v>
      </c>
      <c r="C700" s="11" t="str">
        <f t="shared" si="32"/>
        <v>1時</v>
      </c>
      <c r="D700" s="10"/>
    </row>
    <row r="701" spans="1:4" x14ac:dyDescent="0.55000000000000004">
      <c r="A701" s="11" t="str">
        <f t="shared" si="30"/>
        <v>1月</v>
      </c>
      <c r="B701" s="11" t="str">
        <f t="shared" si="31"/>
        <v>1月0日</v>
      </c>
      <c r="C701" s="11" t="str">
        <f t="shared" si="32"/>
        <v>1時</v>
      </c>
      <c r="D701" s="10"/>
    </row>
    <row r="702" spans="1:4" x14ac:dyDescent="0.55000000000000004">
      <c r="A702" s="11" t="str">
        <f t="shared" si="30"/>
        <v>1月</v>
      </c>
      <c r="B702" s="11" t="str">
        <f t="shared" si="31"/>
        <v>1月0日</v>
      </c>
      <c r="C702" s="11" t="str">
        <f t="shared" si="32"/>
        <v>1時</v>
      </c>
      <c r="D702" s="10"/>
    </row>
    <row r="703" spans="1:4" x14ac:dyDescent="0.55000000000000004">
      <c r="A703" s="11" t="str">
        <f t="shared" si="30"/>
        <v>1月</v>
      </c>
      <c r="B703" s="11" t="str">
        <f t="shared" si="31"/>
        <v>1月0日</v>
      </c>
      <c r="C703" s="11" t="str">
        <f t="shared" si="32"/>
        <v>1時</v>
      </c>
      <c r="D703" s="10"/>
    </row>
    <row r="704" spans="1:4" x14ac:dyDescent="0.55000000000000004">
      <c r="A704" s="11" t="str">
        <f t="shared" si="30"/>
        <v>1月</v>
      </c>
      <c r="B704" s="11" t="str">
        <f t="shared" si="31"/>
        <v>1月0日</v>
      </c>
      <c r="C704" s="11" t="str">
        <f t="shared" si="32"/>
        <v>1時</v>
      </c>
      <c r="D704" s="10"/>
    </row>
    <row r="705" spans="1:4" x14ac:dyDescent="0.55000000000000004">
      <c r="A705" s="11" t="str">
        <f t="shared" si="30"/>
        <v>1月</v>
      </c>
      <c r="B705" s="11" t="str">
        <f t="shared" si="31"/>
        <v>1月0日</v>
      </c>
      <c r="C705" s="11" t="str">
        <f t="shared" si="32"/>
        <v>1時</v>
      </c>
      <c r="D705" s="10"/>
    </row>
    <row r="706" spans="1:4" x14ac:dyDescent="0.55000000000000004">
      <c r="A706" s="11" t="str">
        <f t="shared" si="30"/>
        <v>1月</v>
      </c>
      <c r="B706" s="11" t="str">
        <f t="shared" si="31"/>
        <v>1月0日</v>
      </c>
      <c r="C706" s="11" t="str">
        <f t="shared" si="32"/>
        <v>1時</v>
      </c>
      <c r="D706" s="10"/>
    </row>
    <row r="707" spans="1:4" x14ac:dyDescent="0.55000000000000004">
      <c r="A707" s="11" t="str">
        <f t="shared" si="30"/>
        <v>1月</v>
      </c>
      <c r="B707" s="11" t="str">
        <f t="shared" si="31"/>
        <v>1月0日</v>
      </c>
      <c r="C707" s="11" t="str">
        <f t="shared" si="32"/>
        <v>1時</v>
      </c>
      <c r="D707" s="10"/>
    </row>
    <row r="708" spans="1:4" x14ac:dyDescent="0.55000000000000004">
      <c r="A708" s="11" t="str">
        <f t="shared" ref="A708:A768" si="33">MONTH(D708)&amp;"月"</f>
        <v>1月</v>
      </c>
      <c r="B708" s="11" t="str">
        <f t="shared" ref="B708:B768" si="34">A708&amp;DAY(D708)&amp;"日"</f>
        <v>1月0日</v>
      </c>
      <c r="C708" s="11" t="str">
        <f t="shared" ref="C708:C768" si="35">HOUR(D708)+1&amp;"時"</f>
        <v>1時</v>
      </c>
      <c r="D708" s="10"/>
    </row>
    <row r="709" spans="1:4" x14ac:dyDescent="0.55000000000000004">
      <c r="A709" s="11" t="str">
        <f t="shared" si="33"/>
        <v>1月</v>
      </c>
      <c r="B709" s="11" t="str">
        <f t="shared" si="34"/>
        <v>1月0日</v>
      </c>
      <c r="C709" s="11" t="str">
        <f t="shared" si="35"/>
        <v>1時</v>
      </c>
      <c r="D709" s="10"/>
    </row>
    <row r="710" spans="1:4" x14ac:dyDescent="0.55000000000000004">
      <c r="A710" s="11" t="str">
        <f t="shared" si="33"/>
        <v>1月</v>
      </c>
      <c r="B710" s="11" t="str">
        <f t="shared" si="34"/>
        <v>1月0日</v>
      </c>
      <c r="C710" s="11" t="str">
        <f t="shared" si="35"/>
        <v>1時</v>
      </c>
      <c r="D710" s="10"/>
    </row>
    <row r="711" spans="1:4" x14ac:dyDescent="0.55000000000000004">
      <c r="A711" s="11" t="str">
        <f t="shared" si="33"/>
        <v>1月</v>
      </c>
      <c r="B711" s="11" t="str">
        <f t="shared" si="34"/>
        <v>1月0日</v>
      </c>
      <c r="C711" s="11" t="str">
        <f t="shared" si="35"/>
        <v>1時</v>
      </c>
      <c r="D711" s="10"/>
    </row>
    <row r="712" spans="1:4" x14ac:dyDescent="0.55000000000000004">
      <c r="A712" s="11" t="str">
        <f t="shared" si="33"/>
        <v>1月</v>
      </c>
      <c r="B712" s="11" t="str">
        <f t="shared" si="34"/>
        <v>1月0日</v>
      </c>
      <c r="C712" s="11" t="str">
        <f t="shared" si="35"/>
        <v>1時</v>
      </c>
      <c r="D712" s="10"/>
    </row>
    <row r="713" spans="1:4" x14ac:dyDescent="0.55000000000000004">
      <c r="A713" s="11" t="str">
        <f t="shared" si="33"/>
        <v>1月</v>
      </c>
      <c r="B713" s="11" t="str">
        <f t="shared" si="34"/>
        <v>1月0日</v>
      </c>
      <c r="C713" s="11" t="str">
        <f t="shared" si="35"/>
        <v>1時</v>
      </c>
      <c r="D713" s="10"/>
    </row>
    <row r="714" spans="1:4" x14ac:dyDescent="0.55000000000000004">
      <c r="A714" s="11" t="str">
        <f t="shared" si="33"/>
        <v>1月</v>
      </c>
      <c r="B714" s="11" t="str">
        <f t="shared" si="34"/>
        <v>1月0日</v>
      </c>
      <c r="C714" s="11" t="str">
        <f t="shared" si="35"/>
        <v>1時</v>
      </c>
      <c r="D714" s="10"/>
    </row>
    <row r="715" spans="1:4" x14ac:dyDescent="0.55000000000000004">
      <c r="A715" s="11" t="str">
        <f t="shared" si="33"/>
        <v>1月</v>
      </c>
      <c r="B715" s="11" t="str">
        <f t="shared" si="34"/>
        <v>1月0日</v>
      </c>
      <c r="C715" s="11" t="str">
        <f t="shared" si="35"/>
        <v>1時</v>
      </c>
      <c r="D715" s="10"/>
    </row>
    <row r="716" spans="1:4" x14ac:dyDescent="0.55000000000000004">
      <c r="A716" s="11" t="str">
        <f t="shared" si="33"/>
        <v>1月</v>
      </c>
      <c r="B716" s="11" t="str">
        <f t="shared" si="34"/>
        <v>1月0日</v>
      </c>
      <c r="C716" s="11" t="str">
        <f t="shared" si="35"/>
        <v>1時</v>
      </c>
      <c r="D716" s="10"/>
    </row>
    <row r="717" spans="1:4" x14ac:dyDescent="0.55000000000000004">
      <c r="A717" s="11" t="str">
        <f t="shared" si="33"/>
        <v>1月</v>
      </c>
      <c r="B717" s="11" t="str">
        <f t="shared" si="34"/>
        <v>1月0日</v>
      </c>
      <c r="C717" s="11" t="str">
        <f t="shared" si="35"/>
        <v>1時</v>
      </c>
      <c r="D717" s="10"/>
    </row>
    <row r="718" spans="1:4" x14ac:dyDescent="0.55000000000000004">
      <c r="A718" s="11" t="str">
        <f t="shared" si="33"/>
        <v>1月</v>
      </c>
      <c r="B718" s="11" t="str">
        <f t="shared" si="34"/>
        <v>1月0日</v>
      </c>
      <c r="C718" s="11" t="str">
        <f t="shared" si="35"/>
        <v>1時</v>
      </c>
      <c r="D718" s="10"/>
    </row>
    <row r="719" spans="1:4" x14ac:dyDescent="0.55000000000000004">
      <c r="A719" s="11" t="str">
        <f t="shared" si="33"/>
        <v>1月</v>
      </c>
      <c r="B719" s="11" t="str">
        <f t="shared" si="34"/>
        <v>1月0日</v>
      </c>
      <c r="C719" s="11" t="str">
        <f t="shared" si="35"/>
        <v>1時</v>
      </c>
      <c r="D719" s="10"/>
    </row>
    <row r="720" spans="1:4" x14ac:dyDescent="0.55000000000000004">
      <c r="A720" s="11" t="str">
        <f t="shared" si="33"/>
        <v>1月</v>
      </c>
      <c r="B720" s="11" t="str">
        <f t="shared" si="34"/>
        <v>1月0日</v>
      </c>
      <c r="C720" s="11" t="str">
        <f t="shared" si="35"/>
        <v>1時</v>
      </c>
      <c r="D720" s="10"/>
    </row>
    <row r="721" spans="1:4" x14ac:dyDescent="0.55000000000000004">
      <c r="A721" s="11" t="str">
        <f t="shared" si="33"/>
        <v>1月</v>
      </c>
      <c r="B721" s="11" t="str">
        <f t="shared" si="34"/>
        <v>1月0日</v>
      </c>
      <c r="C721" s="11" t="str">
        <f t="shared" si="35"/>
        <v>1時</v>
      </c>
      <c r="D721" s="10"/>
    </row>
    <row r="722" spans="1:4" x14ac:dyDescent="0.55000000000000004">
      <c r="A722" s="11" t="str">
        <f t="shared" si="33"/>
        <v>1月</v>
      </c>
      <c r="B722" s="11" t="str">
        <f t="shared" si="34"/>
        <v>1月0日</v>
      </c>
      <c r="C722" s="11" t="str">
        <f t="shared" si="35"/>
        <v>1時</v>
      </c>
      <c r="D722" s="10"/>
    </row>
    <row r="723" spans="1:4" x14ac:dyDescent="0.55000000000000004">
      <c r="A723" s="11" t="str">
        <f t="shared" si="33"/>
        <v>1月</v>
      </c>
      <c r="B723" s="11" t="str">
        <f t="shared" si="34"/>
        <v>1月0日</v>
      </c>
      <c r="C723" s="11" t="str">
        <f t="shared" si="35"/>
        <v>1時</v>
      </c>
      <c r="D723" s="10"/>
    </row>
    <row r="724" spans="1:4" x14ac:dyDescent="0.55000000000000004">
      <c r="A724" s="11" t="str">
        <f t="shared" si="33"/>
        <v>1月</v>
      </c>
      <c r="B724" s="11" t="str">
        <f t="shared" si="34"/>
        <v>1月0日</v>
      </c>
      <c r="C724" s="11" t="str">
        <f t="shared" si="35"/>
        <v>1時</v>
      </c>
      <c r="D724" s="10"/>
    </row>
    <row r="725" spans="1:4" x14ac:dyDescent="0.55000000000000004">
      <c r="A725" s="11" t="str">
        <f t="shared" si="33"/>
        <v>1月</v>
      </c>
      <c r="B725" s="11" t="str">
        <f t="shared" si="34"/>
        <v>1月0日</v>
      </c>
      <c r="C725" s="11" t="str">
        <f t="shared" si="35"/>
        <v>1時</v>
      </c>
      <c r="D725" s="10"/>
    </row>
    <row r="726" spans="1:4" x14ac:dyDescent="0.55000000000000004">
      <c r="A726" s="11" t="str">
        <f t="shared" si="33"/>
        <v>1月</v>
      </c>
      <c r="B726" s="11" t="str">
        <f t="shared" si="34"/>
        <v>1月0日</v>
      </c>
      <c r="C726" s="11" t="str">
        <f t="shared" si="35"/>
        <v>1時</v>
      </c>
      <c r="D726" s="10"/>
    </row>
    <row r="727" spans="1:4" x14ac:dyDescent="0.55000000000000004">
      <c r="A727" s="11" t="str">
        <f t="shared" si="33"/>
        <v>1月</v>
      </c>
      <c r="B727" s="11" t="str">
        <f t="shared" si="34"/>
        <v>1月0日</v>
      </c>
      <c r="C727" s="11" t="str">
        <f t="shared" si="35"/>
        <v>1時</v>
      </c>
      <c r="D727" s="10"/>
    </row>
    <row r="728" spans="1:4" x14ac:dyDescent="0.55000000000000004">
      <c r="A728" s="11" t="str">
        <f t="shared" si="33"/>
        <v>1月</v>
      </c>
      <c r="B728" s="11" t="str">
        <f t="shared" si="34"/>
        <v>1月0日</v>
      </c>
      <c r="C728" s="11" t="str">
        <f t="shared" si="35"/>
        <v>1時</v>
      </c>
      <c r="D728" s="10"/>
    </row>
    <row r="729" spans="1:4" x14ac:dyDescent="0.55000000000000004">
      <c r="A729" s="11" t="str">
        <f t="shared" si="33"/>
        <v>1月</v>
      </c>
      <c r="B729" s="11" t="str">
        <f t="shared" si="34"/>
        <v>1月0日</v>
      </c>
      <c r="C729" s="11" t="str">
        <f t="shared" si="35"/>
        <v>1時</v>
      </c>
      <c r="D729" s="10"/>
    </row>
    <row r="730" spans="1:4" x14ac:dyDescent="0.55000000000000004">
      <c r="A730" s="11" t="str">
        <f t="shared" si="33"/>
        <v>1月</v>
      </c>
      <c r="B730" s="11" t="str">
        <f t="shared" si="34"/>
        <v>1月0日</v>
      </c>
      <c r="C730" s="11" t="str">
        <f t="shared" si="35"/>
        <v>1時</v>
      </c>
      <c r="D730" s="10"/>
    </row>
    <row r="731" spans="1:4" x14ac:dyDescent="0.55000000000000004">
      <c r="A731" s="11" t="str">
        <f t="shared" si="33"/>
        <v>1月</v>
      </c>
      <c r="B731" s="11" t="str">
        <f t="shared" si="34"/>
        <v>1月0日</v>
      </c>
      <c r="C731" s="11" t="str">
        <f t="shared" si="35"/>
        <v>1時</v>
      </c>
      <c r="D731" s="10"/>
    </row>
    <row r="732" spans="1:4" x14ac:dyDescent="0.55000000000000004">
      <c r="A732" s="11" t="str">
        <f t="shared" si="33"/>
        <v>1月</v>
      </c>
      <c r="B732" s="11" t="str">
        <f t="shared" si="34"/>
        <v>1月0日</v>
      </c>
      <c r="C732" s="11" t="str">
        <f t="shared" si="35"/>
        <v>1時</v>
      </c>
      <c r="D732" s="10"/>
    </row>
    <row r="733" spans="1:4" x14ac:dyDescent="0.55000000000000004">
      <c r="A733" s="11" t="str">
        <f t="shared" si="33"/>
        <v>1月</v>
      </c>
      <c r="B733" s="11" t="str">
        <f t="shared" si="34"/>
        <v>1月0日</v>
      </c>
      <c r="C733" s="11" t="str">
        <f t="shared" si="35"/>
        <v>1時</v>
      </c>
      <c r="D733" s="10"/>
    </row>
    <row r="734" spans="1:4" x14ac:dyDescent="0.55000000000000004">
      <c r="A734" s="11" t="str">
        <f t="shared" si="33"/>
        <v>1月</v>
      </c>
      <c r="B734" s="11" t="str">
        <f t="shared" si="34"/>
        <v>1月0日</v>
      </c>
      <c r="C734" s="11" t="str">
        <f t="shared" si="35"/>
        <v>1時</v>
      </c>
      <c r="D734" s="10"/>
    </row>
    <row r="735" spans="1:4" x14ac:dyDescent="0.55000000000000004">
      <c r="A735" s="11" t="str">
        <f t="shared" si="33"/>
        <v>1月</v>
      </c>
      <c r="B735" s="11" t="str">
        <f t="shared" si="34"/>
        <v>1月0日</v>
      </c>
      <c r="C735" s="11" t="str">
        <f t="shared" si="35"/>
        <v>1時</v>
      </c>
      <c r="D735" s="10"/>
    </row>
    <row r="736" spans="1:4" x14ac:dyDescent="0.55000000000000004">
      <c r="A736" s="11" t="str">
        <f t="shared" si="33"/>
        <v>1月</v>
      </c>
      <c r="B736" s="11" t="str">
        <f t="shared" si="34"/>
        <v>1月0日</v>
      </c>
      <c r="C736" s="11" t="str">
        <f t="shared" si="35"/>
        <v>1時</v>
      </c>
      <c r="D736" s="10"/>
    </row>
    <row r="737" spans="1:4" x14ac:dyDescent="0.55000000000000004">
      <c r="A737" s="11" t="str">
        <f t="shared" si="33"/>
        <v>1月</v>
      </c>
      <c r="B737" s="11" t="str">
        <f t="shared" si="34"/>
        <v>1月0日</v>
      </c>
      <c r="C737" s="11" t="str">
        <f t="shared" si="35"/>
        <v>1時</v>
      </c>
      <c r="D737" s="10"/>
    </row>
    <row r="738" spans="1:4" x14ac:dyDescent="0.55000000000000004">
      <c r="A738" s="11" t="str">
        <f t="shared" si="33"/>
        <v>1月</v>
      </c>
      <c r="B738" s="11" t="str">
        <f t="shared" si="34"/>
        <v>1月0日</v>
      </c>
      <c r="C738" s="11" t="str">
        <f t="shared" si="35"/>
        <v>1時</v>
      </c>
      <c r="D738" s="10"/>
    </row>
    <row r="739" spans="1:4" x14ac:dyDescent="0.55000000000000004">
      <c r="A739" s="11" t="str">
        <f t="shared" si="33"/>
        <v>1月</v>
      </c>
      <c r="B739" s="11" t="str">
        <f t="shared" si="34"/>
        <v>1月0日</v>
      </c>
      <c r="C739" s="11" t="str">
        <f t="shared" si="35"/>
        <v>1時</v>
      </c>
      <c r="D739" s="10"/>
    </row>
    <row r="740" spans="1:4" x14ac:dyDescent="0.55000000000000004">
      <c r="A740" s="11" t="str">
        <f t="shared" si="33"/>
        <v>1月</v>
      </c>
      <c r="B740" s="11" t="str">
        <f t="shared" si="34"/>
        <v>1月0日</v>
      </c>
      <c r="C740" s="11" t="str">
        <f t="shared" si="35"/>
        <v>1時</v>
      </c>
      <c r="D740" s="10"/>
    </row>
    <row r="741" spans="1:4" x14ac:dyDescent="0.55000000000000004">
      <c r="A741" s="11" t="str">
        <f t="shared" si="33"/>
        <v>1月</v>
      </c>
      <c r="B741" s="11" t="str">
        <f t="shared" si="34"/>
        <v>1月0日</v>
      </c>
      <c r="C741" s="11" t="str">
        <f t="shared" si="35"/>
        <v>1時</v>
      </c>
      <c r="D741" s="10"/>
    </row>
    <row r="742" spans="1:4" x14ac:dyDescent="0.55000000000000004">
      <c r="A742" s="11" t="str">
        <f t="shared" si="33"/>
        <v>1月</v>
      </c>
      <c r="B742" s="11" t="str">
        <f t="shared" si="34"/>
        <v>1月0日</v>
      </c>
      <c r="C742" s="11" t="str">
        <f t="shared" si="35"/>
        <v>1時</v>
      </c>
      <c r="D742" s="10"/>
    </row>
    <row r="743" spans="1:4" x14ac:dyDescent="0.55000000000000004">
      <c r="A743" s="11" t="str">
        <f t="shared" si="33"/>
        <v>1月</v>
      </c>
      <c r="B743" s="11" t="str">
        <f t="shared" si="34"/>
        <v>1月0日</v>
      </c>
      <c r="C743" s="11" t="str">
        <f t="shared" si="35"/>
        <v>1時</v>
      </c>
      <c r="D743" s="10"/>
    </row>
    <row r="744" spans="1:4" x14ac:dyDescent="0.55000000000000004">
      <c r="A744" s="11" t="str">
        <f t="shared" si="33"/>
        <v>1月</v>
      </c>
      <c r="B744" s="11" t="str">
        <f t="shared" si="34"/>
        <v>1月0日</v>
      </c>
      <c r="C744" s="11" t="str">
        <f t="shared" si="35"/>
        <v>1時</v>
      </c>
      <c r="D744" s="10"/>
    </row>
    <row r="745" spans="1:4" x14ac:dyDescent="0.55000000000000004">
      <c r="A745" s="11" t="str">
        <f t="shared" si="33"/>
        <v>1月</v>
      </c>
      <c r="B745" s="11" t="str">
        <f t="shared" si="34"/>
        <v>1月0日</v>
      </c>
      <c r="C745" s="11" t="str">
        <f t="shared" si="35"/>
        <v>1時</v>
      </c>
      <c r="D745" s="10"/>
    </row>
    <row r="746" spans="1:4" x14ac:dyDescent="0.55000000000000004">
      <c r="A746" s="11" t="str">
        <f t="shared" si="33"/>
        <v>1月</v>
      </c>
      <c r="B746" s="11" t="str">
        <f t="shared" si="34"/>
        <v>1月0日</v>
      </c>
      <c r="C746" s="11" t="str">
        <f t="shared" si="35"/>
        <v>1時</v>
      </c>
      <c r="D746" s="10"/>
    </row>
    <row r="747" spans="1:4" x14ac:dyDescent="0.55000000000000004">
      <c r="A747" s="11" t="str">
        <f t="shared" si="33"/>
        <v>1月</v>
      </c>
      <c r="B747" s="11" t="str">
        <f t="shared" si="34"/>
        <v>1月0日</v>
      </c>
      <c r="C747" s="11" t="str">
        <f t="shared" si="35"/>
        <v>1時</v>
      </c>
      <c r="D747" s="10"/>
    </row>
    <row r="748" spans="1:4" x14ac:dyDescent="0.55000000000000004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4" x14ac:dyDescent="0.55000000000000004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4" x14ac:dyDescent="0.55000000000000004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4" x14ac:dyDescent="0.55000000000000004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4" x14ac:dyDescent="0.55000000000000004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55000000000000004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55000000000000004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55000000000000004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55000000000000004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55000000000000004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55000000000000004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55000000000000004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55000000000000004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55000000000000004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55000000000000004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55000000000000004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55000000000000004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55000000000000004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55000000000000004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55000000000000004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55000000000000004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55000000000000004">
      <c r="D769" s="10"/>
    </row>
    <row r="770" spans="4:4" x14ac:dyDescent="0.55000000000000004">
      <c r="D770" s="10"/>
    </row>
    <row r="771" spans="4:4" x14ac:dyDescent="0.55000000000000004">
      <c r="D771" s="10"/>
    </row>
    <row r="772" spans="4:4" x14ac:dyDescent="0.55000000000000004">
      <c r="D772" s="10"/>
    </row>
    <row r="773" spans="4:4" x14ac:dyDescent="0.55000000000000004">
      <c r="D773" s="10"/>
    </row>
    <row r="774" spans="4:4" x14ac:dyDescent="0.55000000000000004">
      <c r="D774" s="10"/>
    </row>
    <row r="775" spans="4:4" x14ac:dyDescent="0.55000000000000004">
      <c r="D775" s="10"/>
    </row>
    <row r="776" spans="4:4" x14ac:dyDescent="0.55000000000000004">
      <c r="D776" s="10"/>
    </row>
    <row r="777" spans="4:4" x14ac:dyDescent="0.55000000000000004">
      <c r="D777" s="10"/>
    </row>
    <row r="778" spans="4:4" x14ac:dyDescent="0.55000000000000004">
      <c r="D778" s="10"/>
    </row>
    <row r="779" spans="4:4" x14ac:dyDescent="0.55000000000000004">
      <c r="D779" s="10"/>
    </row>
    <row r="780" spans="4:4" x14ac:dyDescent="0.55000000000000004">
      <c r="D780" s="10"/>
    </row>
    <row r="781" spans="4:4" x14ac:dyDescent="0.55000000000000004">
      <c r="D781" s="10"/>
    </row>
    <row r="782" spans="4:4" x14ac:dyDescent="0.55000000000000004">
      <c r="D782" s="10"/>
    </row>
    <row r="783" spans="4:4" x14ac:dyDescent="0.55000000000000004">
      <c r="D783" s="10"/>
    </row>
    <row r="784" spans="4:4" x14ac:dyDescent="0.55000000000000004">
      <c r="D784" s="10"/>
    </row>
    <row r="785" spans="4:4" x14ac:dyDescent="0.55000000000000004">
      <c r="D785" s="10"/>
    </row>
    <row r="786" spans="4:4" x14ac:dyDescent="0.55000000000000004">
      <c r="D786" s="10"/>
    </row>
    <row r="787" spans="4:4" x14ac:dyDescent="0.55000000000000004">
      <c r="D787" s="10"/>
    </row>
    <row r="788" spans="4:4" x14ac:dyDescent="0.55000000000000004">
      <c r="D788" s="10"/>
    </row>
    <row r="789" spans="4:4" x14ac:dyDescent="0.55000000000000004">
      <c r="D789" s="10"/>
    </row>
    <row r="790" spans="4:4" x14ac:dyDescent="0.55000000000000004">
      <c r="D790" s="10"/>
    </row>
    <row r="791" spans="4:4" x14ac:dyDescent="0.55000000000000004">
      <c r="D791" s="10"/>
    </row>
    <row r="792" spans="4:4" x14ac:dyDescent="0.55000000000000004">
      <c r="D792" s="10"/>
    </row>
    <row r="793" spans="4:4" x14ac:dyDescent="0.55000000000000004">
      <c r="D793" s="10"/>
    </row>
    <row r="794" spans="4:4" x14ac:dyDescent="0.55000000000000004">
      <c r="D794" s="10"/>
    </row>
    <row r="795" spans="4:4" x14ac:dyDescent="0.55000000000000004">
      <c r="D795" s="10"/>
    </row>
    <row r="796" spans="4:4" x14ac:dyDescent="0.55000000000000004">
      <c r="D796" s="10"/>
    </row>
    <row r="797" spans="4:4" x14ac:dyDescent="0.55000000000000004">
      <c r="D797" s="10"/>
    </row>
    <row r="798" spans="4:4" x14ac:dyDescent="0.55000000000000004">
      <c r="D798" s="10"/>
    </row>
    <row r="799" spans="4:4" x14ac:dyDescent="0.55000000000000004">
      <c r="D799" s="10"/>
    </row>
    <row r="800" spans="4:4" x14ac:dyDescent="0.55000000000000004">
      <c r="D800" s="10"/>
    </row>
    <row r="801" spans="4:4" x14ac:dyDescent="0.55000000000000004">
      <c r="D801" s="10"/>
    </row>
    <row r="802" spans="4:4" x14ac:dyDescent="0.55000000000000004">
      <c r="D802" s="10"/>
    </row>
    <row r="803" spans="4:4" x14ac:dyDescent="0.55000000000000004">
      <c r="D803" s="10"/>
    </row>
    <row r="804" spans="4:4" x14ac:dyDescent="0.55000000000000004">
      <c r="D804" s="10"/>
    </row>
    <row r="805" spans="4:4" x14ac:dyDescent="0.55000000000000004">
      <c r="D805" s="10"/>
    </row>
    <row r="806" spans="4:4" x14ac:dyDescent="0.55000000000000004">
      <c r="D806" s="10"/>
    </row>
    <row r="807" spans="4:4" x14ac:dyDescent="0.55000000000000004">
      <c r="D807" s="10"/>
    </row>
    <row r="808" spans="4:4" x14ac:dyDescent="0.55000000000000004">
      <c r="D808" s="10"/>
    </row>
    <row r="809" spans="4:4" x14ac:dyDescent="0.55000000000000004">
      <c r="D809" s="10"/>
    </row>
    <row r="810" spans="4:4" x14ac:dyDescent="0.55000000000000004">
      <c r="D810" s="10"/>
    </row>
    <row r="811" spans="4:4" x14ac:dyDescent="0.55000000000000004">
      <c r="D811" s="10"/>
    </row>
    <row r="812" spans="4:4" x14ac:dyDescent="0.55000000000000004">
      <c r="D812" s="10"/>
    </row>
    <row r="813" spans="4:4" x14ac:dyDescent="0.55000000000000004">
      <c r="D813" s="10"/>
    </row>
    <row r="814" spans="4:4" x14ac:dyDescent="0.55000000000000004">
      <c r="D814" s="10"/>
    </row>
    <row r="815" spans="4:4" x14ac:dyDescent="0.55000000000000004">
      <c r="D815" s="10"/>
    </row>
    <row r="816" spans="4:4" x14ac:dyDescent="0.55000000000000004">
      <c r="D816" s="10"/>
    </row>
    <row r="817" spans="4:4" x14ac:dyDescent="0.55000000000000004">
      <c r="D817" s="10"/>
    </row>
    <row r="818" spans="4:4" x14ac:dyDescent="0.55000000000000004">
      <c r="D818" s="10"/>
    </row>
    <row r="819" spans="4:4" x14ac:dyDescent="0.55000000000000004">
      <c r="D819" s="10"/>
    </row>
    <row r="820" spans="4:4" x14ac:dyDescent="0.55000000000000004">
      <c r="D820" s="10"/>
    </row>
    <row r="821" spans="4:4" x14ac:dyDescent="0.55000000000000004">
      <c r="D821" s="10"/>
    </row>
    <row r="822" spans="4:4" x14ac:dyDescent="0.55000000000000004">
      <c r="D822" s="10"/>
    </row>
    <row r="823" spans="4:4" x14ac:dyDescent="0.55000000000000004">
      <c r="D823" s="10"/>
    </row>
    <row r="824" spans="4:4" x14ac:dyDescent="0.55000000000000004">
      <c r="D824" s="10"/>
    </row>
    <row r="825" spans="4:4" x14ac:dyDescent="0.55000000000000004">
      <c r="D825" s="10"/>
    </row>
    <row r="826" spans="4:4" x14ac:dyDescent="0.55000000000000004">
      <c r="D826" s="10"/>
    </row>
    <row r="827" spans="4:4" x14ac:dyDescent="0.55000000000000004">
      <c r="D827" s="10"/>
    </row>
    <row r="828" spans="4:4" x14ac:dyDescent="0.55000000000000004">
      <c r="D828" s="10"/>
    </row>
    <row r="829" spans="4:4" x14ac:dyDescent="0.55000000000000004">
      <c r="D829" s="10"/>
    </row>
    <row r="830" spans="4:4" x14ac:dyDescent="0.55000000000000004">
      <c r="D830" s="10"/>
    </row>
    <row r="831" spans="4:4" x14ac:dyDescent="0.55000000000000004">
      <c r="D831" s="10"/>
    </row>
    <row r="832" spans="4:4" x14ac:dyDescent="0.55000000000000004">
      <c r="D832" s="10"/>
    </row>
    <row r="833" spans="4:4" x14ac:dyDescent="0.55000000000000004">
      <c r="D833" s="10"/>
    </row>
    <row r="834" spans="4:4" x14ac:dyDescent="0.55000000000000004">
      <c r="D834" s="10"/>
    </row>
    <row r="835" spans="4:4" x14ac:dyDescent="0.55000000000000004">
      <c r="D835" s="10"/>
    </row>
    <row r="836" spans="4:4" x14ac:dyDescent="0.55000000000000004">
      <c r="D836" s="10"/>
    </row>
    <row r="837" spans="4:4" x14ac:dyDescent="0.55000000000000004">
      <c r="D837" s="10"/>
    </row>
    <row r="838" spans="4:4" x14ac:dyDescent="0.55000000000000004">
      <c r="D838" s="10"/>
    </row>
    <row r="839" spans="4:4" x14ac:dyDescent="0.55000000000000004">
      <c r="D839" s="10"/>
    </row>
    <row r="840" spans="4:4" x14ac:dyDescent="0.55000000000000004">
      <c r="D840" s="10"/>
    </row>
    <row r="841" spans="4:4" x14ac:dyDescent="0.55000000000000004">
      <c r="D841" s="10"/>
    </row>
    <row r="842" spans="4:4" x14ac:dyDescent="0.55000000000000004">
      <c r="D842" s="10"/>
    </row>
    <row r="843" spans="4:4" x14ac:dyDescent="0.55000000000000004">
      <c r="D843" s="10"/>
    </row>
    <row r="844" spans="4:4" x14ac:dyDescent="0.55000000000000004">
      <c r="D844" s="10"/>
    </row>
    <row r="845" spans="4:4" x14ac:dyDescent="0.55000000000000004">
      <c r="D845" s="10"/>
    </row>
    <row r="846" spans="4:4" x14ac:dyDescent="0.55000000000000004">
      <c r="D846" s="10"/>
    </row>
    <row r="847" spans="4:4" x14ac:dyDescent="0.55000000000000004">
      <c r="D847" s="10"/>
    </row>
    <row r="848" spans="4:4" x14ac:dyDescent="0.55000000000000004">
      <c r="D848" s="10"/>
    </row>
    <row r="849" spans="4:4" x14ac:dyDescent="0.55000000000000004">
      <c r="D849" s="10"/>
    </row>
    <row r="850" spans="4:4" x14ac:dyDescent="0.55000000000000004">
      <c r="D850" s="10"/>
    </row>
    <row r="851" spans="4:4" x14ac:dyDescent="0.55000000000000004">
      <c r="D851" s="10"/>
    </row>
    <row r="852" spans="4:4" x14ac:dyDescent="0.55000000000000004">
      <c r="D852" s="10"/>
    </row>
    <row r="853" spans="4:4" x14ac:dyDescent="0.55000000000000004">
      <c r="D853" s="10"/>
    </row>
    <row r="854" spans="4:4" x14ac:dyDescent="0.55000000000000004">
      <c r="D854" s="10"/>
    </row>
    <row r="855" spans="4:4" x14ac:dyDescent="0.55000000000000004">
      <c r="D855" s="10"/>
    </row>
    <row r="856" spans="4:4" x14ac:dyDescent="0.55000000000000004">
      <c r="D856" s="10"/>
    </row>
    <row r="857" spans="4:4" x14ac:dyDescent="0.55000000000000004">
      <c r="D857" s="10"/>
    </row>
    <row r="858" spans="4:4" x14ac:dyDescent="0.55000000000000004">
      <c r="D858" s="10"/>
    </row>
    <row r="859" spans="4:4" x14ac:dyDescent="0.55000000000000004">
      <c r="D859" s="10"/>
    </row>
    <row r="860" spans="4:4" x14ac:dyDescent="0.55000000000000004">
      <c r="D860" s="10"/>
    </row>
    <row r="861" spans="4:4" x14ac:dyDescent="0.55000000000000004">
      <c r="D861" s="10"/>
    </row>
    <row r="862" spans="4:4" x14ac:dyDescent="0.55000000000000004">
      <c r="D862" s="10"/>
    </row>
    <row r="863" spans="4:4" x14ac:dyDescent="0.55000000000000004">
      <c r="D863" s="10"/>
    </row>
    <row r="864" spans="4:4" x14ac:dyDescent="0.55000000000000004">
      <c r="D864" s="10"/>
    </row>
    <row r="865" spans="4:4" x14ac:dyDescent="0.55000000000000004">
      <c r="D865" s="10"/>
    </row>
    <row r="866" spans="4:4" x14ac:dyDescent="0.55000000000000004">
      <c r="D866" s="10"/>
    </row>
    <row r="867" spans="4:4" x14ac:dyDescent="0.55000000000000004">
      <c r="D867" s="10"/>
    </row>
    <row r="868" spans="4:4" x14ac:dyDescent="0.55000000000000004">
      <c r="D868" s="10"/>
    </row>
    <row r="869" spans="4:4" x14ac:dyDescent="0.55000000000000004">
      <c r="D869" s="10"/>
    </row>
    <row r="870" spans="4:4" x14ac:dyDescent="0.55000000000000004">
      <c r="D870" s="10"/>
    </row>
    <row r="871" spans="4:4" x14ac:dyDescent="0.55000000000000004">
      <c r="D871" s="10"/>
    </row>
    <row r="872" spans="4:4" x14ac:dyDescent="0.55000000000000004">
      <c r="D872" s="10"/>
    </row>
    <row r="873" spans="4:4" x14ac:dyDescent="0.55000000000000004">
      <c r="D873" s="10"/>
    </row>
    <row r="874" spans="4:4" x14ac:dyDescent="0.55000000000000004">
      <c r="D874" s="10"/>
    </row>
    <row r="875" spans="4:4" x14ac:dyDescent="0.55000000000000004">
      <c r="D875" s="10"/>
    </row>
    <row r="876" spans="4:4" x14ac:dyDescent="0.55000000000000004">
      <c r="D876" s="10"/>
    </row>
    <row r="877" spans="4:4" x14ac:dyDescent="0.55000000000000004">
      <c r="D877" s="10"/>
    </row>
    <row r="878" spans="4:4" x14ac:dyDescent="0.55000000000000004">
      <c r="D878" s="10"/>
    </row>
    <row r="879" spans="4:4" x14ac:dyDescent="0.55000000000000004">
      <c r="D879" s="10"/>
    </row>
    <row r="880" spans="4:4" x14ac:dyDescent="0.55000000000000004">
      <c r="D880" s="10"/>
    </row>
    <row r="881" spans="4:4" x14ac:dyDescent="0.55000000000000004">
      <c r="D881" s="10"/>
    </row>
    <row r="882" spans="4:4" x14ac:dyDescent="0.55000000000000004">
      <c r="D882" s="10"/>
    </row>
    <row r="883" spans="4:4" x14ac:dyDescent="0.55000000000000004">
      <c r="D883" s="10"/>
    </row>
    <row r="884" spans="4:4" x14ac:dyDescent="0.55000000000000004">
      <c r="D884" s="10"/>
    </row>
    <row r="885" spans="4:4" x14ac:dyDescent="0.55000000000000004">
      <c r="D885" s="10"/>
    </row>
    <row r="886" spans="4:4" x14ac:dyDescent="0.55000000000000004">
      <c r="D886" s="10"/>
    </row>
    <row r="887" spans="4:4" x14ac:dyDescent="0.55000000000000004">
      <c r="D887" s="10"/>
    </row>
    <row r="888" spans="4:4" x14ac:dyDescent="0.55000000000000004">
      <c r="D888" s="10"/>
    </row>
    <row r="889" spans="4:4" x14ac:dyDescent="0.55000000000000004">
      <c r="D889" s="10"/>
    </row>
    <row r="890" spans="4:4" x14ac:dyDescent="0.55000000000000004">
      <c r="D890" s="10"/>
    </row>
    <row r="891" spans="4:4" x14ac:dyDescent="0.55000000000000004">
      <c r="D891" s="10"/>
    </row>
    <row r="892" spans="4:4" x14ac:dyDescent="0.55000000000000004">
      <c r="D892" s="10"/>
    </row>
    <row r="893" spans="4:4" x14ac:dyDescent="0.55000000000000004">
      <c r="D893" s="10"/>
    </row>
    <row r="894" spans="4:4" x14ac:dyDescent="0.55000000000000004">
      <c r="D894" s="10"/>
    </row>
    <row r="895" spans="4:4" x14ac:dyDescent="0.55000000000000004">
      <c r="D895" s="10"/>
    </row>
    <row r="896" spans="4:4" x14ac:dyDescent="0.55000000000000004">
      <c r="D896" s="10"/>
    </row>
    <row r="897" spans="4:4" x14ac:dyDescent="0.55000000000000004">
      <c r="D897" s="10"/>
    </row>
    <row r="898" spans="4:4" x14ac:dyDescent="0.55000000000000004">
      <c r="D898" s="10"/>
    </row>
    <row r="899" spans="4:4" x14ac:dyDescent="0.55000000000000004">
      <c r="D899" s="10"/>
    </row>
    <row r="900" spans="4:4" x14ac:dyDescent="0.55000000000000004">
      <c r="D900" s="10"/>
    </row>
    <row r="901" spans="4:4" x14ac:dyDescent="0.55000000000000004">
      <c r="D901" s="10"/>
    </row>
    <row r="902" spans="4:4" x14ac:dyDescent="0.55000000000000004">
      <c r="D902" s="10"/>
    </row>
    <row r="903" spans="4:4" x14ac:dyDescent="0.55000000000000004">
      <c r="D903" s="10"/>
    </row>
    <row r="904" spans="4:4" x14ac:dyDescent="0.55000000000000004">
      <c r="D904" s="10"/>
    </row>
    <row r="905" spans="4:4" x14ac:dyDescent="0.55000000000000004">
      <c r="D905" s="10"/>
    </row>
    <row r="906" spans="4:4" x14ac:dyDescent="0.55000000000000004">
      <c r="D906" s="10"/>
    </row>
    <row r="907" spans="4:4" x14ac:dyDescent="0.55000000000000004">
      <c r="D907" s="10"/>
    </row>
    <row r="908" spans="4:4" x14ac:dyDescent="0.55000000000000004">
      <c r="D908" s="10"/>
    </row>
    <row r="909" spans="4:4" x14ac:dyDescent="0.55000000000000004">
      <c r="D909" s="10"/>
    </row>
    <row r="910" spans="4:4" x14ac:dyDescent="0.55000000000000004">
      <c r="D910" s="10"/>
    </row>
    <row r="911" spans="4:4" x14ac:dyDescent="0.55000000000000004">
      <c r="D911" s="10"/>
    </row>
    <row r="912" spans="4:4" x14ac:dyDescent="0.55000000000000004">
      <c r="D912" s="10"/>
    </row>
    <row r="913" spans="4:4" x14ac:dyDescent="0.55000000000000004">
      <c r="D913" s="10"/>
    </row>
    <row r="914" spans="4:4" x14ac:dyDescent="0.55000000000000004">
      <c r="D914" s="10"/>
    </row>
    <row r="915" spans="4:4" x14ac:dyDescent="0.55000000000000004">
      <c r="D915" s="10"/>
    </row>
    <row r="916" spans="4:4" x14ac:dyDescent="0.55000000000000004">
      <c r="D916" s="10"/>
    </row>
    <row r="917" spans="4:4" x14ac:dyDescent="0.55000000000000004">
      <c r="D917" s="10"/>
    </row>
    <row r="918" spans="4:4" x14ac:dyDescent="0.55000000000000004">
      <c r="D918" s="10"/>
    </row>
    <row r="919" spans="4:4" x14ac:dyDescent="0.55000000000000004">
      <c r="D919" s="10"/>
    </row>
    <row r="920" spans="4:4" x14ac:dyDescent="0.55000000000000004">
      <c r="D920" s="10"/>
    </row>
    <row r="921" spans="4:4" x14ac:dyDescent="0.55000000000000004">
      <c r="D921" s="10"/>
    </row>
    <row r="922" spans="4:4" x14ac:dyDescent="0.55000000000000004">
      <c r="D922" s="10"/>
    </row>
    <row r="923" spans="4:4" x14ac:dyDescent="0.55000000000000004">
      <c r="D923" s="10"/>
    </row>
    <row r="924" spans="4:4" x14ac:dyDescent="0.55000000000000004">
      <c r="D924" s="10"/>
    </row>
    <row r="925" spans="4:4" x14ac:dyDescent="0.55000000000000004">
      <c r="D925" s="10"/>
    </row>
    <row r="926" spans="4:4" x14ac:dyDescent="0.55000000000000004">
      <c r="D926" s="10"/>
    </row>
    <row r="927" spans="4:4" x14ac:dyDescent="0.55000000000000004">
      <c r="D927" s="10"/>
    </row>
    <row r="928" spans="4:4" x14ac:dyDescent="0.55000000000000004">
      <c r="D928" s="10"/>
    </row>
    <row r="929" spans="4:4" x14ac:dyDescent="0.55000000000000004">
      <c r="D929" s="10"/>
    </row>
    <row r="930" spans="4:4" x14ac:dyDescent="0.55000000000000004">
      <c r="D930" s="10"/>
    </row>
    <row r="931" spans="4:4" x14ac:dyDescent="0.55000000000000004">
      <c r="D931" s="10"/>
    </row>
    <row r="932" spans="4:4" x14ac:dyDescent="0.55000000000000004">
      <c r="D932" s="10"/>
    </row>
    <row r="933" spans="4:4" x14ac:dyDescent="0.55000000000000004">
      <c r="D933" s="10"/>
    </row>
    <row r="934" spans="4:4" x14ac:dyDescent="0.55000000000000004">
      <c r="D934" s="10"/>
    </row>
    <row r="935" spans="4:4" x14ac:dyDescent="0.55000000000000004">
      <c r="D935" s="10"/>
    </row>
    <row r="936" spans="4:4" x14ac:dyDescent="0.55000000000000004">
      <c r="D936" s="10"/>
    </row>
    <row r="937" spans="4:4" x14ac:dyDescent="0.55000000000000004">
      <c r="D937" s="10"/>
    </row>
    <row r="938" spans="4:4" x14ac:dyDescent="0.55000000000000004">
      <c r="D938" s="10"/>
    </row>
    <row r="939" spans="4:4" x14ac:dyDescent="0.55000000000000004">
      <c r="D939" s="10"/>
    </row>
    <row r="940" spans="4:4" x14ac:dyDescent="0.55000000000000004">
      <c r="D940" s="10"/>
    </row>
    <row r="941" spans="4:4" x14ac:dyDescent="0.55000000000000004">
      <c r="D941" s="10"/>
    </row>
    <row r="942" spans="4:4" x14ac:dyDescent="0.55000000000000004">
      <c r="D942" s="10"/>
    </row>
    <row r="943" spans="4:4" x14ac:dyDescent="0.55000000000000004">
      <c r="D943" s="10"/>
    </row>
    <row r="944" spans="4:4" x14ac:dyDescent="0.55000000000000004">
      <c r="D944" s="10"/>
    </row>
    <row r="945" spans="4:4" x14ac:dyDescent="0.55000000000000004">
      <c r="D945" s="10"/>
    </row>
    <row r="946" spans="4:4" x14ac:dyDescent="0.55000000000000004">
      <c r="D946" s="10"/>
    </row>
    <row r="947" spans="4:4" x14ac:dyDescent="0.55000000000000004">
      <c r="D947" s="10"/>
    </row>
    <row r="948" spans="4:4" x14ac:dyDescent="0.55000000000000004">
      <c r="D948" s="10"/>
    </row>
    <row r="949" spans="4:4" x14ac:dyDescent="0.55000000000000004">
      <c r="D949" s="10"/>
    </row>
    <row r="950" spans="4:4" x14ac:dyDescent="0.55000000000000004">
      <c r="D950" s="10"/>
    </row>
    <row r="951" spans="4:4" x14ac:dyDescent="0.55000000000000004">
      <c r="D951" s="10"/>
    </row>
    <row r="952" spans="4:4" x14ac:dyDescent="0.55000000000000004">
      <c r="D952" s="10"/>
    </row>
    <row r="953" spans="4:4" x14ac:dyDescent="0.55000000000000004">
      <c r="D953" s="10"/>
    </row>
    <row r="954" spans="4:4" x14ac:dyDescent="0.55000000000000004">
      <c r="D954" s="10"/>
    </row>
    <row r="955" spans="4:4" x14ac:dyDescent="0.55000000000000004">
      <c r="D955" s="10"/>
    </row>
    <row r="956" spans="4:4" x14ac:dyDescent="0.55000000000000004">
      <c r="D956" s="10"/>
    </row>
    <row r="957" spans="4:4" x14ac:dyDescent="0.55000000000000004">
      <c r="D957" s="10"/>
    </row>
    <row r="958" spans="4:4" x14ac:dyDescent="0.55000000000000004">
      <c r="D958" s="10"/>
    </row>
    <row r="959" spans="4:4" x14ac:dyDescent="0.55000000000000004">
      <c r="D959" s="10"/>
    </row>
    <row r="960" spans="4:4" x14ac:dyDescent="0.55000000000000004">
      <c r="D960" s="10"/>
    </row>
    <row r="961" spans="4:4" x14ac:dyDescent="0.55000000000000004">
      <c r="D961" s="10"/>
    </row>
    <row r="962" spans="4:4" x14ac:dyDescent="0.55000000000000004">
      <c r="D962" s="10"/>
    </row>
    <row r="963" spans="4:4" x14ac:dyDescent="0.55000000000000004">
      <c r="D963" s="10"/>
    </row>
    <row r="964" spans="4:4" x14ac:dyDescent="0.55000000000000004">
      <c r="D964" s="10"/>
    </row>
    <row r="965" spans="4:4" x14ac:dyDescent="0.55000000000000004">
      <c r="D965" s="10"/>
    </row>
    <row r="966" spans="4:4" x14ac:dyDescent="0.55000000000000004">
      <c r="D966" s="10"/>
    </row>
    <row r="967" spans="4:4" x14ac:dyDescent="0.55000000000000004">
      <c r="D967" s="10"/>
    </row>
    <row r="968" spans="4:4" x14ac:dyDescent="0.55000000000000004">
      <c r="D968" s="10"/>
    </row>
    <row r="969" spans="4:4" x14ac:dyDescent="0.55000000000000004">
      <c r="D969" s="10"/>
    </row>
    <row r="970" spans="4:4" x14ac:dyDescent="0.55000000000000004">
      <c r="D970" s="10"/>
    </row>
    <row r="971" spans="4:4" x14ac:dyDescent="0.55000000000000004">
      <c r="D971" s="10"/>
    </row>
    <row r="972" spans="4:4" x14ac:dyDescent="0.55000000000000004">
      <c r="D972" s="10"/>
    </row>
    <row r="973" spans="4:4" x14ac:dyDescent="0.55000000000000004">
      <c r="D973" s="10"/>
    </row>
    <row r="974" spans="4:4" x14ac:dyDescent="0.55000000000000004">
      <c r="D974" s="10"/>
    </row>
    <row r="975" spans="4:4" x14ac:dyDescent="0.55000000000000004">
      <c r="D975" s="10"/>
    </row>
    <row r="976" spans="4:4" x14ac:dyDescent="0.55000000000000004">
      <c r="D976" s="10"/>
    </row>
    <row r="977" spans="4:4" x14ac:dyDescent="0.55000000000000004">
      <c r="D977" s="10"/>
    </row>
    <row r="978" spans="4:4" x14ac:dyDescent="0.55000000000000004">
      <c r="D978" s="10"/>
    </row>
    <row r="979" spans="4:4" x14ac:dyDescent="0.55000000000000004">
      <c r="D979" s="10"/>
    </row>
    <row r="980" spans="4:4" x14ac:dyDescent="0.55000000000000004">
      <c r="D980" s="10"/>
    </row>
    <row r="981" spans="4:4" x14ac:dyDescent="0.55000000000000004">
      <c r="D981" s="10"/>
    </row>
    <row r="982" spans="4:4" x14ac:dyDescent="0.55000000000000004">
      <c r="D982" s="10"/>
    </row>
    <row r="983" spans="4:4" x14ac:dyDescent="0.55000000000000004">
      <c r="D983" s="10"/>
    </row>
    <row r="984" spans="4:4" x14ac:dyDescent="0.55000000000000004">
      <c r="D984" s="10"/>
    </row>
    <row r="985" spans="4:4" x14ac:dyDescent="0.55000000000000004">
      <c r="D985" s="10"/>
    </row>
    <row r="986" spans="4:4" x14ac:dyDescent="0.55000000000000004">
      <c r="D986" s="10"/>
    </row>
    <row r="987" spans="4:4" x14ac:dyDescent="0.55000000000000004">
      <c r="D987" s="10"/>
    </row>
    <row r="988" spans="4:4" x14ac:dyDescent="0.55000000000000004">
      <c r="D988" s="10"/>
    </row>
    <row r="989" spans="4:4" x14ac:dyDescent="0.55000000000000004">
      <c r="D989" s="10"/>
    </row>
    <row r="990" spans="4:4" x14ac:dyDescent="0.55000000000000004">
      <c r="D990" s="10"/>
    </row>
    <row r="991" spans="4:4" x14ac:dyDescent="0.55000000000000004">
      <c r="D991" s="10"/>
    </row>
    <row r="992" spans="4:4" x14ac:dyDescent="0.55000000000000004">
      <c r="D992" s="10"/>
    </row>
    <row r="993" spans="4:4" x14ac:dyDescent="0.55000000000000004">
      <c r="D993" s="10"/>
    </row>
    <row r="994" spans="4:4" x14ac:dyDescent="0.55000000000000004">
      <c r="D994" s="10"/>
    </row>
    <row r="995" spans="4:4" x14ac:dyDescent="0.55000000000000004">
      <c r="D995" s="10"/>
    </row>
    <row r="996" spans="4:4" x14ac:dyDescent="0.55000000000000004">
      <c r="D996" s="10"/>
    </row>
    <row r="997" spans="4:4" x14ac:dyDescent="0.55000000000000004">
      <c r="D997" s="10"/>
    </row>
    <row r="998" spans="4:4" x14ac:dyDescent="0.55000000000000004">
      <c r="D998" s="10"/>
    </row>
    <row r="999" spans="4:4" x14ac:dyDescent="0.55000000000000004">
      <c r="D999" s="10"/>
    </row>
    <row r="1000" spans="4:4" x14ac:dyDescent="0.55000000000000004">
      <c r="D1000" s="10"/>
    </row>
    <row r="1001" spans="4:4" x14ac:dyDescent="0.55000000000000004">
      <c r="D1001" s="10"/>
    </row>
    <row r="1002" spans="4:4" x14ac:dyDescent="0.55000000000000004">
      <c r="D1002" s="10"/>
    </row>
    <row r="1003" spans="4:4" x14ac:dyDescent="0.55000000000000004">
      <c r="D1003" s="10"/>
    </row>
    <row r="1004" spans="4:4" x14ac:dyDescent="0.55000000000000004">
      <c r="D1004" s="10"/>
    </row>
    <row r="1005" spans="4:4" x14ac:dyDescent="0.55000000000000004">
      <c r="D1005" s="10"/>
    </row>
    <row r="1006" spans="4:4" x14ac:dyDescent="0.55000000000000004">
      <c r="D1006" s="10"/>
    </row>
    <row r="1007" spans="4:4" x14ac:dyDescent="0.55000000000000004">
      <c r="D1007" s="10"/>
    </row>
    <row r="1008" spans="4:4" x14ac:dyDescent="0.55000000000000004">
      <c r="D1008" s="10"/>
    </row>
    <row r="1009" spans="4:4" x14ac:dyDescent="0.55000000000000004">
      <c r="D1009" s="10"/>
    </row>
    <row r="1010" spans="4:4" x14ac:dyDescent="0.55000000000000004">
      <c r="D1010" s="10"/>
    </row>
    <row r="1011" spans="4:4" x14ac:dyDescent="0.55000000000000004">
      <c r="D1011" s="10"/>
    </row>
    <row r="1012" spans="4:4" x14ac:dyDescent="0.55000000000000004">
      <c r="D1012" s="10"/>
    </row>
    <row r="1013" spans="4:4" x14ac:dyDescent="0.55000000000000004">
      <c r="D1013" s="10"/>
    </row>
    <row r="1014" spans="4:4" x14ac:dyDescent="0.55000000000000004">
      <c r="D1014" s="10"/>
    </row>
    <row r="1015" spans="4:4" x14ac:dyDescent="0.55000000000000004">
      <c r="D1015" s="10"/>
    </row>
    <row r="1016" spans="4:4" x14ac:dyDescent="0.55000000000000004">
      <c r="D1016" s="10"/>
    </row>
    <row r="1017" spans="4:4" x14ac:dyDescent="0.55000000000000004">
      <c r="D1017" s="10"/>
    </row>
    <row r="1018" spans="4:4" x14ac:dyDescent="0.55000000000000004">
      <c r="D1018" s="10"/>
    </row>
    <row r="1019" spans="4:4" x14ac:dyDescent="0.55000000000000004">
      <c r="D1019" s="10"/>
    </row>
    <row r="1020" spans="4:4" x14ac:dyDescent="0.55000000000000004">
      <c r="D1020" s="10"/>
    </row>
    <row r="1021" spans="4:4" x14ac:dyDescent="0.55000000000000004">
      <c r="D1021" s="10"/>
    </row>
    <row r="1022" spans="4:4" x14ac:dyDescent="0.55000000000000004">
      <c r="D1022" s="10"/>
    </row>
    <row r="1023" spans="4:4" x14ac:dyDescent="0.55000000000000004">
      <c r="D1023" s="10"/>
    </row>
    <row r="1024" spans="4:4" x14ac:dyDescent="0.55000000000000004">
      <c r="D1024" s="10"/>
    </row>
    <row r="1025" spans="4:4" x14ac:dyDescent="0.55000000000000004">
      <c r="D1025" s="10"/>
    </row>
    <row r="1026" spans="4:4" x14ac:dyDescent="0.55000000000000004">
      <c r="D1026" s="10"/>
    </row>
    <row r="1027" spans="4:4" x14ac:dyDescent="0.55000000000000004">
      <c r="D1027" s="10"/>
    </row>
    <row r="1028" spans="4:4" x14ac:dyDescent="0.55000000000000004">
      <c r="D1028" s="10"/>
    </row>
    <row r="1029" spans="4:4" x14ac:dyDescent="0.55000000000000004">
      <c r="D1029" s="10"/>
    </row>
    <row r="1030" spans="4:4" x14ac:dyDescent="0.55000000000000004">
      <c r="D1030" s="10"/>
    </row>
    <row r="1031" spans="4:4" x14ac:dyDescent="0.55000000000000004">
      <c r="D1031" s="10"/>
    </row>
    <row r="1032" spans="4:4" x14ac:dyDescent="0.55000000000000004">
      <c r="D1032" s="10"/>
    </row>
    <row r="1033" spans="4:4" x14ac:dyDescent="0.55000000000000004">
      <c r="D1033" s="10"/>
    </row>
    <row r="1034" spans="4:4" x14ac:dyDescent="0.55000000000000004">
      <c r="D1034" s="10"/>
    </row>
    <row r="1035" spans="4:4" x14ac:dyDescent="0.55000000000000004">
      <c r="D1035" s="10"/>
    </row>
    <row r="1036" spans="4:4" x14ac:dyDescent="0.55000000000000004">
      <c r="D1036" s="10"/>
    </row>
    <row r="1037" spans="4:4" x14ac:dyDescent="0.55000000000000004">
      <c r="D1037" s="10"/>
    </row>
    <row r="1038" spans="4:4" x14ac:dyDescent="0.55000000000000004">
      <c r="D1038" s="10"/>
    </row>
    <row r="1039" spans="4:4" x14ac:dyDescent="0.55000000000000004">
      <c r="D1039" s="10"/>
    </row>
    <row r="1040" spans="4:4" x14ac:dyDescent="0.55000000000000004">
      <c r="D1040" s="10"/>
    </row>
    <row r="1041" spans="4:4" x14ac:dyDescent="0.55000000000000004">
      <c r="D1041" s="10"/>
    </row>
    <row r="1042" spans="4:4" x14ac:dyDescent="0.55000000000000004">
      <c r="D1042" s="10"/>
    </row>
    <row r="1043" spans="4:4" x14ac:dyDescent="0.55000000000000004">
      <c r="D1043" s="10"/>
    </row>
    <row r="1044" spans="4:4" x14ac:dyDescent="0.55000000000000004">
      <c r="D1044" s="10"/>
    </row>
    <row r="1045" spans="4:4" x14ac:dyDescent="0.55000000000000004">
      <c r="D1045" s="10"/>
    </row>
    <row r="1046" spans="4:4" x14ac:dyDescent="0.55000000000000004">
      <c r="D1046" s="10"/>
    </row>
    <row r="1047" spans="4:4" x14ac:dyDescent="0.55000000000000004">
      <c r="D1047" s="10"/>
    </row>
    <row r="1048" spans="4:4" x14ac:dyDescent="0.55000000000000004">
      <c r="D1048" s="10"/>
    </row>
    <row r="1049" spans="4:4" x14ac:dyDescent="0.55000000000000004">
      <c r="D1049" s="10"/>
    </row>
    <row r="1050" spans="4:4" x14ac:dyDescent="0.55000000000000004">
      <c r="D1050" s="10"/>
    </row>
    <row r="1051" spans="4:4" x14ac:dyDescent="0.55000000000000004">
      <c r="D1051" s="10"/>
    </row>
    <row r="1052" spans="4:4" x14ac:dyDescent="0.55000000000000004">
      <c r="D1052" s="10"/>
    </row>
    <row r="1053" spans="4:4" x14ac:dyDescent="0.55000000000000004">
      <c r="D1053" s="10"/>
    </row>
    <row r="1054" spans="4:4" x14ac:dyDescent="0.55000000000000004">
      <c r="D1054" s="10"/>
    </row>
    <row r="1055" spans="4:4" x14ac:dyDescent="0.55000000000000004">
      <c r="D1055" s="10"/>
    </row>
    <row r="1056" spans="4:4" x14ac:dyDescent="0.55000000000000004">
      <c r="D1056" s="10"/>
    </row>
    <row r="1057" spans="4:4" x14ac:dyDescent="0.55000000000000004">
      <c r="D1057" s="10"/>
    </row>
    <row r="1058" spans="4:4" x14ac:dyDescent="0.55000000000000004">
      <c r="D1058" s="10"/>
    </row>
    <row r="1059" spans="4:4" x14ac:dyDescent="0.55000000000000004">
      <c r="D1059" s="10"/>
    </row>
    <row r="1060" spans="4:4" x14ac:dyDescent="0.55000000000000004">
      <c r="D1060" s="10"/>
    </row>
    <row r="1061" spans="4:4" x14ac:dyDescent="0.55000000000000004">
      <c r="D1061" s="10"/>
    </row>
    <row r="1062" spans="4:4" x14ac:dyDescent="0.55000000000000004">
      <c r="D1062" s="10"/>
    </row>
    <row r="1063" spans="4:4" x14ac:dyDescent="0.55000000000000004">
      <c r="D1063" s="10"/>
    </row>
    <row r="1064" spans="4:4" x14ac:dyDescent="0.55000000000000004">
      <c r="D1064" s="10"/>
    </row>
    <row r="1065" spans="4:4" x14ac:dyDescent="0.55000000000000004">
      <c r="D1065" s="10"/>
    </row>
    <row r="1066" spans="4:4" x14ac:dyDescent="0.55000000000000004">
      <c r="D1066" s="10"/>
    </row>
    <row r="1067" spans="4:4" x14ac:dyDescent="0.55000000000000004">
      <c r="D1067" s="10"/>
    </row>
    <row r="1068" spans="4:4" x14ac:dyDescent="0.55000000000000004">
      <c r="D1068" s="10"/>
    </row>
    <row r="1069" spans="4:4" x14ac:dyDescent="0.55000000000000004">
      <c r="D1069" s="10"/>
    </row>
    <row r="1070" spans="4:4" x14ac:dyDescent="0.55000000000000004">
      <c r="D1070" s="10"/>
    </row>
    <row r="1071" spans="4:4" x14ac:dyDescent="0.55000000000000004">
      <c r="D1071" s="10"/>
    </row>
    <row r="1072" spans="4:4" x14ac:dyDescent="0.55000000000000004">
      <c r="D1072" s="10"/>
    </row>
    <row r="1073" spans="4:4" x14ac:dyDescent="0.55000000000000004">
      <c r="D1073" s="10"/>
    </row>
    <row r="1074" spans="4:4" x14ac:dyDescent="0.55000000000000004">
      <c r="D1074" s="10"/>
    </row>
    <row r="1075" spans="4:4" x14ac:dyDescent="0.55000000000000004">
      <c r="D1075" s="10"/>
    </row>
    <row r="1076" spans="4:4" x14ac:dyDescent="0.55000000000000004">
      <c r="D1076" s="10"/>
    </row>
    <row r="1077" spans="4:4" x14ac:dyDescent="0.55000000000000004">
      <c r="D1077" s="10"/>
    </row>
    <row r="1078" spans="4:4" x14ac:dyDescent="0.55000000000000004">
      <c r="D1078" s="10"/>
    </row>
    <row r="1079" spans="4:4" x14ac:dyDescent="0.55000000000000004">
      <c r="D1079" s="10"/>
    </row>
    <row r="1080" spans="4:4" x14ac:dyDescent="0.55000000000000004">
      <c r="D1080" s="10"/>
    </row>
    <row r="1081" spans="4:4" x14ac:dyDescent="0.55000000000000004">
      <c r="D1081" s="10"/>
    </row>
    <row r="1082" spans="4:4" x14ac:dyDescent="0.55000000000000004">
      <c r="D1082" s="10"/>
    </row>
    <row r="1083" spans="4:4" x14ac:dyDescent="0.55000000000000004">
      <c r="D1083" s="10"/>
    </row>
    <row r="1084" spans="4:4" x14ac:dyDescent="0.55000000000000004">
      <c r="D1084" s="10"/>
    </row>
    <row r="1085" spans="4:4" x14ac:dyDescent="0.55000000000000004">
      <c r="D1085" s="10"/>
    </row>
    <row r="1086" spans="4:4" x14ac:dyDescent="0.55000000000000004">
      <c r="D1086" s="10"/>
    </row>
    <row r="1087" spans="4:4" x14ac:dyDescent="0.55000000000000004">
      <c r="D1087" s="10"/>
    </row>
    <row r="1088" spans="4:4" x14ac:dyDescent="0.55000000000000004">
      <c r="D1088" s="10"/>
    </row>
    <row r="1089" spans="4:4" x14ac:dyDescent="0.55000000000000004">
      <c r="D1089" s="10"/>
    </row>
    <row r="1090" spans="4:4" x14ac:dyDescent="0.55000000000000004">
      <c r="D1090" s="10"/>
    </row>
    <row r="1091" spans="4:4" x14ac:dyDescent="0.55000000000000004">
      <c r="D1091" s="10"/>
    </row>
    <row r="1092" spans="4:4" x14ac:dyDescent="0.55000000000000004">
      <c r="D1092" s="10"/>
    </row>
    <row r="1093" spans="4:4" x14ac:dyDescent="0.55000000000000004">
      <c r="D1093" s="10"/>
    </row>
    <row r="1094" spans="4:4" x14ac:dyDescent="0.55000000000000004">
      <c r="D1094" s="10"/>
    </row>
    <row r="1095" spans="4:4" x14ac:dyDescent="0.55000000000000004">
      <c r="D1095" s="10"/>
    </row>
    <row r="1096" spans="4:4" x14ac:dyDescent="0.55000000000000004">
      <c r="D1096" s="10"/>
    </row>
    <row r="1097" spans="4:4" x14ac:dyDescent="0.55000000000000004">
      <c r="D1097" s="10"/>
    </row>
    <row r="1098" spans="4:4" x14ac:dyDescent="0.55000000000000004">
      <c r="D1098" s="10"/>
    </row>
    <row r="1099" spans="4:4" x14ac:dyDescent="0.55000000000000004">
      <c r="D1099" s="10"/>
    </row>
    <row r="1100" spans="4:4" x14ac:dyDescent="0.55000000000000004">
      <c r="D1100" s="10"/>
    </row>
    <row r="1101" spans="4:4" x14ac:dyDescent="0.55000000000000004">
      <c r="D1101" s="10"/>
    </row>
    <row r="1102" spans="4:4" x14ac:dyDescent="0.55000000000000004">
      <c r="D1102" s="10"/>
    </row>
    <row r="1103" spans="4:4" x14ac:dyDescent="0.55000000000000004">
      <c r="D1103" s="10"/>
    </row>
    <row r="1104" spans="4:4" x14ac:dyDescent="0.55000000000000004">
      <c r="D1104" s="10"/>
    </row>
    <row r="1105" spans="4:4" x14ac:dyDescent="0.55000000000000004">
      <c r="D1105" s="10"/>
    </row>
    <row r="1106" spans="4:4" x14ac:dyDescent="0.55000000000000004">
      <c r="D1106" s="10"/>
    </row>
    <row r="1107" spans="4:4" x14ac:dyDescent="0.55000000000000004">
      <c r="D1107" s="10"/>
    </row>
    <row r="1108" spans="4:4" x14ac:dyDescent="0.55000000000000004">
      <c r="D1108" s="10"/>
    </row>
    <row r="1109" spans="4:4" x14ac:dyDescent="0.55000000000000004">
      <c r="D1109" s="10"/>
    </row>
    <row r="1110" spans="4:4" x14ac:dyDescent="0.55000000000000004">
      <c r="D1110" s="10"/>
    </row>
    <row r="1111" spans="4:4" x14ac:dyDescent="0.55000000000000004">
      <c r="D1111" s="10"/>
    </row>
    <row r="1112" spans="4:4" x14ac:dyDescent="0.55000000000000004">
      <c r="D1112" s="10"/>
    </row>
    <row r="1113" spans="4:4" x14ac:dyDescent="0.55000000000000004">
      <c r="D1113" s="10"/>
    </row>
    <row r="1114" spans="4:4" x14ac:dyDescent="0.55000000000000004">
      <c r="D1114" s="10"/>
    </row>
    <row r="1115" spans="4:4" x14ac:dyDescent="0.55000000000000004">
      <c r="D1115" s="10"/>
    </row>
    <row r="1116" spans="4:4" x14ac:dyDescent="0.55000000000000004">
      <c r="D1116" s="10"/>
    </row>
    <row r="1117" spans="4:4" x14ac:dyDescent="0.55000000000000004">
      <c r="D1117" s="10"/>
    </row>
    <row r="1118" spans="4:4" x14ac:dyDescent="0.55000000000000004">
      <c r="D1118" s="10"/>
    </row>
    <row r="1119" spans="4:4" x14ac:dyDescent="0.55000000000000004">
      <c r="D1119" s="10"/>
    </row>
    <row r="1120" spans="4:4" x14ac:dyDescent="0.55000000000000004">
      <c r="D1120" s="10"/>
    </row>
    <row r="1121" spans="4:4" x14ac:dyDescent="0.55000000000000004">
      <c r="D1121" s="10"/>
    </row>
    <row r="1122" spans="4:4" x14ac:dyDescent="0.55000000000000004">
      <c r="D1122" s="10"/>
    </row>
    <row r="1123" spans="4:4" x14ac:dyDescent="0.55000000000000004">
      <c r="D1123" s="10"/>
    </row>
    <row r="1124" spans="4:4" x14ac:dyDescent="0.55000000000000004">
      <c r="D1124" s="10"/>
    </row>
    <row r="1125" spans="4:4" x14ac:dyDescent="0.55000000000000004">
      <c r="D1125" s="10"/>
    </row>
    <row r="1126" spans="4:4" x14ac:dyDescent="0.55000000000000004">
      <c r="D1126" s="10"/>
    </row>
    <row r="1127" spans="4:4" x14ac:dyDescent="0.55000000000000004">
      <c r="D1127" s="10"/>
    </row>
    <row r="1128" spans="4:4" x14ac:dyDescent="0.55000000000000004">
      <c r="D1128" s="10"/>
    </row>
    <row r="1129" spans="4:4" x14ac:dyDescent="0.55000000000000004">
      <c r="D1129" s="10"/>
    </row>
    <row r="1130" spans="4:4" x14ac:dyDescent="0.55000000000000004">
      <c r="D1130" s="10"/>
    </row>
    <row r="1131" spans="4:4" x14ac:dyDescent="0.55000000000000004">
      <c r="D1131" s="10"/>
    </row>
    <row r="1132" spans="4:4" x14ac:dyDescent="0.55000000000000004">
      <c r="D1132" s="10"/>
    </row>
    <row r="1133" spans="4:4" x14ac:dyDescent="0.55000000000000004">
      <c r="D1133" s="10"/>
    </row>
    <row r="1134" spans="4:4" x14ac:dyDescent="0.55000000000000004">
      <c r="D1134" s="10"/>
    </row>
    <row r="1135" spans="4:4" x14ac:dyDescent="0.55000000000000004">
      <c r="D1135" s="10"/>
    </row>
    <row r="1136" spans="4:4" x14ac:dyDescent="0.55000000000000004">
      <c r="D1136" s="10"/>
    </row>
    <row r="1137" spans="4:4" x14ac:dyDescent="0.55000000000000004">
      <c r="D1137" s="10"/>
    </row>
    <row r="1138" spans="4:4" x14ac:dyDescent="0.55000000000000004">
      <c r="D1138" s="10"/>
    </row>
    <row r="1139" spans="4:4" x14ac:dyDescent="0.55000000000000004">
      <c r="D1139" s="10"/>
    </row>
    <row r="1140" spans="4:4" x14ac:dyDescent="0.55000000000000004">
      <c r="D1140" s="10"/>
    </row>
    <row r="1141" spans="4:4" x14ac:dyDescent="0.55000000000000004">
      <c r="D1141" s="10"/>
    </row>
    <row r="1142" spans="4:4" x14ac:dyDescent="0.55000000000000004">
      <c r="D1142" s="10"/>
    </row>
    <row r="1143" spans="4:4" x14ac:dyDescent="0.55000000000000004">
      <c r="D1143" s="10"/>
    </row>
    <row r="1144" spans="4:4" x14ac:dyDescent="0.55000000000000004">
      <c r="D1144" s="10"/>
    </row>
    <row r="1145" spans="4:4" x14ac:dyDescent="0.55000000000000004">
      <c r="D1145" s="10"/>
    </row>
    <row r="1146" spans="4:4" x14ac:dyDescent="0.55000000000000004">
      <c r="D1146" s="10"/>
    </row>
    <row r="1147" spans="4:4" x14ac:dyDescent="0.55000000000000004">
      <c r="D1147" s="10"/>
    </row>
    <row r="1148" spans="4:4" x14ac:dyDescent="0.55000000000000004">
      <c r="D1148" s="10"/>
    </row>
    <row r="1149" spans="4:4" x14ac:dyDescent="0.55000000000000004">
      <c r="D1149" s="10"/>
    </row>
    <row r="1150" spans="4:4" x14ac:dyDescent="0.55000000000000004">
      <c r="D1150" s="10"/>
    </row>
    <row r="1151" spans="4:4" x14ac:dyDescent="0.55000000000000004">
      <c r="D1151" s="10"/>
    </row>
    <row r="1152" spans="4:4" x14ac:dyDescent="0.55000000000000004">
      <c r="D1152" s="10"/>
    </row>
    <row r="1153" spans="4:4" x14ac:dyDescent="0.55000000000000004">
      <c r="D1153" s="10"/>
    </row>
    <row r="1154" spans="4:4" x14ac:dyDescent="0.55000000000000004">
      <c r="D1154" s="10"/>
    </row>
    <row r="1155" spans="4:4" x14ac:dyDescent="0.55000000000000004">
      <c r="D1155" s="10"/>
    </row>
    <row r="1156" spans="4:4" x14ac:dyDescent="0.55000000000000004">
      <c r="D1156" s="10"/>
    </row>
    <row r="1157" spans="4:4" x14ac:dyDescent="0.55000000000000004">
      <c r="D1157" s="10"/>
    </row>
    <row r="1158" spans="4:4" x14ac:dyDescent="0.55000000000000004">
      <c r="D1158" s="10"/>
    </row>
    <row r="1159" spans="4:4" x14ac:dyDescent="0.55000000000000004">
      <c r="D1159" s="10"/>
    </row>
    <row r="1160" spans="4:4" x14ac:dyDescent="0.55000000000000004">
      <c r="D1160" s="10"/>
    </row>
    <row r="1161" spans="4:4" x14ac:dyDescent="0.55000000000000004">
      <c r="D1161" s="10"/>
    </row>
    <row r="1162" spans="4:4" x14ac:dyDescent="0.55000000000000004">
      <c r="D1162" s="10"/>
    </row>
    <row r="1163" spans="4:4" x14ac:dyDescent="0.55000000000000004">
      <c r="D1163" s="10"/>
    </row>
    <row r="1164" spans="4:4" x14ac:dyDescent="0.55000000000000004">
      <c r="D1164" s="10"/>
    </row>
    <row r="1165" spans="4:4" x14ac:dyDescent="0.55000000000000004">
      <c r="D1165" s="10"/>
    </row>
    <row r="1166" spans="4:4" x14ac:dyDescent="0.55000000000000004">
      <c r="D1166" s="10"/>
    </row>
    <row r="1167" spans="4:4" x14ac:dyDescent="0.55000000000000004">
      <c r="D1167" s="10"/>
    </row>
    <row r="1168" spans="4:4" x14ac:dyDescent="0.55000000000000004">
      <c r="D1168" s="10"/>
    </row>
    <row r="1169" spans="4:4" x14ac:dyDescent="0.55000000000000004">
      <c r="D1169" s="10"/>
    </row>
    <row r="1170" spans="4:4" x14ac:dyDescent="0.55000000000000004">
      <c r="D1170" s="10"/>
    </row>
    <row r="1171" spans="4:4" x14ac:dyDescent="0.55000000000000004">
      <c r="D1171" s="10"/>
    </row>
    <row r="1172" spans="4:4" x14ac:dyDescent="0.55000000000000004">
      <c r="D1172" s="10"/>
    </row>
    <row r="1173" spans="4:4" x14ac:dyDescent="0.55000000000000004">
      <c r="D1173" s="10"/>
    </row>
    <row r="1174" spans="4:4" x14ac:dyDescent="0.55000000000000004">
      <c r="D1174" s="10"/>
    </row>
    <row r="1175" spans="4:4" x14ac:dyDescent="0.55000000000000004">
      <c r="D1175" s="10"/>
    </row>
    <row r="1176" spans="4:4" x14ac:dyDescent="0.55000000000000004">
      <c r="D1176" s="10"/>
    </row>
    <row r="1177" spans="4:4" x14ac:dyDescent="0.55000000000000004">
      <c r="D1177" s="10"/>
    </row>
    <row r="1178" spans="4:4" x14ac:dyDescent="0.55000000000000004">
      <c r="D1178" s="10"/>
    </row>
    <row r="1179" spans="4:4" x14ac:dyDescent="0.55000000000000004">
      <c r="D1179" s="10"/>
    </row>
    <row r="1180" spans="4:4" x14ac:dyDescent="0.55000000000000004">
      <c r="D1180" s="10"/>
    </row>
    <row r="1181" spans="4:4" x14ac:dyDescent="0.55000000000000004">
      <c r="D1181" s="10"/>
    </row>
    <row r="1182" spans="4:4" x14ac:dyDescent="0.55000000000000004">
      <c r="D1182" s="10"/>
    </row>
    <row r="1183" spans="4:4" x14ac:dyDescent="0.55000000000000004">
      <c r="D1183" s="10"/>
    </row>
    <row r="1184" spans="4:4" x14ac:dyDescent="0.55000000000000004">
      <c r="D1184" s="10"/>
    </row>
    <row r="1185" spans="4:4" x14ac:dyDescent="0.55000000000000004">
      <c r="D1185" s="10"/>
    </row>
    <row r="1186" spans="4:4" x14ac:dyDescent="0.55000000000000004">
      <c r="D1186" s="10"/>
    </row>
    <row r="1187" spans="4:4" x14ac:dyDescent="0.55000000000000004">
      <c r="D1187" s="10"/>
    </row>
    <row r="1188" spans="4:4" x14ac:dyDescent="0.55000000000000004">
      <c r="D1188" s="10"/>
    </row>
    <row r="1189" spans="4:4" x14ac:dyDescent="0.55000000000000004">
      <c r="D1189" s="10"/>
    </row>
    <row r="1190" spans="4:4" x14ac:dyDescent="0.55000000000000004">
      <c r="D1190" s="10"/>
    </row>
    <row r="1191" spans="4:4" x14ac:dyDescent="0.55000000000000004">
      <c r="D1191" s="10"/>
    </row>
    <row r="1192" spans="4:4" x14ac:dyDescent="0.55000000000000004">
      <c r="D1192" s="10"/>
    </row>
    <row r="1193" spans="4:4" x14ac:dyDescent="0.55000000000000004">
      <c r="D1193" s="10"/>
    </row>
    <row r="1194" spans="4:4" x14ac:dyDescent="0.55000000000000004">
      <c r="D1194" s="10"/>
    </row>
    <row r="1195" spans="4:4" x14ac:dyDescent="0.55000000000000004">
      <c r="D1195" s="10"/>
    </row>
    <row r="1196" spans="4:4" x14ac:dyDescent="0.55000000000000004">
      <c r="D1196" s="10"/>
    </row>
    <row r="1197" spans="4:4" x14ac:dyDescent="0.55000000000000004">
      <c r="D1197" s="10"/>
    </row>
    <row r="1198" spans="4:4" x14ac:dyDescent="0.55000000000000004">
      <c r="D1198" s="10"/>
    </row>
    <row r="1199" spans="4:4" x14ac:dyDescent="0.55000000000000004">
      <c r="D1199" s="10"/>
    </row>
    <row r="1200" spans="4:4" x14ac:dyDescent="0.55000000000000004">
      <c r="D1200" s="10"/>
    </row>
    <row r="1201" spans="4:4" x14ac:dyDescent="0.55000000000000004">
      <c r="D1201" s="10"/>
    </row>
    <row r="1202" spans="4:4" x14ac:dyDescent="0.55000000000000004">
      <c r="D1202" s="10"/>
    </row>
    <row r="1203" spans="4:4" x14ac:dyDescent="0.55000000000000004">
      <c r="D1203" s="10"/>
    </row>
    <row r="1204" spans="4:4" x14ac:dyDescent="0.55000000000000004">
      <c r="D1204" s="10"/>
    </row>
    <row r="1205" spans="4:4" x14ac:dyDescent="0.55000000000000004">
      <c r="D1205" s="10"/>
    </row>
    <row r="1206" spans="4:4" x14ac:dyDescent="0.55000000000000004">
      <c r="D1206" s="10"/>
    </row>
    <row r="1207" spans="4:4" x14ac:dyDescent="0.55000000000000004">
      <c r="D1207" s="10"/>
    </row>
    <row r="1208" spans="4:4" x14ac:dyDescent="0.55000000000000004">
      <c r="D1208" s="10"/>
    </row>
    <row r="1209" spans="4:4" x14ac:dyDescent="0.55000000000000004">
      <c r="D1209" s="10"/>
    </row>
    <row r="1210" spans="4:4" x14ac:dyDescent="0.55000000000000004">
      <c r="D1210" s="10"/>
    </row>
    <row r="1211" spans="4:4" x14ac:dyDescent="0.55000000000000004">
      <c r="D1211" s="10"/>
    </row>
    <row r="1212" spans="4:4" x14ac:dyDescent="0.55000000000000004">
      <c r="D1212" s="10"/>
    </row>
    <row r="1213" spans="4:4" x14ac:dyDescent="0.55000000000000004">
      <c r="D1213" s="10"/>
    </row>
    <row r="1214" spans="4:4" x14ac:dyDescent="0.55000000000000004">
      <c r="D1214" s="10"/>
    </row>
    <row r="1215" spans="4:4" x14ac:dyDescent="0.55000000000000004">
      <c r="D1215" s="10"/>
    </row>
    <row r="1216" spans="4:4" x14ac:dyDescent="0.55000000000000004">
      <c r="D1216" s="10"/>
    </row>
    <row r="1217" spans="4:4" x14ac:dyDescent="0.55000000000000004">
      <c r="D1217" s="10"/>
    </row>
    <row r="1218" spans="4:4" x14ac:dyDescent="0.55000000000000004">
      <c r="D1218" s="10"/>
    </row>
    <row r="1219" spans="4:4" x14ac:dyDescent="0.55000000000000004">
      <c r="D1219" s="10"/>
    </row>
    <row r="1220" spans="4:4" x14ac:dyDescent="0.55000000000000004">
      <c r="D1220" s="10"/>
    </row>
    <row r="1221" spans="4:4" x14ac:dyDescent="0.55000000000000004">
      <c r="D1221" s="10"/>
    </row>
    <row r="1222" spans="4:4" x14ac:dyDescent="0.55000000000000004">
      <c r="D1222" s="10"/>
    </row>
    <row r="1223" spans="4:4" x14ac:dyDescent="0.55000000000000004">
      <c r="D1223" s="10"/>
    </row>
    <row r="1224" spans="4:4" x14ac:dyDescent="0.55000000000000004">
      <c r="D1224" s="10"/>
    </row>
    <row r="1225" spans="4:4" x14ac:dyDescent="0.55000000000000004">
      <c r="D1225" s="10"/>
    </row>
    <row r="1226" spans="4:4" x14ac:dyDescent="0.55000000000000004">
      <c r="D1226" s="10"/>
    </row>
    <row r="1227" spans="4:4" x14ac:dyDescent="0.55000000000000004">
      <c r="D1227" s="10"/>
    </row>
    <row r="1228" spans="4:4" x14ac:dyDescent="0.55000000000000004">
      <c r="D1228" s="10"/>
    </row>
    <row r="1229" spans="4:4" x14ac:dyDescent="0.55000000000000004">
      <c r="D1229" s="10"/>
    </row>
    <row r="1230" spans="4:4" x14ac:dyDescent="0.55000000000000004">
      <c r="D1230" s="10"/>
    </row>
    <row r="1231" spans="4:4" x14ac:dyDescent="0.55000000000000004">
      <c r="D1231" s="10"/>
    </row>
    <row r="1232" spans="4:4" x14ac:dyDescent="0.55000000000000004">
      <c r="D1232" s="10"/>
    </row>
    <row r="1233" spans="4:4" x14ac:dyDescent="0.55000000000000004">
      <c r="D1233" s="10"/>
    </row>
    <row r="1234" spans="4:4" x14ac:dyDescent="0.55000000000000004">
      <c r="D1234" s="10"/>
    </row>
    <row r="1235" spans="4:4" x14ac:dyDescent="0.55000000000000004">
      <c r="D1235" s="10"/>
    </row>
    <row r="1236" spans="4:4" x14ac:dyDescent="0.55000000000000004">
      <c r="D1236" s="10"/>
    </row>
    <row r="1237" spans="4:4" x14ac:dyDescent="0.55000000000000004">
      <c r="D1237" s="10"/>
    </row>
    <row r="1238" spans="4:4" x14ac:dyDescent="0.55000000000000004">
      <c r="D1238" s="10"/>
    </row>
    <row r="1239" spans="4:4" x14ac:dyDescent="0.55000000000000004">
      <c r="D1239" s="10"/>
    </row>
    <row r="1240" spans="4:4" x14ac:dyDescent="0.55000000000000004">
      <c r="D1240" s="10"/>
    </row>
    <row r="1241" spans="4:4" x14ac:dyDescent="0.55000000000000004">
      <c r="D1241" s="10"/>
    </row>
    <row r="1242" spans="4:4" x14ac:dyDescent="0.55000000000000004">
      <c r="D1242" s="10"/>
    </row>
    <row r="1243" spans="4:4" x14ac:dyDescent="0.55000000000000004">
      <c r="D1243" s="10"/>
    </row>
    <row r="1244" spans="4:4" x14ac:dyDescent="0.55000000000000004">
      <c r="D1244" s="10"/>
    </row>
    <row r="1245" spans="4:4" x14ac:dyDescent="0.55000000000000004">
      <c r="D1245" s="10"/>
    </row>
    <row r="1246" spans="4:4" x14ac:dyDescent="0.55000000000000004">
      <c r="D1246" s="10"/>
    </row>
    <row r="1247" spans="4:4" x14ac:dyDescent="0.55000000000000004">
      <c r="D1247" s="10"/>
    </row>
    <row r="1248" spans="4:4" x14ac:dyDescent="0.55000000000000004">
      <c r="D1248" s="10"/>
    </row>
    <row r="1249" spans="4:4" x14ac:dyDescent="0.55000000000000004">
      <c r="D1249" s="10"/>
    </row>
    <row r="1250" spans="4:4" x14ac:dyDescent="0.55000000000000004">
      <c r="D1250" s="10"/>
    </row>
    <row r="1251" spans="4:4" x14ac:dyDescent="0.55000000000000004">
      <c r="D1251" s="10"/>
    </row>
    <row r="1252" spans="4:4" x14ac:dyDescent="0.55000000000000004">
      <c r="D1252" s="10"/>
    </row>
    <row r="1253" spans="4:4" x14ac:dyDescent="0.55000000000000004">
      <c r="D1253" s="10"/>
    </row>
    <row r="1254" spans="4:4" x14ac:dyDescent="0.55000000000000004">
      <c r="D1254" s="10"/>
    </row>
    <row r="1255" spans="4:4" x14ac:dyDescent="0.55000000000000004">
      <c r="D1255" s="10"/>
    </row>
    <row r="1256" spans="4:4" x14ac:dyDescent="0.55000000000000004">
      <c r="D1256" s="10"/>
    </row>
    <row r="1257" spans="4:4" x14ac:dyDescent="0.55000000000000004">
      <c r="D1257" s="10"/>
    </row>
    <row r="1258" spans="4:4" x14ac:dyDescent="0.55000000000000004">
      <c r="D1258" s="10"/>
    </row>
    <row r="1259" spans="4:4" x14ac:dyDescent="0.55000000000000004">
      <c r="D1259" s="10"/>
    </row>
    <row r="1260" spans="4:4" x14ac:dyDescent="0.55000000000000004">
      <c r="D1260" s="10"/>
    </row>
    <row r="1261" spans="4:4" x14ac:dyDescent="0.55000000000000004">
      <c r="D1261" s="10"/>
    </row>
    <row r="1262" spans="4:4" x14ac:dyDescent="0.55000000000000004">
      <c r="D1262" s="10"/>
    </row>
    <row r="1263" spans="4:4" x14ac:dyDescent="0.55000000000000004">
      <c r="D1263" s="10"/>
    </row>
    <row r="1264" spans="4:4" x14ac:dyDescent="0.55000000000000004">
      <c r="D1264" s="10"/>
    </row>
    <row r="1265" spans="4:4" x14ac:dyDescent="0.55000000000000004">
      <c r="D1265" s="10"/>
    </row>
    <row r="1266" spans="4:4" x14ac:dyDescent="0.55000000000000004">
      <c r="D1266" s="10"/>
    </row>
    <row r="1267" spans="4:4" x14ac:dyDescent="0.55000000000000004">
      <c r="D1267" s="10"/>
    </row>
    <row r="1268" spans="4:4" x14ac:dyDescent="0.55000000000000004">
      <c r="D1268" s="10"/>
    </row>
    <row r="1269" spans="4:4" x14ac:dyDescent="0.55000000000000004">
      <c r="D1269" s="10"/>
    </row>
    <row r="1270" spans="4:4" x14ac:dyDescent="0.55000000000000004">
      <c r="D1270" s="10"/>
    </row>
    <row r="1271" spans="4:4" x14ac:dyDescent="0.55000000000000004">
      <c r="D1271" s="10"/>
    </row>
    <row r="1272" spans="4:4" x14ac:dyDescent="0.55000000000000004">
      <c r="D1272" s="10"/>
    </row>
    <row r="1273" spans="4:4" x14ac:dyDescent="0.55000000000000004">
      <c r="D1273" s="10"/>
    </row>
    <row r="1274" spans="4:4" x14ac:dyDescent="0.55000000000000004">
      <c r="D1274" s="10"/>
    </row>
    <row r="1275" spans="4:4" x14ac:dyDescent="0.55000000000000004">
      <c r="D1275" s="10"/>
    </row>
    <row r="1276" spans="4:4" x14ac:dyDescent="0.55000000000000004">
      <c r="D1276" s="10"/>
    </row>
    <row r="1277" spans="4:4" x14ac:dyDescent="0.55000000000000004">
      <c r="D1277" s="10"/>
    </row>
    <row r="1278" spans="4:4" x14ac:dyDescent="0.55000000000000004">
      <c r="D1278" s="10"/>
    </row>
    <row r="1279" spans="4:4" x14ac:dyDescent="0.55000000000000004">
      <c r="D1279" s="10"/>
    </row>
    <row r="1280" spans="4:4" x14ac:dyDescent="0.55000000000000004">
      <c r="D1280" s="10"/>
    </row>
    <row r="1281" spans="4:4" x14ac:dyDescent="0.55000000000000004">
      <c r="D1281" s="10"/>
    </row>
    <row r="1282" spans="4:4" x14ac:dyDescent="0.55000000000000004">
      <c r="D1282" s="10"/>
    </row>
    <row r="1283" spans="4:4" x14ac:dyDescent="0.55000000000000004">
      <c r="D1283" s="10"/>
    </row>
    <row r="1284" spans="4:4" x14ac:dyDescent="0.55000000000000004">
      <c r="D1284" s="10"/>
    </row>
    <row r="1285" spans="4:4" x14ac:dyDescent="0.55000000000000004">
      <c r="D1285" s="10"/>
    </row>
    <row r="1286" spans="4:4" x14ac:dyDescent="0.55000000000000004">
      <c r="D1286" s="10"/>
    </row>
    <row r="1287" spans="4:4" x14ac:dyDescent="0.55000000000000004">
      <c r="D1287" s="10"/>
    </row>
    <row r="1288" spans="4:4" x14ac:dyDescent="0.55000000000000004">
      <c r="D1288" s="10"/>
    </row>
    <row r="1289" spans="4:4" x14ac:dyDescent="0.55000000000000004">
      <c r="D1289" s="10"/>
    </row>
    <row r="1290" spans="4:4" x14ac:dyDescent="0.55000000000000004">
      <c r="D1290" s="10"/>
    </row>
    <row r="1291" spans="4:4" x14ac:dyDescent="0.55000000000000004">
      <c r="D1291" s="10"/>
    </row>
    <row r="1292" spans="4:4" x14ac:dyDescent="0.55000000000000004">
      <c r="D1292" s="10"/>
    </row>
    <row r="1293" spans="4:4" x14ac:dyDescent="0.55000000000000004">
      <c r="D1293" s="10"/>
    </row>
    <row r="1294" spans="4:4" x14ac:dyDescent="0.55000000000000004">
      <c r="D1294" s="10"/>
    </row>
    <row r="1295" spans="4:4" x14ac:dyDescent="0.55000000000000004">
      <c r="D1295" s="10"/>
    </row>
    <row r="1296" spans="4:4" x14ac:dyDescent="0.55000000000000004">
      <c r="D1296" s="10"/>
    </row>
    <row r="1297" spans="4:4" x14ac:dyDescent="0.55000000000000004">
      <c r="D1297" s="10"/>
    </row>
    <row r="1298" spans="4:4" x14ac:dyDescent="0.55000000000000004">
      <c r="D1298" s="10"/>
    </row>
    <row r="1299" spans="4:4" x14ac:dyDescent="0.55000000000000004">
      <c r="D1299" s="10"/>
    </row>
    <row r="1300" spans="4:4" x14ac:dyDescent="0.55000000000000004">
      <c r="D1300" s="10"/>
    </row>
    <row r="1301" spans="4:4" x14ac:dyDescent="0.55000000000000004">
      <c r="D1301" s="10"/>
    </row>
    <row r="1302" spans="4:4" x14ac:dyDescent="0.55000000000000004">
      <c r="D1302" s="10"/>
    </row>
    <row r="1303" spans="4:4" x14ac:dyDescent="0.55000000000000004">
      <c r="D1303" s="10"/>
    </row>
    <row r="1304" spans="4:4" x14ac:dyDescent="0.55000000000000004">
      <c r="D1304" s="10"/>
    </row>
    <row r="1305" spans="4:4" x14ac:dyDescent="0.55000000000000004">
      <c r="D1305" s="10"/>
    </row>
    <row r="1306" spans="4:4" x14ac:dyDescent="0.55000000000000004">
      <c r="D1306" s="10"/>
    </row>
    <row r="1307" spans="4:4" x14ac:dyDescent="0.55000000000000004">
      <c r="D1307" s="10"/>
    </row>
    <row r="1308" spans="4:4" x14ac:dyDescent="0.55000000000000004">
      <c r="D1308" s="10"/>
    </row>
    <row r="1309" spans="4:4" x14ac:dyDescent="0.55000000000000004">
      <c r="D1309" s="10"/>
    </row>
    <row r="1310" spans="4:4" x14ac:dyDescent="0.55000000000000004">
      <c r="D1310" s="10"/>
    </row>
    <row r="1311" spans="4:4" x14ac:dyDescent="0.55000000000000004">
      <c r="D1311" s="10"/>
    </row>
    <row r="1312" spans="4:4" x14ac:dyDescent="0.55000000000000004">
      <c r="D1312" s="10"/>
    </row>
    <row r="1313" spans="4:4" x14ac:dyDescent="0.55000000000000004">
      <c r="D1313" s="10"/>
    </row>
    <row r="1314" spans="4:4" x14ac:dyDescent="0.55000000000000004">
      <c r="D1314" s="10"/>
    </row>
    <row r="1315" spans="4:4" x14ac:dyDescent="0.55000000000000004">
      <c r="D1315" s="10"/>
    </row>
    <row r="1316" spans="4:4" x14ac:dyDescent="0.55000000000000004">
      <c r="D1316" s="10"/>
    </row>
    <row r="1317" spans="4:4" x14ac:dyDescent="0.55000000000000004">
      <c r="D1317" s="10"/>
    </row>
    <row r="1318" spans="4:4" x14ac:dyDescent="0.55000000000000004">
      <c r="D1318" s="10"/>
    </row>
    <row r="1319" spans="4:4" x14ac:dyDescent="0.55000000000000004">
      <c r="D1319" s="10"/>
    </row>
    <row r="1320" spans="4:4" x14ac:dyDescent="0.55000000000000004">
      <c r="D1320" s="10"/>
    </row>
    <row r="1321" spans="4:4" x14ac:dyDescent="0.55000000000000004">
      <c r="D1321" s="10"/>
    </row>
    <row r="1322" spans="4:4" x14ac:dyDescent="0.55000000000000004">
      <c r="D1322" s="10"/>
    </row>
    <row r="1323" spans="4:4" x14ac:dyDescent="0.55000000000000004">
      <c r="D1323" s="10"/>
    </row>
    <row r="1324" spans="4:4" x14ac:dyDescent="0.55000000000000004">
      <c r="D1324" s="10"/>
    </row>
    <row r="1325" spans="4:4" x14ac:dyDescent="0.55000000000000004">
      <c r="D1325" s="10"/>
    </row>
    <row r="1326" spans="4:4" x14ac:dyDescent="0.55000000000000004">
      <c r="D1326" s="10"/>
    </row>
    <row r="1327" spans="4:4" x14ac:dyDescent="0.55000000000000004">
      <c r="D1327" s="10"/>
    </row>
    <row r="1328" spans="4:4" x14ac:dyDescent="0.55000000000000004">
      <c r="D1328" s="10"/>
    </row>
    <row r="1329" spans="4:4" x14ac:dyDescent="0.55000000000000004">
      <c r="D1329" s="10"/>
    </row>
    <row r="1330" spans="4:4" x14ac:dyDescent="0.55000000000000004">
      <c r="D1330" s="10"/>
    </row>
    <row r="1331" spans="4:4" x14ac:dyDescent="0.55000000000000004">
      <c r="D1331" s="10"/>
    </row>
    <row r="1332" spans="4:4" x14ac:dyDescent="0.55000000000000004">
      <c r="D1332" s="10"/>
    </row>
    <row r="1333" spans="4:4" x14ac:dyDescent="0.55000000000000004">
      <c r="D1333" s="10"/>
    </row>
    <row r="1334" spans="4:4" x14ac:dyDescent="0.55000000000000004">
      <c r="D1334" s="10"/>
    </row>
    <row r="1335" spans="4:4" x14ac:dyDescent="0.55000000000000004">
      <c r="D1335" s="10"/>
    </row>
    <row r="1336" spans="4:4" x14ac:dyDescent="0.55000000000000004">
      <c r="D1336" s="10"/>
    </row>
    <row r="1337" spans="4:4" x14ac:dyDescent="0.55000000000000004">
      <c r="D1337" s="10"/>
    </row>
    <row r="1338" spans="4:4" x14ac:dyDescent="0.55000000000000004">
      <c r="D1338" s="10"/>
    </row>
    <row r="1339" spans="4:4" x14ac:dyDescent="0.55000000000000004">
      <c r="D1339" s="10"/>
    </row>
    <row r="1340" spans="4:4" x14ac:dyDescent="0.55000000000000004">
      <c r="D1340" s="10"/>
    </row>
    <row r="1341" spans="4:4" x14ac:dyDescent="0.55000000000000004">
      <c r="D1341" s="10"/>
    </row>
    <row r="1342" spans="4:4" x14ac:dyDescent="0.55000000000000004">
      <c r="D1342" s="10"/>
    </row>
    <row r="1343" spans="4:4" x14ac:dyDescent="0.55000000000000004">
      <c r="D1343" s="10"/>
    </row>
    <row r="1344" spans="4:4" x14ac:dyDescent="0.55000000000000004">
      <c r="D1344" s="10"/>
    </row>
    <row r="1345" spans="4:4" x14ac:dyDescent="0.55000000000000004">
      <c r="D1345" s="10"/>
    </row>
    <row r="1346" spans="4:4" x14ac:dyDescent="0.55000000000000004">
      <c r="D1346" s="10"/>
    </row>
    <row r="1347" spans="4:4" x14ac:dyDescent="0.55000000000000004">
      <c r="D1347" s="10"/>
    </row>
    <row r="1348" spans="4:4" x14ac:dyDescent="0.55000000000000004">
      <c r="D1348" s="10"/>
    </row>
    <row r="1349" spans="4:4" x14ac:dyDescent="0.55000000000000004">
      <c r="D1349" s="10"/>
    </row>
    <row r="1350" spans="4:4" x14ac:dyDescent="0.55000000000000004">
      <c r="D1350" s="10"/>
    </row>
    <row r="1351" spans="4:4" x14ac:dyDescent="0.55000000000000004">
      <c r="D1351" s="10"/>
    </row>
    <row r="1352" spans="4:4" x14ac:dyDescent="0.55000000000000004">
      <c r="D1352" s="10"/>
    </row>
    <row r="1353" spans="4:4" x14ac:dyDescent="0.55000000000000004">
      <c r="D1353" s="10"/>
    </row>
    <row r="1354" spans="4:4" x14ac:dyDescent="0.55000000000000004">
      <c r="D1354" s="10"/>
    </row>
    <row r="1355" spans="4:4" x14ac:dyDescent="0.55000000000000004">
      <c r="D1355" s="10"/>
    </row>
    <row r="1356" spans="4:4" x14ac:dyDescent="0.55000000000000004">
      <c r="D1356" s="10"/>
    </row>
    <row r="1357" spans="4:4" x14ac:dyDescent="0.55000000000000004">
      <c r="D1357" s="10"/>
    </row>
    <row r="1358" spans="4:4" x14ac:dyDescent="0.55000000000000004">
      <c r="D1358" s="10"/>
    </row>
    <row r="1359" spans="4:4" x14ac:dyDescent="0.55000000000000004">
      <c r="D1359" s="10"/>
    </row>
    <row r="1360" spans="4:4" x14ac:dyDescent="0.55000000000000004">
      <c r="D1360" s="10"/>
    </row>
    <row r="1361" spans="4:4" x14ac:dyDescent="0.55000000000000004">
      <c r="D1361" s="10"/>
    </row>
    <row r="1362" spans="4:4" x14ac:dyDescent="0.55000000000000004">
      <c r="D1362" s="10"/>
    </row>
    <row r="1363" spans="4:4" x14ac:dyDescent="0.55000000000000004">
      <c r="D1363" s="10"/>
    </row>
    <row r="1364" spans="4:4" x14ac:dyDescent="0.55000000000000004">
      <c r="D1364" s="10"/>
    </row>
    <row r="1365" spans="4:4" x14ac:dyDescent="0.55000000000000004">
      <c r="D1365" s="10"/>
    </row>
    <row r="1366" spans="4:4" x14ac:dyDescent="0.55000000000000004">
      <c r="D1366" s="10"/>
    </row>
    <row r="1367" spans="4:4" x14ac:dyDescent="0.55000000000000004">
      <c r="D1367" s="10"/>
    </row>
    <row r="1368" spans="4:4" x14ac:dyDescent="0.55000000000000004">
      <c r="D1368" s="10"/>
    </row>
    <row r="1369" spans="4:4" x14ac:dyDescent="0.55000000000000004">
      <c r="D1369" s="10"/>
    </row>
    <row r="1370" spans="4:4" x14ac:dyDescent="0.55000000000000004">
      <c r="D1370" s="10"/>
    </row>
    <row r="1371" spans="4:4" x14ac:dyDescent="0.55000000000000004">
      <c r="D1371" s="10"/>
    </row>
    <row r="1372" spans="4:4" x14ac:dyDescent="0.55000000000000004">
      <c r="D1372" s="10"/>
    </row>
    <row r="1373" spans="4:4" x14ac:dyDescent="0.55000000000000004">
      <c r="D1373" s="10"/>
    </row>
    <row r="1374" spans="4:4" x14ac:dyDescent="0.55000000000000004">
      <c r="D1374" s="10"/>
    </row>
    <row r="1375" spans="4:4" x14ac:dyDescent="0.55000000000000004">
      <c r="D1375" s="10"/>
    </row>
    <row r="1376" spans="4:4" x14ac:dyDescent="0.55000000000000004">
      <c r="D1376" s="10"/>
    </row>
    <row r="1377" spans="4:4" x14ac:dyDescent="0.55000000000000004">
      <c r="D1377" s="10"/>
    </row>
    <row r="1378" spans="4:4" x14ac:dyDescent="0.55000000000000004">
      <c r="D1378" s="10"/>
    </row>
    <row r="1379" spans="4:4" x14ac:dyDescent="0.55000000000000004">
      <c r="D1379" s="10"/>
    </row>
    <row r="1380" spans="4:4" x14ac:dyDescent="0.55000000000000004">
      <c r="D1380" s="10"/>
    </row>
    <row r="1381" spans="4:4" x14ac:dyDescent="0.55000000000000004">
      <c r="D1381" s="10"/>
    </row>
    <row r="1382" spans="4:4" x14ac:dyDescent="0.55000000000000004">
      <c r="D1382" s="10"/>
    </row>
    <row r="1383" spans="4:4" x14ac:dyDescent="0.55000000000000004">
      <c r="D1383" s="10"/>
    </row>
    <row r="1384" spans="4:4" x14ac:dyDescent="0.55000000000000004">
      <c r="D1384" s="10"/>
    </row>
    <row r="1385" spans="4:4" x14ac:dyDescent="0.55000000000000004">
      <c r="D1385" s="10"/>
    </row>
    <row r="1386" spans="4:4" x14ac:dyDescent="0.55000000000000004">
      <c r="D1386" s="10"/>
    </row>
    <row r="1387" spans="4:4" x14ac:dyDescent="0.55000000000000004">
      <c r="D1387" s="10"/>
    </row>
    <row r="1388" spans="4:4" x14ac:dyDescent="0.55000000000000004">
      <c r="D1388" s="10"/>
    </row>
    <row r="1389" spans="4:4" x14ac:dyDescent="0.55000000000000004">
      <c r="D1389" s="10"/>
    </row>
    <row r="1390" spans="4:4" x14ac:dyDescent="0.55000000000000004">
      <c r="D1390" s="10"/>
    </row>
    <row r="1391" spans="4:4" x14ac:dyDescent="0.55000000000000004">
      <c r="D1391" s="10"/>
    </row>
    <row r="1392" spans="4:4" x14ac:dyDescent="0.55000000000000004">
      <c r="D1392" s="10"/>
    </row>
    <row r="1393" spans="4:4" x14ac:dyDescent="0.55000000000000004">
      <c r="D1393" s="10"/>
    </row>
    <row r="1394" spans="4:4" x14ac:dyDescent="0.55000000000000004">
      <c r="D1394" s="10"/>
    </row>
    <row r="1395" spans="4:4" x14ac:dyDescent="0.55000000000000004">
      <c r="D1395" s="10"/>
    </row>
    <row r="1396" spans="4:4" x14ac:dyDescent="0.55000000000000004">
      <c r="D1396" s="10"/>
    </row>
    <row r="1397" spans="4:4" x14ac:dyDescent="0.55000000000000004">
      <c r="D1397" s="10"/>
    </row>
    <row r="1398" spans="4:4" x14ac:dyDescent="0.55000000000000004">
      <c r="D1398" s="10"/>
    </row>
    <row r="1399" spans="4:4" x14ac:dyDescent="0.55000000000000004">
      <c r="D1399" s="10"/>
    </row>
    <row r="1400" spans="4:4" x14ac:dyDescent="0.55000000000000004">
      <c r="D1400" s="10"/>
    </row>
    <row r="1401" spans="4:4" x14ac:dyDescent="0.55000000000000004">
      <c r="D1401" s="10"/>
    </row>
    <row r="1402" spans="4:4" x14ac:dyDescent="0.55000000000000004">
      <c r="D1402" s="10"/>
    </row>
    <row r="1403" spans="4:4" x14ac:dyDescent="0.55000000000000004">
      <c r="D1403" s="10"/>
    </row>
    <row r="1404" spans="4:4" x14ac:dyDescent="0.55000000000000004">
      <c r="D1404" s="10"/>
    </row>
    <row r="1405" spans="4:4" x14ac:dyDescent="0.55000000000000004">
      <c r="D1405" s="10"/>
    </row>
    <row r="1406" spans="4:4" x14ac:dyDescent="0.55000000000000004">
      <c r="D1406" s="10"/>
    </row>
    <row r="1407" spans="4:4" x14ac:dyDescent="0.55000000000000004">
      <c r="D1407" s="10"/>
    </row>
    <row r="1408" spans="4:4" x14ac:dyDescent="0.55000000000000004">
      <c r="D1408" s="10"/>
    </row>
    <row r="1409" spans="4:4" x14ac:dyDescent="0.55000000000000004">
      <c r="D1409" s="10"/>
    </row>
    <row r="1410" spans="4:4" x14ac:dyDescent="0.55000000000000004">
      <c r="D1410" s="10"/>
    </row>
    <row r="1411" spans="4:4" x14ac:dyDescent="0.55000000000000004">
      <c r="D1411" s="10"/>
    </row>
    <row r="1412" spans="4:4" x14ac:dyDescent="0.55000000000000004">
      <c r="D1412" s="10"/>
    </row>
    <row r="1413" spans="4:4" x14ac:dyDescent="0.55000000000000004">
      <c r="D1413" s="10"/>
    </row>
    <row r="1414" spans="4:4" x14ac:dyDescent="0.55000000000000004">
      <c r="D1414" s="10"/>
    </row>
    <row r="1415" spans="4:4" x14ac:dyDescent="0.55000000000000004">
      <c r="D1415" s="10"/>
    </row>
    <row r="1416" spans="4:4" x14ac:dyDescent="0.55000000000000004">
      <c r="D1416" s="10"/>
    </row>
    <row r="1417" spans="4:4" x14ac:dyDescent="0.55000000000000004">
      <c r="D1417" s="10"/>
    </row>
    <row r="1418" spans="4:4" x14ac:dyDescent="0.55000000000000004">
      <c r="D1418" s="10"/>
    </row>
    <row r="1419" spans="4:4" x14ac:dyDescent="0.55000000000000004">
      <c r="D1419" s="10"/>
    </row>
    <row r="1420" spans="4:4" x14ac:dyDescent="0.55000000000000004">
      <c r="D1420" s="10"/>
    </row>
    <row r="1421" spans="4:4" x14ac:dyDescent="0.55000000000000004">
      <c r="D1421" s="10"/>
    </row>
    <row r="1422" spans="4:4" x14ac:dyDescent="0.55000000000000004">
      <c r="D1422" s="10"/>
    </row>
    <row r="1423" spans="4:4" x14ac:dyDescent="0.55000000000000004">
      <c r="D1423" s="10"/>
    </row>
    <row r="1424" spans="4:4" x14ac:dyDescent="0.55000000000000004">
      <c r="D1424" s="10"/>
    </row>
    <row r="1425" spans="4:4" x14ac:dyDescent="0.55000000000000004">
      <c r="D1425" s="10"/>
    </row>
    <row r="1426" spans="4:4" x14ac:dyDescent="0.55000000000000004">
      <c r="D1426" s="10"/>
    </row>
    <row r="1427" spans="4:4" x14ac:dyDescent="0.55000000000000004">
      <c r="D1427" s="10"/>
    </row>
    <row r="1428" spans="4:4" x14ac:dyDescent="0.55000000000000004">
      <c r="D1428" s="10"/>
    </row>
    <row r="1429" spans="4:4" x14ac:dyDescent="0.55000000000000004">
      <c r="D1429" s="10"/>
    </row>
    <row r="1430" spans="4:4" x14ac:dyDescent="0.55000000000000004">
      <c r="D1430" s="10"/>
    </row>
    <row r="1431" spans="4:4" x14ac:dyDescent="0.55000000000000004">
      <c r="D1431" s="10"/>
    </row>
    <row r="1432" spans="4:4" x14ac:dyDescent="0.55000000000000004">
      <c r="D1432" s="10"/>
    </row>
    <row r="1433" spans="4:4" x14ac:dyDescent="0.55000000000000004">
      <c r="D1433" s="10"/>
    </row>
    <row r="1434" spans="4:4" x14ac:dyDescent="0.55000000000000004">
      <c r="D1434" s="10"/>
    </row>
    <row r="1435" spans="4:4" x14ac:dyDescent="0.55000000000000004">
      <c r="D1435" s="10"/>
    </row>
    <row r="1436" spans="4:4" x14ac:dyDescent="0.55000000000000004">
      <c r="D1436" s="10"/>
    </row>
    <row r="1437" spans="4:4" x14ac:dyDescent="0.55000000000000004">
      <c r="D1437" s="10"/>
    </row>
    <row r="1438" spans="4:4" x14ac:dyDescent="0.55000000000000004">
      <c r="D1438" s="10"/>
    </row>
    <row r="1439" spans="4:4" x14ac:dyDescent="0.55000000000000004">
      <c r="D1439" s="10"/>
    </row>
    <row r="1440" spans="4:4" x14ac:dyDescent="0.55000000000000004">
      <c r="D1440" s="10"/>
    </row>
    <row r="1441" spans="4:4" x14ac:dyDescent="0.55000000000000004">
      <c r="D1441" s="10"/>
    </row>
    <row r="1442" spans="4:4" x14ac:dyDescent="0.55000000000000004">
      <c r="D1442" s="10"/>
    </row>
    <row r="1443" spans="4:4" x14ac:dyDescent="0.55000000000000004">
      <c r="D1443" s="10"/>
    </row>
    <row r="1444" spans="4:4" x14ac:dyDescent="0.55000000000000004">
      <c r="D1444" s="10"/>
    </row>
    <row r="1445" spans="4:4" x14ac:dyDescent="0.55000000000000004">
      <c r="D1445" s="10"/>
    </row>
    <row r="1446" spans="4:4" x14ac:dyDescent="0.55000000000000004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196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195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165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7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166</v>
      </c>
      <c r="C8" s="6" t="str">
        <f>TEXT(VLOOKUP(LEFT(B8,FIND("月",B8)),基本シート!$E$6:$F$17,2,FALSE)&amp;B8,"aaaa")</f>
        <v>月曜日</v>
      </c>
      <c r="D8" s="6"/>
      <c r="E8" s="6" t="str">
        <f t="shared" ref="E8:E38" si="9">IF(OR(C8="土曜日",C8="日曜日",D8="〇"),"〇","")</f>
        <v/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1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2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7" si="13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167</v>
      </c>
      <c r="C9" s="6" t="str">
        <f>TEXT(VLOOKUP(LEFT(B9,FIND("月",B9)),基本シート!$E$6:$F$17,2,FALSE)&amp;B9,"aaaa")</f>
        <v>火曜日</v>
      </c>
      <c r="D9" s="6" t="s">
        <v>82</v>
      </c>
      <c r="E9" s="6" t="str">
        <f t="shared" si="9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1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2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3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168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1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2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3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169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1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2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3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170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1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2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3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171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1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2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3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172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1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2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3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173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1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2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3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174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1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2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3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175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1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2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3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176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1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2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3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177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1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2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3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178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1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2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3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179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1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2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3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180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1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2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3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181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1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2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3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182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1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2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3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183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1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2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3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184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1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2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3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185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1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2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3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186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187</v>
      </c>
      <c r="C29" s="6" t="str">
        <f>TEXT(VLOOKUP(LEFT(B29,FIND("月",B29)),基本シート!$E$6:$F$17,2,FALSE)&amp;B29,"aaaa")</f>
        <v>月曜日</v>
      </c>
      <c r="D29" s="6" t="s">
        <v>82</v>
      </c>
      <c r="E29" s="6" t="str">
        <f t="shared" si="9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188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189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190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191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192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193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194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348</v>
      </c>
      <c r="C37" s="6" t="str">
        <f>TEXT(VLOOKUP(LEFT(B37,FIND("月",B37)),基本シート!$E$6:$F$17,2,FALSE)&amp;B37,"aaaa")</f>
        <v>火曜日</v>
      </c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 t="shared" ref="DZ37" si="14"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5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0</v>
      </c>
      <c r="I38" s="3">
        <f t="shared" ref="I38:BT38" si="16">SUM(I7:I36)</f>
        <v>0</v>
      </c>
      <c r="J38" s="3">
        <f t="shared" si="16"/>
        <v>0</v>
      </c>
      <c r="K38" s="3">
        <f t="shared" si="16"/>
        <v>0</v>
      </c>
      <c r="L38" s="3">
        <f t="shared" si="16"/>
        <v>0</v>
      </c>
      <c r="M38" s="3">
        <f t="shared" si="16"/>
        <v>0</v>
      </c>
      <c r="N38" s="3">
        <f t="shared" si="16"/>
        <v>0</v>
      </c>
      <c r="O38" s="3">
        <f t="shared" si="16"/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>
        <f t="shared" si="16"/>
        <v>0</v>
      </c>
      <c r="U38" s="3">
        <f t="shared" si="16"/>
        <v>0</v>
      </c>
      <c r="V38" s="3">
        <f t="shared" si="16"/>
        <v>0</v>
      </c>
      <c r="W38" s="3">
        <f t="shared" si="16"/>
        <v>0</v>
      </c>
      <c r="X38" s="3">
        <f t="shared" si="16"/>
        <v>0</v>
      </c>
      <c r="Y38" s="3">
        <f t="shared" si="16"/>
        <v>0</v>
      </c>
      <c r="Z38" s="3">
        <f t="shared" si="16"/>
        <v>0</v>
      </c>
      <c r="AA38" s="3">
        <f t="shared" si="16"/>
        <v>0</v>
      </c>
      <c r="AB38" s="3">
        <f t="shared" si="16"/>
        <v>0</v>
      </c>
      <c r="AC38" s="3">
        <f t="shared" si="16"/>
        <v>0</v>
      </c>
      <c r="AD38" s="3">
        <f t="shared" si="16"/>
        <v>0</v>
      </c>
      <c r="AE38" s="3">
        <f t="shared" si="16"/>
        <v>0</v>
      </c>
      <c r="AF38" s="3">
        <f t="shared" si="16"/>
        <v>0</v>
      </c>
      <c r="AG38" s="3">
        <f t="shared" si="16"/>
        <v>0</v>
      </c>
      <c r="AH38" s="3">
        <f t="shared" si="16"/>
        <v>0</v>
      </c>
      <c r="AI38" s="3">
        <f t="shared" si="16"/>
        <v>0</v>
      </c>
      <c r="AJ38" s="3">
        <f t="shared" si="16"/>
        <v>0</v>
      </c>
      <c r="AK38" s="3">
        <f t="shared" si="16"/>
        <v>0</v>
      </c>
      <c r="AL38" s="3">
        <f t="shared" si="16"/>
        <v>0</v>
      </c>
      <c r="AM38" s="3">
        <f t="shared" si="16"/>
        <v>0</v>
      </c>
      <c r="AN38" s="3">
        <f t="shared" si="16"/>
        <v>0</v>
      </c>
      <c r="AO38" s="3">
        <f t="shared" si="16"/>
        <v>0</v>
      </c>
      <c r="AP38" s="3">
        <f t="shared" si="16"/>
        <v>0</v>
      </c>
      <c r="AQ38" s="3">
        <f t="shared" si="16"/>
        <v>0</v>
      </c>
      <c r="AR38" s="3">
        <f t="shared" si="16"/>
        <v>0</v>
      </c>
      <c r="AS38" s="3">
        <f t="shared" si="16"/>
        <v>0</v>
      </c>
      <c r="AT38" s="3">
        <f t="shared" si="16"/>
        <v>0</v>
      </c>
      <c r="AU38" s="3">
        <f t="shared" si="16"/>
        <v>0</v>
      </c>
      <c r="AV38" s="3">
        <f t="shared" si="16"/>
        <v>0</v>
      </c>
      <c r="AW38" s="3">
        <f t="shared" si="16"/>
        <v>0</v>
      </c>
      <c r="AX38" s="3">
        <f t="shared" si="16"/>
        <v>0</v>
      </c>
      <c r="AY38" s="3">
        <f t="shared" si="16"/>
        <v>0</v>
      </c>
      <c r="AZ38" s="3">
        <f t="shared" si="16"/>
        <v>0</v>
      </c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ref="BU38:EF38" si="17">SUM(BU7:BU36)</f>
        <v>0</v>
      </c>
      <c r="BV38" s="3">
        <f t="shared" si="17"/>
        <v>0</v>
      </c>
      <c r="BW38" s="3">
        <f t="shared" si="17"/>
        <v>0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si="17"/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ref="EG38:GR38" si="18">SUM(EG7:EG36)</f>
        <v>0</v>
      </c>
      <c r="EH38" s="3">
        <f t="shared" si="18"/>
        <v>0</v>
      </c>
      <c r="EI38" s="3">
        <f t="shared" si="18"/>
        <v>0</v>
      </c>
      <c r="EJ38" s="3">
        <f t="shared" si="18"/>
        <v>0</v>
      </c>
      <c r="EK38" s="3">
        <f t="shared" si="18"/>
        <v>0</v>
      </c>
      <c r="EL38" s="3">
        <f t="shared" si="18"/>
        <v>0</v>
      </c>
      <c r="EM38" s="3">
        <f t="shared" si="18"/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ref="GS38:GX38" si="19">SUM(GS7:GS36)</f>
        <v>0</v>
      </c>
      <c r="GT38" s="3">
        <f t="shared" si="19"/>
        <v>0</v>
      </c>
      <c r="GU38" s="3">
        <f t="shared" si="19"/>
        <v>0</v>
      </c>
      <c r="GV38" s="3">
        <f t="shared" si="19"/>
        <v>0</v>
      </c>
      <c r="GW38" s="3">
        <f t="shared" si="19"/>
        <v>0</v>
      </c>
      <c r="GX38" s="3">
        <f t="shared" si="19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" priority="92" percent="1" rank="10"/>
  </conditionalFormatting>
  <conditionalFormatting sqref="AZ7 H7 J7 L7 N7 P7 R7 T7 V7 X7 Z7 AB7 AD7 AF7 AH7 AJ7 AL7 AN7 AP7 AR7 AT7 AV7 AX7">
    <cfRule type="top10" dxfId="90" priority="91" percent="1" rank="10"/>
  </conditionalFormatting>
  <conditionalFormatting sqref="FA7:FX7 FZ7:GW7">
    <cfRule type="top10" dxfId="89" priority="90" percent="1" rank="10"/>
  </conditionalFormatting>
  <conditionalFormatting sqref="H8 J8 L8 N8 P8 R8 T8 V8 X8 Z8 AB8 AD8 AF8 AH8 AJ8 AL8 AN8 AP8 AR8 AT8 AV8 AX8 AZ8 BB8">
    <cfRule type="top10" dxfId="88" priority="89" percent="1" rank="10"/>
  </conditionalFormatting>
  <conditionalFormatting sqref="H9 J9 L9 N9 P9 R9 T9 V9 X9 Z9 AB9 AD9 AF9 AH9 AJ9 AL9 AN9 AP9 AR9 AT9 AV9 AZ9 AX9 BB9">
    <cfRule type="top10" dxfId="87" priority="88" percent="1" rank="10"/>
  </conditionalFormatting>
  <conditionalFormatting sqref="J10 H10 L10 N10 P10 R10 T10 V10 X10 Z10 AB10 AD10 AF10 AH10 AJ10 AL10 AN10 AP10 AR10 AT10 AV10 AX10 AZ10 BB10">
    <cfRule type="top10" dxfId="86" priority="87" percent="1" rank="10"/>
  </conditionalFormatting>
  <conditionalFormatting sqref="BB11 AZ11 AX11 AV11 AT11 AR11 AP11 AN11 AL11 AJ11 AH11 AF11 AD11 AB11 Z11 X11 V11 T11 R11 P11 N11 L11 J11 H11">
    <cfRule type="top10" dxfId="85" priority="86" percent="1" rank="10"/>
  </conditionalFormatting>
  <conditionalFormatting sqref="BB12 AZ12 AX12 AV12 AT12 AR12 AP12 AN12 AL12 AJ12 AH12 AF12 AD12 AB12 Z12 X12 V12 T12 R12 P12 N12 L12 J12 H12">
    <cfRule type="top10" dxfId="84" priority="85" percent="1" rank="10"/>
  </conditionalFormatting>
  <conditionalFormatting sqref="H13 J13 L13 N13 P13 R13 T13 V13 X13 Z13 AB13 AD13 AF13 AH13 AJ13 AL13 AN13 AP13 AR13 AT13 AV13 AX13 AZ13 BB13">
    <cfRule type="top10" dxfId="83" priority="84" percent="1" rank="10"/>
  </conditionalFormatting>
  <conditionalFormatting sqref="BB14 AZ14 AX14 AV14 AT14 AR14 AP14 AL14 AN14 AJ14 AH14 AF14 AD14 AB14 Z14 X14 V14 T14 R14 P14 N14 L14 J14 H14">
    <cfRule type="top10" dxfId="82" priority="83" percent="1" rank="10"/>
  </conditionalFormatting>
  <conditionalFormatting sqref="H15 J15 L15 N15 P15 R15 T15 V15 X15 Z15 AB15 AD15 AF15 AH15 AJ15 AL15 AN15 AP15 AR15 AT15 AV15 AX15 AZ15 BB15">
    <cfRule type="top10" dxfId="81" priority="82" percent="1" rank="10"/>
  </conditionalFormatting>
  <conditionalFormatting sqref="BB16 AZ16 AX16 AV16 AT16 AR16 AP16 AN16 AL16 AJ16 AH16 AF16 AD16 AB16 Z16 X16 V16 T16 R16 P16 N16 L16 J16 H16">
    <cfRule type="top10" dxfId="80" priority="81" percent="1" rank="10"/>
  </conditionalFormatting>
  <conditionalFormatting sqref="H17 J17 L17 N17 P17 R17 T17 V17 X17 Z17 AB17 AD17 AF17 AH17 AJ17 AL17 AN17 AP17 AR17 AT17 AV17 AX17 AZ17 BB17">
    <cfRule type="top10" dxfId="79" priority="80" percent="1" rank="10"/>
  </conditionalFormatting>
  <conditionalFormatting sqref="H18 J18 L18 N18 P18 R18 T18 V18 X18 Z18 AB18 AD18 AF18 AH18 AJ18 AL18 AN18 AP18 AR18 AT18 AV18 AX18 AZ18 BB18">
    <cfRule type="top10" dxfId="78" priority="79" percent="1" rank="10"/>
  </conditionalFormatting>
  <conditionalFormatting sqref="BB19 AZ19 AX19 AV19 AT19 AR19 AP19 AN19 AL19 AJ19 AH19 AF19 AD19 AB19 Z19 X19 V19 T19 R19 P19 N19 L19 J19 H19">
    <cfRule type="top10" dxfId="77" priority="78" percent="1" rank="10"/>
  </conditionalFormatting>
  <conditionalFormatting sqref="H20 J20 N20 L20 P20 R20 T20 X20 V20 Z20 AB20 AD20 AF20 AH20 AJ20 AL20 AN20 AP20 AR20 AT20 AV20 AX20 AZ20 BB20">
    <cfRule type="top10" dxfId="76" priority="77" percent="1" rank="10"/>
  </conditionalFormatting>
  <conditionalFormatting sqref="BB21 AZ21 AX21 AV21 AT21 AR21 AP21 AN21 AL21 AJ21 AH21 AF21 AD21 AB21 Z21 X21 V21 T21 R21 P21 N21 L21 J21 H21">
    <cfRule type="top10" dxfId="75" priority="76" percent="1" rank="10"/>
  </conditionalFormatting>
  <conditionalFormatting sqref="H22 J22 L22 N22 P22 R22 T22 V22 X22 Z22 AB22 AD22 AF22 AH22 AJ22 AL22 AN22 AP22 AR22 AT22 AV22 AX22 AZ22 BB22">
    <cfRule type="top10" dxfId="74" priority="75" percent="1" rank="10"/>
  </conditionalFormatting>
  <conditionalFormatting sqref="BB23 AZ23 AX23 AV23 AT23 AR23 AP23 AN23 AL23 AJ23 AH23 AF23 AD23 AB23 Z23 X23 V23 T23 R23 P23 N23 L23 J23 H23">
    <cfRule type="top10" dxfId="73" priority="74" percent="1" rank="10"/>
  </conditionalFormatting>
  <conditionalFormatting sqref="H24 J24 L24 N24 P24 R24 T24 V24 X24 Z24 AB24 AD24 AF24 AH24 AJ24 AL24 AN24 AP24 AR24 AT24 AV24 AX24 AZ24 BB24">
    <cfRule type="top10" dxfId="72" priority="73" percent="1" rank="10"/>
  </conditionalFormatting>
  <conditionalFormatting sqref="BB25 AZ25 AX25 AV25 AT25 AR25 AP25 AN25 AL25 AJ25 AH25 AF25 AD25 AB25 Z25 X25 V25 T25 R25 P25 N25 L25 J25 H25">
    <cfRule type="top10" dxfId="71" priority="72" percent="1" rank="10"/>
  </conditionalFormatting>
  <conditionalFormatting sqref="BB26 AZ26 AX26 AV26 AT26 AR26 AP26 AN26 AL26 AJ26 AH26 AF26 AD26 AB26 Z26 X26 V26 T26 R26 P26 N26 L26 J26 H26">
    <cfRule type="top10" dxfId="70" priority="71" percent="1" rank="10"/>
  </conditionalFormatting>
  <conditionalFormatting sqref="H27 J27 L27 N27 P27 R27 T27 V27 X27 Z27 AB27 AD27 AF27 AH27 AJ27 AL27 AN27 AP27 AR27 AT27 AV27 AX27 AZ27 BB27">
    <cfRule type="top10" dxfId="69" priority="70" percent="1" rank="10"/>
  </conditionalFormatting>
  <conditionalFormatting sqref="BB28 AZ28 AX28 AV28 AT28 AR28 AP28 AN28 AL28 AJ28 AH28 AF28 AD28 AB28 Z28 X28 V28 T28 R28 P28 N28 L28 J28 H28">
    <cfRule type="top10" dxfId="68" priority="69" percent="1" rank="10"/>
  </conditionalFormatting>
  <conditionalFormatting sqref="BB29 AZ29 AX29 AV29 AT29 AR29 AP29 AN29 AL29 AJ29 AH29 AF29 AD29 AB29 Z29 X29 V29 T29 R29 P29 N29 L29 J29 H29">
    <cfRule type="top10" dxfId="67" priority="68" percent="1" rank="10"/>
  </conditionalFormatting>
  <conditionalFormatting sqref="H30 J30 L30 N30 P30 R30 T30 V30 X30 Z30 AB30 AD30 AF30 AH30 AJ30 AL30 AN30 AP30 AR30 AT30 AV30 AX30 AZ30 BB30">
    <cfRule type="top10" dxfId="66" priority="67" percent="1" rank="10"/>
  </conditionalFormatting>
  <conditionalFormatting sqref="BB31 AZ31 AX31 AV31 AT31 AR31 AP31 AN31 AL31 AJ31 AH31 AF31 AD31 AB31 Z31 X31 V31 T31 R31 P31 N31 L31 J31 H31">
    <cfRule type="top10" dxfId="65" priority="66" percent="1" rank="10"/>
  </conditionalFormatting>
  <conditionalFormatting sqref="H32 J32 L32 N32 P32 R32 T32 V32 X32 Z32 AB32 AD32 AF32 AH32 AJ32 AL32 AN32 AP32 AR32 AT32 AV32 AX32 AZ32 BB32">
    <cfRule type="top10" dxfId="64" priority="65" percent="1" rank="10"/>
  </conditionalFormatting>
  <conditionalFormatting sqref="BB33 AZ33 AX33 AV33 AT33 AR33 AP33 AN33 AL33 AJ33 AH33 AF33 AD33 AB33 Z33 X33 V33 T33 R33 P33 N33 L33 J33 H33">
    <cfRule type="top10" dxfId="63" priority="64" percent="1" rank="10"/>
  </conditionalFormatting>
  <conditionalFormatting sqref="H34 J34 L34 N34 P34 R34 T34 V34 X34 Z34 AB34 AD34 AF34 AH34 AJ34 AL34 AN34 AP34 AR34 AT34 AV34 AX34 AZ34 BB34">
    <cfRule type="top10" dxfId="62" priority="63" percent="1" rank="10"/>
  </conditionalFormatting>
  <conditionalFormatting sqref="BB35 AZ35 AV35 AX35 AT35 AR35 AP35 AN35 AL35 AJ35 AH35 AF35 AD35 AB35 Z35 X35 V35 T35 R35 P35 N35 L35 J35 H35">
    <cfRule type="top10" dxfId="6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0" priority="61" percent="1" rank="10"/>
  </conditionalFormatting>
  <conditionalFormatting sqref="BD7:BD37">
    <cfRule type="top10" dxfId="59" priority="60" percent="1" rank="10"/>
  </conditionalFormatting>
  <conditionalFormatting sqref="BC8 BA8 AY8 AW8 AU8 AS8 AQ8 AO8 AM8 AK8 AI8 AG8 AE8 AC8 AA8 Y8 W8 U8 S8 Q8 O8 M8 K8 I8">
    <cfRule type="top10" dxfId="58" priority="59" percent="1" rank="10"/>
  </conditionalFormatting>
  <conditionalFormatting sqref="I9 K9 M9 O9 Q9 S9 U9 W9 Y9 AA9 AC9 AE9 AG9 AI9 AK9 AM9 AO9 AQ9 AS9 AU9 AW9 AY9 BA9 BC9">
    <cfRule type="top10" dxfId="57" priority="58" percent="1" rank="10"/>
  </conditionalFormatting>
  <conditionalFormatting sqref="I10 K10 M10 Q10 O10 S10 W10 U10 Y10 AA10 AC10 AE10 AG10 AI10 AK10 AM10 AO10 AQ10 AS10 AU10 AW10 AY10 BA10 BC10">
    <cfRule type="top10" dxfId="56" priority="57" percent="1" rank="10"/>
  </conditionalFormatting>
  <conditionalFormatting sqref="BC11 BA11 AY11 AW11 AU11 AS11 AQ11 AO11 AM11 AK11 AI11 AG11 AE11 AC11 AA11 Y11 W11 U11 S11 Q11 O11 M11 K11 I11">
    <cfRule type="top10" dxfId="55" priority="56" percent="1" rank="10"/>
  </conditionalFormatting>
  <conditionalFormatting sqref="I12 K12 M12 O12 Q12 S12 U12 Y12 W12 AA12 AC12 AE12 AG12 AI12 AK12 AM12 AO12 AQ12 AS12 AU12 AW12 AY12 BA12 BC12">
    <cfRule type="top10" dxfId="54" priority="55" percent="1" rank="10"/>
  </conditionalFormatting>
  <conditionalFormatting sqref="BC13 BA13 AY13 AW13 AU13 AS13 AQ13 AO13 AM13 AK13 AI13 AG13 AE13 AC13 AA13 Y13 W13 U13 S13 Q13 O13 M13 K13 I13">
    <cfRule type="top10" dxfId="53" priority="54" percent="1" rank="10"/>
  </conditionalFormatting>
  <conditionalFormatting sqref="BC14 BA14 AY14 AW14 AU14 AS14 AQ14 AO14 AM14 AK14 AI14 AG14 AE14 AC14 AA14 Y14 W14 U14 S14 Q14 O14 M14 K14 I14">
    <cfRule type="top10" dxfId="52" priority="53" percent="1" rank="10"/>
  </conditionalFormatting>
  <conditionalFormatting sqref="I15 K15 M15 O15 Q15 S15 U15 W15 Y15 AA15 AC15 AE15 AG15 AI15 AK15 AM15 AO15 AQ15 AS15 AU15 AW15 AY15 BA15 BC15">
    <cfRule type="top10" dxfId="51" priority="52" percent="1" rank="10"/>
  </conditionalFormatting>
  <conditionalFormatting sqref="BC16 BA16 AY16 AW16 AU16 AS16 AQ16 AO16 AM16 AK16 AI16 AG16 AE16 AC16 AA16 Y16 W16 U16 S16 Q16 O16 M16 K16 I16">
    <cfRule type="top10" dxfId="50" priority="51" percent="1" rank="10"/>
  </conditionalFormatting>
  <conditionalFormatting sqref="I17 K17 M17 O17 Q17 U17 S17 W17 Y17 AA17 AC17 AE17 AG17 AI17 AK17 AM17 AO17 AQ17 AS17 AU17 AW17 AY17 BA17 BC17">
    <cfRule type="top10" dxfId="49" priority="50" percent="1" rank="10"/>
  </conditionalFormatting>
  <conditionalFormatting sqref="BC18 BA18 AY18 AW18 AU18 AS18 AQ18 AO18 AM18 AK18 AI18 AG18 AE18 AC18 AA18 Y18 W18 U18 S18 Q18 O18 M18 K18 I18">
    <cfRule type="top10" dxfId="48" priority="49" percent="1" rank="10"/>
  </conditionalFormatting>
  <conditionalFormatting sqref="I19 K19 M19 O19 Q19 S19 U19 W19 Y19 AA19 AC19 AE19 AG19 AI19 AK19 AM19 AO19 AQ19 AS19 AU19 AW19 AY19 BA19 BC19">
    <cfRule type="top10" dxfId="47" priority="48" percent="1" rank="10"/>
  </conditionalFormatting>
  <conditionalFormatting sqref="BC20 BA20 AY20 AW20 AU20 AS20 AQ20 AO20 AM20 AK20 AI20 AG20 AE20 AC20 AA20 W20 Y20 U20 S20 Q20 O20 M20 K20 I20">
    <cfRule type="top10" dxfId="46" priority="47" percent="1" rank="10"/>
  </conditionalFormatting>
  <conditionalFormatting sqref="I21 K21 M21 O21 Q21 S21 U21 W21 Y21 AA21 AC21 AE21 AG21 AI21 AK21 AM21 AO21 AQ21 AS21 AU21 AW21 AY21 BA21 BC21">
    <cfRule type="top10" dxfId="45" priority="46" percent="1" rank="10"/>
  </conditionalFormatting>
  <conditionalFormatting sqref="BC22 BA22 AY22 AW22 AU22 AS22 AQ22 AO22 AM22 AK22 AI22 AG22 AE22 AC22 AA22 Y22 W22 U22 S22 Q22 O22 M22 K22 I22">
    <cfRule type="top10" dxfId="44" priority="45" percent="1" rank="10"/>
  </conditionalFormatting>
  <conditionalFormatting sqref="I23 K23 O23 M23 Q23 S23 U23 W23 Y23 AA23 AC23 AE23 AG23 AI23 AK23 AM23 AO23 AQ23 AS23 AU23 AW23 AY23 BA23 BC23">
    <cfRule type="top10" dxfId="43" priority="44" percent="1" rank="10"/>
  </conditionalFormatting>
  <conditionalFormatting sqref="BC24 BA24 AY24 AW24 AU24 AS24 AQ24 AO24 AM24 AK24 AI24 AG24 AE24 AC24 AA24 Y24 W24 U24 S24 Q24 O24 M24 K24 I24">
    <cfRule type="top10" dxfId="42" priority="43" percent="1" rank="10"/>
  </conditionalFormatting>
  <conditionalFormatting sqref="I25 K25 M25 O25 Q25 S25 U25 W25 Y25 AA25 AC25 AE25 AG25 AI25 AK25 AM25 AO25 AQ25 AS25 AU25 AW25 AY25 BA25 BC25">
    <cfRule type="top10" dxfId="41" priority="42" percent="1" rank="10"/>
  </conditionalFormatting>
  <conditionalFormatting sqref="BC26 BA26 AY26 AW26 AU26 AS26 AQ26 AO26 AM26 AK26 AI26 AG26 AE26 AC26 AA26 Y26 W26 U26 S26 Q26 O26 M26 K26 I26">
    <cfRule type="top10" dxfId="40" priority="41" percent="1" rank="10"/>
  </conditionalFormatting>
  <conditionalFormatting sqref="I27 K27 M27 O27 Q27 S27 U27 W27 Y27 AA27 AC27 AE27 AG27 AI27 AK27 AM27 AO27 AQ27 AS27 AU27 AW27 AY27 BA27 BC27">
    <cfRule type="top10" dxfId="39" priority="40" percent="1" rank="10"/>
  </conditionalFormatting>
  <conditionalFormatting sqref="BC28 BA28 AY28 AW28 AU28 AS28 AQ28 AO28 AM28 AK28 AI28 AG28 AE28 AC28 AA28 Y28 W28 U28 S28 Q28 O28 M28 K28 I28">
    <cfRule type="top10" dxfId="38" priority="39" percent="1" rank="10"/>
  </conditionalFormatting>
  <conditionalFormatting sqref="I29 K29 M29 Q29 O29 S29 U29 Y29 W29 AA29 AC29 AE29 AG29 AI29 AK29 AM29 AO29 AQ29 AS29 AU29 AW29 AY29 BA29 BC29">
    <cfRule type="top10" dxfId="37" priority="38" percent="1" rank="10"/>
  </conditionalFormatting>
  <conditionalFormatting sqref="BC30 BA30 AY30 AW30 AU30 AS30 AQ30 AO30 AM30 AK30 AI30 AE30 AG30 AC30 AA30 Y30 W30 U30 S30 Q30 O30 M30 K30 I30">
    <cfRule type="top10" dxfId="36" priority="37" percent="1" rank="10"/>
  </conditionalFormatting>
  <conditionalFormatting sqref="I31 K31 M31 O31 Q31 S31 W31 U31 Y31 AC31 AA31 AE31 AG31 AI31 AK31 AM31 AO31 AQ31 AS31 AU31 AW31 AY31 BA31 BC31">
    <cfRule type="top10" dxfId="35" priority="36" percent="1" rank="10"/>
  </conditionalFormatting>
  <conditionalFormatting sqref="BC32 BA32 AY32 AW32 AU32 AS32 AQ32 AO32 AM32 AK32 AI32 AG32 AE32 AC32 AA32 Y32 W32 U32 S32 Q32 O32 M32 K32 I32">
    <cfRule type="top10" dxfId="34" priority="35" percent="1" rank="10"/>
  </conditionalFormatting>
  <conditionalFormatting sqref="I33 K33 M33 O33 Q33 S33 U33 W33 Y33 AA33 AC33 AE33 AG33 AI33 AK33 AM33 AQ33 AO33 AS33 AU33 AW33 AY33 BA33 BC33">
    <cfRule type="top10" dxfId="33" priority="34" percent="1" rank="10"/>
  </conditionalFormatting>
  <conditionalFormatting sqref="BC34 BA34 AY34 AW34 AU34 AS34 AQ34 AO34 AM34 AK34 AI34 AG34 AE34 AC34 AA34 Y34 W34 U34 S34 Q34 O34 M34 K34 I34">
    <cfRule type="top10" dxfId="32" priority="33" percent="1" rank="10"/>
  </conditionalFormatting>
  <conditionalFormatting sqref="I35 K35 M35 O35 Q35 S35 U35 W35 Y35 AA35 AC35 AE35 AG35 AI35 AK35 AM35 AO35 AQ35 AS35 AU35 AW35 AY35 BA35 BC35">
    <cfRule type="top10" dxfId="3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" priority="31" percent="1" rank="10"/>
  </conditionalFormatting>
  <conditionalFormatting sqref="FZ8:GW8">
    <cfRule type="top10" dxfId="29" priority="30" percent="1" rank="10"/>
  </conditionalFormatting>
  <conditionalFormatting sqref="FZ9:GW9">
    <cfRule type="top10" dxfId="28" priority="29" percent="1" rank="10"/>
  </conditionalFormatting>
  <conditionalFormatting sqref="FZ10:GW10">
    <cfRule type="top10" dxfId="27" priority="28" percent="1" rank="10"/>
  </conditionalFormatting>
  <conditionalFormatting sqref="FZ11:GW11">
    <cfRule type="top10" dxfId="26" priority="27" percent="1" rank="10"/>
  </conditionalFormatting>
  <conditionalFormatting sqref="FZ12:GW12">
    <cfRule type="top10" dxfId="25" priority="26" percent="1" rank="10"/>
  </conditionalFormatting>
  <conditionalFormatting sqref="FZ13:GW13">
    <cfRule type="top10" dxfId="24" priority="25" percent="1" rank="10"/>
  </conditionalFormatting>
  <conditionalFormatting sqref="GX7:GX37">
    <cfRule type="top10" dxfId="23" priority="24" percent="1" rank="10"/>
  </conditionalFormatting>
  <conditionalFormatting sqref="FZ14:GW14">
    <cfRule type="top10" dxfId="22" priority="23" percent="1" rank="10"/>
  </conditionalFormatting>
  <conditionalFormatting sqref="FZ15:GW15">
    <cfRule type="top10" dxfId="21" priority="22" percent="1" rank="10"/>
  </conditionalFormatting>
  <conditionalFormatting sqref="FZ16:GW16">
    <cfRule type="top10" dxfId="20" priority="21" percent="1" rank="10"/>
  </conditionalFormatting>
  <conditionalFormatting sqref="FZ17:GW17">
    <cfRule type="top10" dxfId="19" priority="20" percent="1" rank="10"/>
  </conditionalFormatting>
  <conditionalFormatting sqref="FZ18:GW18">
    <cfRule type="top10" dxfId="18" priority="19" percent="1" rank="10"/>
  </conditionalFormatting>
  <conditionalFormatting sqref="FZ19:GW19">
    <cfRule type="top10" dxfId="17" priority="18" percent="1" rank="10"/>
  </conditionalFormatting>
  <conditionalFormatting sqref="FZ20:GW20">
    <cfRule type="top10" dxfId="16" priority="17" percent="1" rank="10"/>
  </conditionalFormatting>
  <conditionalFormatting sqref="FZ21:GW21">
    <cfRule type="top10" dxfId="15" priority="16" percent="1" rank="10"/>
  </conditionalFormatting>
  <conditionalFormatting sqref="FZ22:GW22">
    <cfRule type="top10" dxfId="14" priority="15" percent="1" rank="10"/>
  </conditionalFormatting>
  <conditionalFormatting sqref="FZ23:GW23">
    <cfRule type="top10" dxfId="13" priority="14" percent="1" rank="10"/>
  </conditionalFormatting>
  <conditionalFormatting sqref="FZ24:GW24">
    <cfRule type="top10" dxfId="12" priority="13" percent="1" rank="10"/>
  </conditionalFormatting>
  <conditionalFormatting sqref="FZ25:GW25">
    <cfRule type="top10" dxfId="11" priority="12" percent="1" rank="10"/>
  </conditionalFormatting>
  <conditionalFormatting sqref="FZ26:GW26">
    <cfRule type="top10" dxfId="10" priority="11" percent="1" rank="10"/>
  </conditionalFormatting>
  <conditionalFormatting sqref="FZ27:GW27">
    <cfRule type="top10" dxfId="9" priority="10" percent="1" rank="10"/>
  </conditionalFormatting>
  <conditionalFormatting sqref="FZ28:GW28">
    <cfRule type="top10" dxfId="8" priority="9" percent="1" rank="10"/>
  </conditionalFormatting>
  <conditionalFormatting sqref="FZ29:GW29">
    <cfRule type="top10" dxfId="7" priority="8" percent="1" rank="10"/>
  </conditionalFormatting>
  <conditionalFormatting sqref="FZ30:GW30">
    <cfRule type="top10" dxfId="6" priority="7" percent="1" rank="10"/>
  </conditionalFormatting>
  <conditionalFormatting sqref="FZ31:GW31">
    <cfRule type="top10" dxfId="5" priority="6" percent="1" rank="10"/>
  </conditionalFormatting>
  <conditionalFormatting sqref="FZ32:GW32">
    <cfRule type="top10" dxfId="4" priority="5" percent="1" rank="10"/>
  </conditionalFormatting>
  <conditionalFormatting sqref="FZ33:GW33">
    <cfRule type="top10" dxfId="3" priority="4" percent="1" rank="10"/>
  </conditionalFormatting>
  <conditionalFormatting sqref="FZ34:GW34">
    <cfRule type="top10" dxfId="2" priority="3" percent="1" rank="10"/>
  </conditionalFormatting>
  <conditionalFormatting sqref="FZ35:GW35">
    <cfRule type="top10" dxfId="1" priority="2" percent="1" rank="10"/>
  </conditionalFormatting>
  <conditionalFormatting sqref="FZ36:GW37">
    <cfRule type="top10" dxfId="0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基本シート</vt:lpstr>
      <vt:lpstr>10月</vt:lpstr>
      <vt:lpstr>11月</vt:lpstr>
      <vt:lpstr>12月</vt:lpstr>
      <vt:lpstr>1月</vt:lpstr>
      <vt:lpstr>2月</vt:lpstr>
      <vt:lpstr>比較</vt:lpstr>
      <vt:lpstr>CSV</vt:lpstr>
      <vt:lpstr>消費分析</vt:lpstr>
      <vt:lpstr>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2025-02-08T14:41:29Z</dcterms:modified>
</cp:coreProperties>
</file>
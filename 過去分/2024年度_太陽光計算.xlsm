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drawings/drawing9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F0B8185A-C520-4004-8CF3-849F6423FF04}" xr6:coauthVersionLast="47" xr6:coauthVersionMax="47" xr10:uidLastSave="{00000000-0000-0000-0000-000000000000}"/>
  <bookViews>
    <workbookView xWindow="-110" yWindow="-110" windowWidth="19420" windowHeight="10300" firstSheet="2" activeTab="6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比較" sheetId="8" r:id="rId7"/>
    <sheet name="昨年1月" sheetId="25" r:id="rId8"/>
    <sheet name="CSV" sheetId="3" r:id="rId9"/>
    <sheet name="消費分析" sheetId="6" r:id="rId10"/>
    <sheet name="フォーマット" sheetId="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8" l="1"/>
  <c r="I88" i="1" l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BE37" i="20"/>
  <c r="CE37" i="20"/>
  <c r="CG37" i="20"/>
  <c r="CI37" i="20"/>
  <c r="CK37" i="20"/>
  <c r="CM37" i="20"/>
  <c r="CO37" i="20"/>
  <c r="EZ37" i="20"/>
  <c r="GX37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AV38" i="20"/>
  <c r="AW38" i="20"/>
  <c r="AX38" i="20"/>
  <c r="AY38" i="20"/>
  <c r="AZ38" i="20"/>
  <c r="BA38" i="20"/>
  <c r="BB38" i="20"/>
  <c r="BC38" i="20"/>
  <c r="BD38" i="20"/>
  <c r="BE38" i="20"/>
  <c r="BF38" i="20"/>
  <c r="BG38" i="20"/>
  <c r="BH38" i="20"/>
  <c r="BI38" i="20"/>
  <c r="BJ38" i="20"/>
  <c r="BK38" i="20"/>
  <c r="BL38" i="20"/>
  <c r="BM38" i="20"/>
  <c r="BN38" i="20"/>
  <c r="BO38" i="20"/>
  <c r="BP38" i="20"/>
  <c r="BQ38" i="20"/>
  <c r="BR38" i="20"/>
  <c r="BS38" i="20"/>
  <c r="BT38" i="20"/>
  <c r="BU38" i="20"/>
  <c r="BV38" i="20"/>
  <c r="BW38" i="20"/>
  <c r="BX38" i="20"/>
  <c r="BY38" i="20"/>
  <c r="BZ38" i="20"/>
  <c r="CA38" i="20"/>
  <c r="CB38" i="20"/>
  <c r="CC38" i="20"/>
  <c r="CD38" i="20"/>
  <c r="CE38" i="20"/>
  <c r="CF38" i="20"/>
  <c r="CG38" i="20"/>
  <c r="CH38" i="20"/>
  <c r="CI38" i="20"/>
  <c r="CJ38" i="20"/>
  <c r="CK38" i="20"/>
  <c r="CL38" i="20"/>
  <c r="CM38" i="20"/>
  <c r="CN38" i="20"/>
  <c r="CO38" i="20"/>
  <c r="CP38" i="20"/>
  <c r="CQ38" i="20"/>
  <c r="CR38" i="20"/>
  <c r="CS38" i="20"/>
  <c r="CT38" i="20"/>
  <c r="CU38" i="20"/>
  <c r="CV38" i="20"/>
  <c r="CW38" i="20"/>
  <c r="CX38" i="20"/>
  <c r="CY38" i="20"/>
  <c r="CZ38" i="20"/>
  <c r="DA38" i="20"/>
  <c r="DB38" i="20"/>
  <c r="DC38" i="20"/>
  <c r="DD38" i="20"/>
  <c r="DE38" i="20"/>
  <c r="DF38" i="20"/>
  <c r="DG38" i="20"/>
  <c r="DH38" i="20"/>
  <c r="DI38" i="20"/>
  <c r="DJ38" i="20"/>
  <c r="DK38" i="20"/>
  <c r="DL38" i="20"/>
  <c r="DM38" i="20"/>
  <c r="DN38" i="20"/>
  <c r="DO38" i="20"/>
  <c r="DP38" i="20"/>
  <c r="DQ38" i="20"/>
  <c r="DR38" i="20"/>
  <c r="DS38" i="20"/>
  <c r="DT38" i="20"/>
  <c r="DU38" i="20"/>
  <c r="DV38" i="20"/>
  <c r="DW38" i="20"/>
  <c r="DX38" i="20"/>
  <c r="DY38" i="20"/>
  <c r="DZ38" i="20"/>
  <c r="EA38" i="20"/>
  <c r="EB38" i="20"/>
  <c r="EC38" i="20"/>
  <c r="ED38" i="20"/>
  <c r="EE38" i="20"/>
  <c r="EF38" i="20"/>
  <c r="EG38" i="20"/>
  <c r="EH38" i="20"/>
  <c r="EI38" i="20"/>
  <c r="EJ38" i="20"/>
  <c r="EK38" i="20"/>
  <c r="EL38" i="20"/>
  <c r="EM38" i="20"/>
  <c r="EN38" i="20"/>
  <c r="EO38" i="20"/>
  <c r="EP38" i="20"/>
  <c r="EQ38" i="20"/>
  <c r="ER38" i="20"/>
  <c r="ES38" i="20"/>
  <c r="ET38" i="20"/>
  <c r="EU38" i="20"/>
  <c r="EV38" i="20"/>
  <c r="EW38" i="20"/>
  <c r="EX38" i="20"/>
  <c r="EY38" i="20"/>
  <c r="EZ38" i="20"/>
  <c r="FA38" i="20"/>
  <c r="FB38" i="20"/>
  <c r="FC38" i="20"/>
  <c r="FD38" i="20"/>
  <c r="FE38" i="20"/>
  <c r="FF38" i="20"/>
  <c r="FG38" i="20"/>
  <c r="FH38" i="20"/>
  <c r="FI38" i="20"/>
  <c r="FJ38" i="20"/>
  <c r="FK38" i="20"/>
  <c r="FL38" i="20"/>
  <c r="FM38" i="20"/>
  <c r="FN38" i="20"/>
  <c r="FO38" i="20"/>
  <c r="FP38" i="20"/>
  <c r="FQ38" i="20"/>
  <c r="FR38" i="20"/>
  <c r="FS38" i="20"/>
  <c r="FT38" i="20"/>
  <c r="FU38" i="20"/>
  <c r="FV38" i="20"/>
  <c r="FW38" i="20"/>
  <c r="FX38" i="20"/>
  <c r="FY38" i="20"/>
  <c r="FZ38" i="20"/>
  <c r="GA38" i="20"/>
  <c r="GB38" i="20"/>
  <c r="GC38" i="20"/>
  <c r="GD38" i="20"/>
  <c r="GE38" i="20"/>
  <c r="GF38" i="20"/>
  <c r="GG38" i="20"/>
  <c r="GH38" i="20"/>
  <c r="GI38" i="20"/>
  <c r="GJ38" i="20"/>
  <c r="GK38" i="20"/>
  <c r="GL38" i="20"/>
  <c r="GM38" i="20"/>
  <c r="GN38" i="20"/>
  <c r="GO38" i="20"/>
  <c r="GP38" i="20"/>
  <c r="GQ38" i="20"/>
  <c r="GR38" i="20"/>
  <c r="GS38" i="20"/>
  <c r="GT38" i="20"/>
  <c r="GU38" i="20"/>
  <c r="GV38" i="20"/>
  <c r="GW38" i="20"/>
  <c r="GX38" i="20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X37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E38" i="24"/>
  <c r="CF38" i="24"/>
  <c r="CG38" i="24"/>
  <c r="CH38" i="24"/>
  <c r="CI38" i="24"/>
  <c r="CJ38" i="24"/>
  <c r="CK38" i="24"/>
  <c r="CL38" i="24"/>
  <c r="CM38" i="24"/>
  <c r="CN38" i="24"/>
  <c r="CO38" i="24"/>
  <c r="CP38" i="24"/>
  <c r="CQ38" i="24"/>
  <c r="CR38" i="24"/>
  <c r="CS38" i="24"/>
  <c r="CT38" i="24"/>
  <c r="CU38" i="24"/>
  <c r="CV38" i="24"/>
  <c r="CW38" i="24"/>
  <c r="CX38" i="24"/>
  <c r="CY38" i="24"/>
  <c r="CZ38" i="24"/>
  <c r="DA38" i="24"/>
  <c r="DB38" i="24"/>
  <c r="DC38" i="24"/>
  <c r="DD38" i="24"/>
  <c r="DE38" i="24"/>
  <c r="DF38" i="24"/>
  <c r="DG38" i="24"/>
  <c r="DH38" i="24"/>
  <c r="DI38" i="24"/>
  <c r="DJ38" i="24"/>
  <c r="DK38" i="24"/>
  <c r="DL38" i="24"/>
  <c r="DM38" i="24"/>
  <c r="DN38" i="24"/>
  <c r="DO38" i="24"/>
  <c r="DP38" i="24"/>
  <c r="DQ38" i="24"/>
  <c r="DR38" i="24"/>
  <c r="DS38" i="24"/>
  <c r="DT38" i="24"/>
  <c r="DU38" i="24"/>
  <c r="DV38" i="24"/>
  <c r="DW38" i="24"/>
  <c r="DX38" i="24"/>
  <c r="DY38" i="24"/>
  <c r="DZ38" i="24"/>
  <c r="EA38" i="24"/>
  <c r="EB38" i="24"/>
  <c r="EC38" i="24"/>
  <c r="ED38" i="24"/>
  <c r="EE38" i="24"/>
  <c r="EF38" i="24"/>
  <c r="EG38" i="24"/>
  <c r="EH38" i="24"/>
  <c r="EI38" i="24"/>
  <c r="EJ38" i="24"/>
  <c r="EK38" i="24"/>
  <c r="EL38" i="24"/>
  <c r="EM38" i="24"/>
  <c r="EN38" i="24"/>
  <c r="EO38" i="24"/>
  <c r="EP38" i="24"/>
  <c r="EQ38" i="24"/>
  <c r="ER38" i="24"/>
  <c r="ES38" i="24"/>
  <c r="ET38" i="24"/>
  <c r="EU38" i="24"/>
  <c r="EV38" i="24"/>
  <c r="EW38" i="24"/>
  <c r="EX38" i="24"/>
  <c r="EY38" i="24"/>
  <c r="EZ38" i="24"/>
  <c r="FA38" i="24"/>
  <c r="FB38" i="24"/>
  <c r="FC38" i="24"/>
  <c r="FD38" i="24"/>
  <c r="FE38" i="24"/>
  <c r="FF38" i="24"/>
  <c r="FG38" i="24"/>
  <c r="FH38" i="24"/>
  <c r="FI38" i="24"/>
  <c r="FJ38" i="24"/>
  <c r="FK38" i="24"/>
  <c r="FL38" i="24"/>
  <c r="FM38" i="24"/>
  <c r="FN38" i="24"/>
  <c r="FO38" i="24"/>
  <c r="FP38" i="24"/>
  <c r="FQ38" i="24"/>
  <c r="FR38" i="24"/>
  <c r="FS38" i="24"/>
  <c r="FT38" i="24"/>
  <c r="FU38" i="24"/>
  <c r="FV38" i="24"/>
  <c r="FW38" i="24"/>
  <c r="FX38" i="24"/>
  <c r="FY38" i="24"/>
  <c r="FZ38" i="24"/>
  <c r="GA38" i="24"/>
  <c r="GB38" i="24"/>
  <c r="GC38" i="24"/>
  <c r="GD38" i="24"/>
  <c r="GE38" i="24"/>
  <c r="GF38" i="24"/>
  <c r="GG38" i="24"/>
  <c r="GH38" i="24"/>
  <c r="GI38" i="24"/>
  <c r="GJ38" i="24"/>
  <c r="GK38" i="24"/>
  <c r="GL38" i="24"/>
  <c r="GM38" i="24"/>
  <c r="GN38" i="24"/>
  <c r="GO38" i="24"/>
  <c r="GP38" i="24"/>
  <c r="GQ38" i="24"/>
  <c r="GR38" i="24"/>
  <c r="GS38" i="24"/>
  <c r="GT38" i="24"/>
  <c r="GU38" i="24"/>
  <c r="GV38" i="24"/>
  <c r="GW38" i="24"/>
  <c r="GX38" i="24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U38" i="23"/>
  <c r="BV38" i="23"/>
  <c r="BW38" i="23"/>
  <c r="BX38" i="23"/>
  <c r="BY38" i="23"/>
  <c r="BZ38" i="23"/>
  <c r="CA38" i="23"/>
  <c r="CB38" i="23"/>
  <c r="CC38" i="23"/>
  <c r="CD38" i="23"/>
  <c r="CE38" i="23"/>
  <c r="CF38" i="23"/>
  <c r="V38" i="23"/>
  <c r="T38" i="23"/>
  <c r="GX37" i="22"/>
  <c r="FY37" i="22"/>
  <c r="EZ37" i="22"/>
  <c r="BE37" i="22"/>
  <c r="GX37" i="23"/>
  <c r="FY37" i="23"/>
  <c r="EZ37" i="23"/>
  <c r="CE37" i="23"/>
  <c r="BE37" i="23"/>
  <c r="BE37" i="7"/>
  <c r="DZ37" i="20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EA34" i="24"/>
  <c r="DZ34" i="24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EA31" i="24"/>
  <c r="DZ31" i="24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EA29" i="24"/>
  <c r="DZ29" i="24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EA24" i="24"/>
  <c r="DZ24" i="24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EA21" i="24"/>
  <c r="DZ21" i="24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EA16" i="24"/>
  <c r="DZ16" i="24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38" i="1"/>
  <c r="L39" i="1"/>
  <c r="L40" i="1"/>
  <c r="L41" i="1"/>
  <c r="L42" i="1"/>
  <c r="L43" i="1"/>
  <c r="L44" i="1"/>
  <c r="L45" i="1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L86" i="1" l="1"/>
  <c r="L77" i="1"/>
  <c r="L79" i="1"/>
  <c r="L87" i="1"/>
  <c r="C81" i="1"/>
  <c r="L81" i="1" s="1"/>
  <c r="L85" i="1"/>
  <c r="L84" i="1"/>
  <c r="I79" i="1"/>
  <c r="I85" i="1"/>
  <c r="L83" i="1"/>
  <c r="L82" i="1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AA13" i="24"/>
  <c r="I2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K13" i="22"/>
  <c r="AC13" i="22"/>
  <c r="AU13" i="22"/>
  <c r="O14" i="22"/>
  <c r="AM14" i="22"/>
  <c r="S20" i="22"/>
  <c r="AY20" i="22"/>
  <c r="AC27" i="22"/>
  <c r="I10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Y13" i="22"/>
  <c r="K14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BA13" i="22"/>
  <c r="AK13" i="22"/>
  <c r="U13" i="22"/>
  <c r="AQ13" i="22"/>
  <c r="BC14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E34" i="1"/>
  <c r="H34" i="1"/>
  <c r="K34" i="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L89" i="1" l="1"/>
  <c r="N31" i="1"/>
  <c r="J31" i="1" s="1"/>
  <c r="I77" i="1"/>
  <c r="K63" i="1"/>
  <c r="BE12" i="24"/>
  <c r="BE14" i="24"/>
  <c r="BE20" i="24"/>
  <c r="BE19" i="24"/>
  <c r="BE30" i="24"/>
  <c r="BE35" i="24"/>
  <c r="BE24" i="24"/>
  <c r="BE11" i="24"/>
  <c r="BE10" i="24"/>
  <c r="BE27" i="24"/>
  <c r="BE9" i="24"/>
  <c r="BE17" i="24"/>
  <c r="BE33" i="24"/>
  <c r="BE18" i="24"/>
  <c r="I38" i="24"/>
  <c r="BE7" i="24"/>
  <c r="M38" i="24"/>
  <c r="O38" i="24"/>
  <c r="BE26" i="24"/>
  <c r="BE32" i="24"/>
  <c r="S38" i="24"/>
  <c r="Q38" i="24"/>
  <c r="BE31" i="24"/>
  <c r="BE16" i="24"/>
  <c r="BE22" i="24"/>
  <c r="BE23" i="24"/>
  <c r="BE29" i="24"/>
  <c r="BE15" i="24"/>
  <c r="BE28" i="24"/>
  <c r="BE36" i="24"/>
  <c r="BE13" i="24"/>
  <c r="BE34" i="24"/>
  <c r="BE25" i="24"/>
  <c r="BE21" i="24"/>
  <c r="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M23" i="21"/>
  <c r="EA7" i="21"/>
  <c r="S23" i="21"/>
  <c r="I9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I36" i="21"/>
  <c r="AO36" i="21"/>
  <c r="M29" i="21"/>
  <c r="AO29" i="21"/>
  <c r="K36" i="21"/>
  <c r="AQ36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AE18" i="20"/>
  <c r="Q19" i="20"/>
  <c r="U20" i="20"/>
  <c r="K25" i="20"/>
  <c r="AS25" i="20"/>
  <c r="AS32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AO33" i="23" l="1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7" l="1"/>
  <c r="BE15" i="7"/>
  <c r="W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Q38" i="22"/>
  <c r="BE21" i="23"/>
  <c r="BE36" i="23"/>
  <c r="BE20" i="23"/>
  <c r="BE8" i="23"/>
  <c r="BE12" i="22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O38" i="22"/>
  <c r="M38" i="22"/>
  <c r="BE15" i="22"/>
  <c r="BE26" i="22"/>
  <c r="BE24" i="22"/>
  <c r="BE9" i="23"/>
  <c r="BE29" i="22"/>
  <c r="BE25" i="7"/>
  <c r="BE23" i="7"/>
  <c r="BE11" i="22"/>
  <c r="BE22" i="22"/>
  <c r="BE33" i="22"/>
  <c r="BE13" i="23"/>
  <c r="BE30" i="22"/>
  <c r="BE16" i="7"/>
  <c r="BE24" i="7"/>
  <c r="BE8" i="7"/>
  <c r="BE18" i="7"/>
  <c r="BE35" i="20"/>
  <c r="BE8" i="20"/>
  <c r="BE17" i="20"/>
  <c r="BE7" i="21"/>
  <c r="BE23" i="20"/>
  <c r="BE36" i="20"/>
  <c r="BE31" i="20"/>
  <c r="BE28" i="20"/>
  <c r="BE16" i="20"/>
  <c r="BE7" i="20"/>
  <c r="BE12" i="21"/>
  <c r="BE11" i="21"/>
  <c r="BE14" i="21"/>
  <c r="BE10" i="20"/>
  <c r="BE34" i="20"/>
  <c r="BE22" i="20"/>
  <c r="BE24" i="20"/>
  <c r="BE15" i="20"/>
  <c r="BE27" i="20"/>
  <c r="BE14" i="20"/>
  <c r="BE13" i="21"/>
  <c r="BE29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BE21" i="21"/>
  <c r="BE20" i="21"/>
  <c r="BE19" i="21"/>
  <c r="BE18" i="21"/>
  <c r="BE17" i="21"/>
  <c r="M88" i="1"/>
  <c r="BE20" i="7"/>
  <c r="L71" i="1"/>
  <c r="J85" i="1"/>
  <c r="BE13" i="20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H36" i="1"/>
  <c r="K35" i="1"/>
  <c r="K64" i="1" s="1"/>
  <c r="H35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G79" i="1"/>
  <c r="H65" i="1"/>
  <c r="H64" i="1"/>
  <c r="G78" i="1"/>
  <c r="E64" i="1"/>
  <c r="D78" i="1"/>
  <c r="BE38" i="8"/>
  <c r="J78" i="1" l="1"/>
  <c r="L64" i="1"/>
  <c r="M78" i="1"/>
  <c r="E36" i="1"/>
  <c r="L36" i="1" s="1"/>
  <c r="K31" i="1" s="1"/>
  <c r="J79" i="1" l="1"/>
  <c r="E65" i="1"/>
  <c r="D79" i="1"/>
  <c r="M79" i="1" s="1"/>
  <c r="L65" i="1"/>
  <c r="L31" i="1" l="1"/>
  <c r="BC7" i="7" l="1"/>
  <c r="BD7" i="7"/>
  <c r="BE7" i="7" l="1"/>
</calcChain>
</file>

<file path=xl/sharedStrings.xml><?xml version="1.0" encoding="utf-8"?>
<sst xmlns="http://schemas.openxmlformats.org/spreadsheetml/2006/main" count="6542" uniqueCount="435">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</sst>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6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8000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4142</c:v>
                </c:pt>
                <c:pt idx="6">
                  <c:v>608</c:v>
                </c:pt>
                <c:pt idx="7">
                  <c:v>317</c:v>
                </c:pt>
                <c:pt idx="8">
                  <c:v>543</c:v>
                </c:pt>
                <c:pt idx="9">
                  <c:v>1014</c:v>
                </c:pt>
                <c:pt idx="10">
                  <c:v>1491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15613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17533</c:v>
                </c:pt>
                <c:pt idx="6">
                  <c:v>18568</c:v>
                </c:pt>
                <c:pt idx="7">
                  <c:v>19970</c:v>
                </c:pt>
                <c:pt idx="8">
                  <c:v>16835</c:v>
                </c:pt>
                <c:pt idx="9">
                  <c:v>15486</c:v>
                </c:pt>
                <c:pt idx="10">
                  <c:v>11627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898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41054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29227</c:v>
                </c:pt>
                <c:pt idx="6">
                  <c:v>27728</c:v>
                </c:pt>
                <c:pt idx="7">
                  <c:v>28643</c:v>
                </c:pt>
                <c:pt idx="8">
                  <c:v>25831</c:v>
                </c:pt>
                <c:pt idx="9">
                  <c:v>25345</c:v>
                </c:pt>
                <c:pt idx="10">
                  <c:v>20310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2807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8477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13391</c:v>
                </c:pt>
                <c:pt idx="6">
                  <c:v>17960</c:v>
                </c:pt>
                <c:pt idx="7">
                  <c:v>19653</c:v>
                </c:pt>
                <c:pt idx="8">
                  <c:v>16292</c:v>
                </c:pt>
                <c:pt idx="9">
                  <c:v>14472</c:v>
                </c:pt>
                <c:pt idx="10">
                  <c:v>10136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-14715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9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9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9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9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9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9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9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9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9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9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9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9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9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9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9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9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9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3" Type="http://schemas.openxmlformats.org/officeDocument/2006/relationships/ctrlProp" Target="../ctrlProps/ctrlProp152.xml"/><Relationship Id="rId7" Type="http://schemas.openxmlformats.org/officeDocument/2006/relationships/ctrlProp" Target="../ctrlProps/ctrlProp15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5" Type="http://schemas.openxmlformats.org/officeDocument/2006/relationships/ctrlProp" Target="../ctrlProps/ctrlProp15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5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26" Type="http://schemas.openxmlformats.org/officeDocument/2006/relationships/ctrlProp" Target="../ctrlProps/ctrlProp183.xml"/><Relationship Id="rId3" Type="http://schemas.openxmlformats.org/officeDocument/2006/relationships/ctrlProp" Target="../ctrlProps/ctrlProp160.xml"/><Relationship Id="rId21" Type="http://schemas.openxmlformats.org/officeDocument/2006/relationships/ctrlProp" Target="../ctrlProps/ctrlProp178.xml"/><Relationship Id="rId7" Type="http://schemas.openxmlformats.org/officeDocument/2006/relationships/ctrlProp" Target="../ctrlProps/ctrlProp164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25" Type="http://schemas.openxmlformats.org/officeDocument/2006/relationships/ctrlProp" Target="../ctrlProps/ctrlProp182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73.xml"/><Relationship Id="rId20" Type="http://schemas.openxmlformats.org/officeDocument/2006/relationships/ctrlProp" Target="../ctrlProps/ctrlProp177.xml"/><Relationship Id="rId29" Type="http://schemas.openxmlformats.org/officeDocument/2006/relationships/ctrlProp" Target="../ctrlProps/ctrlProp186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63.xml"/><Relationship Id="rId11" Type="http://schemas.openxmlformats.org/officeDocument/2006/relationships/ctrlProp" Target="../ctrlProps/ctrlProp168.xml"/><Relationship Id="rId24" Type="http://schemas.openxmlformats.org/officeDocument/2006/relationships/ctrlProp" Target="../ctrlProps/ctrlProp181.xml"/><Relationship Id="rId32" Type="http://schemas.openxmlformats.org/officeDocument/2006/relationships/ctrlProp" Target="../ctrlProps/ctrlProp189.xml"/><Relationship Id="rId5" Type="http://schemas.openxmlformats.org/officeDocument/2006/relationships/ctrlProp" Target="../ctrlProps/ctrlProp162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10" Type="http://schemas.openxmlformats.org/officeDocument/2006/relationships/ctrlProp" Target="../ctrlProps/ctrlProp167.xml"/><Relationship Id="rId19" Type="http://schemas.openxmlformats.org/officeDocument/2006/relationships/ctrlProp" Target="../ctrlProps/ctrlProp176.xml"/><Relationship Id="rId31" Type="http://schemas.openxmlformats.org/officeDocument/2006/relationships/ctrlProp" Target="../ctrlProps/ctrlProp18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4" Type="http://schemas.openxmlformats.org/officeDocument/2006/relationships/ctrlProp" Target="../ctrlProps/ctrlProp171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30" Type="http://schemas.openxmlformats.org/officeDocument/2006/relationships/ctrlProp" Target="../ctrlProps/ctrlProp1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opLeftCell="A58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197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255</v>
      </c>
      <c r="E5" t="s">
        <v>331</v>
      </c>
    </row>
    <row r="6" spans="2:10" x14ac:dyDescent="0.55000000000000004">
      <c r="B6" t="s">
        <v>93</v>
      </c>
      <c r="C6" s="2">
        <f t="shared" ref="C6:C12" si="0">$C$2</f>
        <v>29.86</v>
      </c>
      <c r="D6" s="2"/>
      <c r="E6" t="s">
        <v>319</v>
      </c>
      <c r="F6" t="s">
        <v>332</v>
      </c>
    </row>
    <row r="7" spans="2:10" x14ac:dyDescent="0.55000000000000004">
      <c r="B7" t="s">
        <v>94</v>
      </c>
      <c r="C7" s="2">
        <f t="shared" si="0"/>
        <v>29.86</v>
      </c>
      <c r="D7" s="2"/>
      <c r="E7" t="s">
        <v>320</v>
      </c>
      <c r="F7" t="s">
        <v>332</v>
      </c>
    </row>
    <row r="8" spans="2:10" x14ac:dyDescent="0.55000000000000004">
      <c r="B8" t="s">
        <v>95</v>
      </c>
      <c r="C8" s="2">
        <f t="shared" si="0"/>
        <v>29.86</v>
      </c>
      <c r="D8" s="2"/>
      <c r="E8" t="s">
        <v>321</v>
      </c>
      <c r="F8" t="s">
        <v>332</v>
      </c>
    </row>
    <row r="9" spans="2:10" x14ac:dyDescent="0.55000000000000004">
      <c r="B9" t="s">
        <v>96</v>
      </c>
      <c r="C9" s="2">
        <f t="shared" si="0"/>
        <v>29.86</v>
      </c>
      <c r="D9" s="2"/>
      <c r="E9" t="s">
        <v>322</v>
      </c>
      <c r="F9" t="s">
        <v>332</v>
      </c>
    </row>
    <row r="10" spans="2:10" x14ac:dyDescent="0.55000000000000004">
      <c r="B10" t="s">
        <v>97</v>
      </c>
      <c r="C10" s="2">
        <f t="shared" si="0"/>
        <v>29.86</v>
      </c>
      <c r="D10" s="2"/>
      <c r="E10" t="s">
        <v>323</v>
      </c>
      <c r="F10" t="s">
        <v>332</v>
      </c>
    </row>
    <row r="11" spans="2:10" x14ac:dyDescent="0.55000000000000004">
      <c r="B11" t="s">
        <v>98</v>
      </c>
      <c r="C11" s="2">
        <f t="shared" si="0"/>
        <v>29.86</v>
      </c>
      <c r="D11" s="2"/>
      <c r="E11" t="s">
        <v>324</v>
      </c>
      <c r="F11" t="s">
        <v>332</v>
      </c>
    </row>
    <row r="12" spans="2:10" x14ac:dyDescent="0.55000000000000004">
      <c r="B12" t="s">
        <v>99</v>
      </c>
      <c r="C12" s="2">
        <f t="shared" si="0"/>
        <v>29.86</v>
      </c>
      <c r="D12" s="2"/>
      <c r="E12" t="s">
        <v>325</v>
      </c>
      <c r="F12" t="s">
        <v>332</v>
      </c>
    </row>
    <row r="13" spans="2:10" x14ac:dyDescent="0.55000000000000004">
      <c r="B13" t="s">
        <v>100</v>
      </c>
      <c r="C13" s="2">
        <f t="shared" ref="C13:C26" si="1">$D$2</f>
        <v>36.86</v>
      </c>
      <c r="D13" s="2"/>
      <c r="E13" t="s">
        <v>326</v>
      </c>
      <c r="F13" t="s">
        <v>332</v>
      </c>
    </row>
    <row r="14" spans="2:10" x14ac:dyDescent="0.55000000000000004">
      <c r="B14" t="s">
        <v>101</v>
      </c>
      <c r="C14" s="2">
        <f t="shared" si="1"/>
        <v>36.86</v>
      </c>
      <c r="D14" s="2"/>
      <c r="E14" t="s">
        <v>327</v>
      </c>
      <c r="F14" t="s">
        <v>332</v>
      </c>
    </row>
    <row r="15" spans="2:10" x14ac:dyDescent="0.55000000000000004">
      <c r="B15" t="s">
        <v>102</v>
      </c>
      <c r="C15" s="2">
        <f t="shared" si="1"/>
        <v>36.86</v>
      </c>
      <c r="D15" s="2"/>
      <c r="E15" t="s">
        <v>328</v>
      </c>
      <c r="F15" t="s">
        <v>318</v>
      </c>
    </row>
    <row r="16" spans="2:10" x14ac:dyDescent="0.55000000000000004">
      <c r="B16" t="s">
        <v>103</v>
      </c>
      <c r="C16" s="2">
        <f t="shared" si="1"/>
        <v>36.86</v>
      </c>
      <c r="D16" s="2"/>
      <c r="E16" t="s">
        <v>329</v>
      </c>
      <c r="F16" t="s">
        <v>318</v>
      </c>
    </row>
    <row r="17" spans="2:14" x14ac:dyDescent="0.55000000000000004">
      <c r="B17" t="s">
        <v>104</v>
      </c>
      <c r="C17" s="2">
        <f t="shared" si="1"/>
        <v>36.86</v>
      </c>
      <c r="D17" s="2"/>
      <c r="E17" t="s">
        <v>330</v>
      </c>
      <c r="F17" t="s">
        <v>318</v>
      </c>
    </row>
    <row r="18" spans="2:14" x14ac:dyDescent="0.55000000000000004">
      <c r="B18" t="s">
        <v>105</v>
      </c>
      <c r="C18" s="2">
        <f t="shared" si="1"/>
        <v>36.86</v>
      </c>
      <c r="D18" s="2"/>
    </row>
    <row r="19" spans="2:14" x14ac:dyDescent="0.55000000000000004">
      <c r="B19" t="s">
        <v>106</v>
      </c>
      <c r="C19" s="2">
        <f t="shared" si="1"/>
        <v>36.86</v>
      </c>
      <c r="D19" s="2"/>
    </row>
    <row r="20" spans="2:14" x14ac:dyDescent="0.55000000000000004">
      <c r="B20" t="s">
        <v>107</v>
      </c>
      <c r="C20" s="2">
        <f t="shared" si="1"/>
        <v>36.86</v>
      </c>
      <c r="D20" s="2"/>
    </row>
    <row r="21" spans="2:14" x14ac:dyDescent="0.55000000000000004">
      <c r="B21" t="s">
        <v>108</v>
      </c>
      <c r="C21" s="2">
        <f t="shared" si="1"/>
        <v>36.86</v>
      </c>
      <c r="D21" s="2"/>
    </row>
    <row r="22" spans="2:14" x14ac:dyDescent="0.55000000000000004">
      <c r="B22" t="s">
        <v>109</v>
      </c>
      <c r="C22" s="2">
        <f t="shared" si="1"/>
        <v>36.86</v>
      </c>
      <c r="D22" s="2"/>
    </row>
    <row r="23" spans="2:14" x14ac:dyDescent="0.55000000000000004">
      <c r="B23" t="s">
        <v>110</v>
      </c>
      <c r="C23" s="2">
        <f t="shared" si="1"/>
        <v>36.86</v>
      </c>
      <c r="D23" s="2"/>
    </row>
    <row r="24" spans="2:14" x14ac:dyDescent="0.55000000000000004">
      <c r="B24" t="s">
        <v>111</v>
      </c>
      <c r="C24" s="2">
        <f t="shared" si="1"/>
        <v>36.86</v>
      </c>
      <c r="D24" s="2"/>
    </row>
    <row r="25" spans="2:14" x14ac:dyDescent="0.55000000000000004">
      <c r="B25" t="s">
        <v>112</v>
      </c>
      <c r="C25" s="2">
        <f t="shared" si="1"/>
        <v>36.86</v>
      </c>
      <c r="D25" s="2"/>
    </row>
    <row r="26" spans="2:14" x14ac:dyDescent="0.55000000000000004">
      <c r="B26" t="s">
        <v>113</v>
      </c>
      <c r="C26" s="2">
        <f t="shared" si="1"/>
        <v>36.86</v>
      </c>
      <c r="D26" s="2"/>
    </row>
    <row r="27" spans="2:14" x14ac:dyDescent="0.55000000000000004">
      <c r="B27" t="s">
        <v>114</v>
      </c>
      <c r="C27" s="2">
        <f t="shared" ref="C27" si="2">$C$2</f>
        <v>29.86</v>
      </c>
      <c r="D27" s="2"/>
    </row>
    <row r="28" spans="2:14" x14ac:dyDescent="0.55000000000000004">
      <c r="B28" t="s">
        <v>115</v>
      </c>
      <c r="C28" s="2">
        <f t="shared" ref="C28:C29" si="3">$C$2</f>
        <v>29.86</v>
      </c>
      <c r="D28" s="2"/>
    </row>
    <row r="29" spans="2:14" x14ac:dyDescent="0.55000000000000004">
      <c r="B29" t="s">
        <v>116</v>
      </c>
      <c r="C29" s="2">
        <f t="shared" si="3"/>
        <v>29.86</v>
      </c>
      <c r="D29" s="2"/>
    </row>
    <row r="30" spans="2:14" x14ac:dyDescent="0.55000000000000004">
      <c r="J30" t="s">
        <v>256</v>
      </c>
      <c r="K30" t="s">
        <v>258</v>
      </c>
      <c r="L30" t="s">
        <v>257</v>
      </c>
      <c r="M30" t="s">
        <v>256</v>
      </c>
      <c r="N30" t="s">
        <v>282</v>
      </c>
    </row>
    <row r="31" spans="2:14" x14ac:dyDescent="0.55000000000000004">
      <c r="C31" s="14" t="s">
        <v>203</v>
      </c>
      <c r="D31" t="s">
        <v>204</v>
      </c>
      <c r="E31" s="14" t="s">
        <v>262</v>
      </c>
      <c r="F31" t="s">
        <v>263</v>
      </c>
      <c r="J31">
        <f>M31-N31</f>
        <v>1669512</v>
      </c>
      <c r="K31">
        <f>SUM(L34:L45)</f>
        <v>56477</v>
      </c>
      <c r="L31">
        <f>ROUND(J31/K31,0)</f>
        <v>30</v>
      </c>
      <c r="M31">
        <v>1916500</v>
      </c>
      <c r="N31">
        <f>SUM(L49:L60)</f>
        <v>246988</v>
      </c>
    </row>
    <row r="32" spans="2:14" x14ac:dyDescent="0.55000000000000004">
      <c r="C32">
        <v>24</v>
      </c>
      <c r="D32">
        <v>23</v>
      </c>
      <c r="E32">
        <v>5</v>
      </c>
      <c r="F32" t="s">
        <v>283</v>
      </c>
    </row>
    <row r="33" spans="1:13" x14ac:dyDescent="0.55000000000000004">
      <c r="C33" t="s">
        <v>206</v>
      </c>
      <c r="D33" t="s">
        <v>207</v>
      </c>
      <c r="E33" t="s">
        <v>202</v>
      </c>
      <c r="F33" t="s">
        <v>208</v>
      </c>
      <c r="G33" t="s">
        <v>209</v>
      </c>
      <c r="H33" t="s">
        <v>162</v>
      </c>
      <c r="I33" t="s">
        <v>210</v>
      </c>
      <c r="J33" t="s">
        <v>211</v>
      </c>
      <c r="K33" t="s">
        <v>212</v>
      </c>
      <c r="L33" t="s">
        <v>245</v>
      </c>
    </row>
    <row r="34" spans="1:13" x14ac:dyDescent="0.55000000000000004">
      <c r="B34" t="s">
        <v>205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284</v>
      </c>
    </row>
    <row r="35" spans="1:13" x14ac:dyDescent="0.55000000000000004">
      <c r="B35" t="s">
        <v>259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4">K35-(E35-H35)</f>
        <v>11669</v>
      </c>
    </row>
    <row r="36" spans="1:13" x14ac:dyDescent="0.55000000000000004">
      <c r="B36" t="s">
        <v>201</v>
      </c>
      <c r="C36">
        <v>6938</v>
      </c>
      <c r="D36">
        <v>17431</v>
      </c>
      <c r="E36">
        <f>SUM(C36:D36)</f>
        <v>24369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4"/>
        <v>11831</v>
      </c>
    </row>
    <row r="37" spans="1:13" x14ac:dyDescent="0.55000000000000004">
      <c r="B37" t="s">
        <v>246</v>
      </c>
      <c r="C37">
        <v>6200</v>
      </c>
      <c r="D37">
        <v>9413</v>
      </c>
      <c r="E37">
        <f t="shared" ref="E37:E45" si="5">SUM(C37:D37)</f>
        <v>15613</v>
      </c>
      <c r="F37">
        <v>898</v>
      </c>
      <c r="G37">
        <v>0</v>
      </c>
      <c r="H37">
        <f t="shared" ref="H37:H45" si="6">SUM(F37:G37)</f>
        <v>898</v>
      </c>
      <c r="I37">
        <v>8135</v>
      </c>
      <c r="J37">
        <v>9387</v>
      </c>
      <c r="K37">
        <f t="shared" ref="K37:K45" si="7">SUM(I37:J37)</f>
        <v>17522</v>
      </c>
      <c r="L37">
        <f t="shared" si="4"/>
        <v>2807</v>
      </c>
    </row>
    <row r="38" spans="1:13" x14ac:dyDescent="0.55000000000000004">
      <c r="B38" t="s">
        <v>247</v>
      </c>
      <c r="E38">
        <f t="shared" si="5"/>
        <v>0</v>
      </c>
      <c r="H38">
        <f t="shared" si="6"/>
        <v>0</v>
      </c>
      <c r="K38">
        <f t="shared" si="7"/>
        <v>0</v>
      </c>
      <c r="L38">
        <f t="shared" si="4"/>
        <v>0</v>
      </c>
    </row>
    <row r="39" spans="1:13" x14ac:dyDescent="0.55000000000000004">
      <c r="B39" t="s">
        <v>248</v>
      </c>
      <c r="E39">
        <f t="shared" si="5"/>
        <v>0</v>
      </c>
      <c r="H39">
        <f t="shared" si="6"/>
        <v>0</v>
      </c>
      <c r="K39">
        <f t="shared" si="7"/>
        <v>0</v>
      </c>
      <c r="L39">
        <f t="shared" si="4"/>
        <v>0</v>
      </c>
    </row>
    <row r="40" spans="1:13" x14ac:dyDescent="0.55000000000000004">
      <c r="B40" t="s">
        <v>249</v>
      </c>
      <c r="E40">
        <f t="shared" si="5"/>
        <v>0</v>
      </c>
      <c r="H40">
        <f t="shared" si="6"/>
        <v>0</v>
      </c>
      <c r="K40">
        <f t="shared" si="7"/>
        <v>0</v>
      </c>
      <c r="L40">
        <f t="shared" si="4"/>
        <v>0</v>
      </c>
    </row>
    <row r="41" spans="1:13" x14ac:dyDescent="0.55000000000000004">
      <c r="B41" t="s">
        <v>250</v>
      </c>
      <c r="E41">
        <f t="shared" si="5"/>
        <v>0</v>
      </c>
      <c r="H41">
        <f t="shared" si="6"/>
        <v>0</v>
      </c>
      <c r="K41">
        <f t="shared" si="7"/>
        <v>0</v>
      </c>
      <c r="L41">
        <f t="shared" si="4"/>
        <v>0</v>
      </c>
    </row>
    <row r="42" spans="1:13" x14ac:dyDescent="0.55000000000000004">
      <c r="B42" t="s">
        <v>251</v>
      </c>
      <c r="E42">
        <f t="shared" si="5"/>
        <v>0</v>
      </c>
      <c r="H42">
        <f t="shared" si="6"/>
        <v>0</v>
      </c>
      <c r="K42">
        <f t="shared" si="7"/>
        <v>0</v>
      </c>
      <c r="L42">
        <f t="shared" si="4"/>
        <v>0</v>
      </c>
    </row>
    <row r="43" spans="1:13" x14ac:dyDescent="0.55000000000000004">
      <c r="B43" t="s">
        <v>252</v>
      </c>
      <c r="E43">
        <f t="shared" si="5"/>
        <v>0</v>
      </c>
      <c r="H43">
        <f t="shared" si="6"/>
        <v>0</v>
      </c>
      <c r="K43">
        <f t="shared" si="7"/>
        <v>0</v>
      </c>
      <c r="L43">
        <f t="shared" si="4"/>
        <v>0</v>
      </c>
    </row>
    <row r="44" spans="1:13" x14ac:dyDescent="0.55000000000000004">
      <c r="B44" t="s">
        <v>253</v>
      </c>
      <c r="E44">
        <f t="shared" si="5"/>
        <v>0</v>
      </c>
      <c r="H44">
        <f t="shared" si="6"/>
        <v>0</v>
      </c>
      <c r="K44">
        <f t="shared" si="7"/>
        <v>0</v>
      </c>
      <c r="L44">
        <f t="shared" si="4"/>
        <v>0</v>
      </c>
    </row>
    <row r="45" spans="1:13" x14ac:dyDescent="0.55000000000000004">
      <c r="B45" t="s">
        <v>254</v>
      </c>
      <c r="E45">
        <f t="shared" si="5"/>
        <v>0</v>
      </c>
      <c r="H45">
        <f t="shared" si="6"/>
        <v>0</v>
      </c>
      <c r="K45">
        <f t="shared" si="7"/>
        <v>0</v>
      </c>
      <c r="L45">
        <f t="shared" si="4"/>
        <v>0</v>
      </c>
    </row>
    <row r="47" spans="1:13" x14ac:dyDescent="0.55000000000000004">
      <c r="A47" t="s">
        <v>271</v>
      </c>
    </row>
    <row r="48" spans="1:13" x14ac:dyDescent="0.55000000000000004">
      <c r="C48" t="s">
        <v>206</v>
      </c>
      <c r="D48" t="s">
        <v>207</v>
      </c>
      <c r="E48" t="s">
        <v>162</v>
      </c>
      <c r="F48" t="s">
        <v>208</v>
      </c>
      <c r="G48" t="s">
        <v>209</v>
      </c>
      <c r="H48" t="s">
        <v>162</v>
      </c>
      <c r="I48" t="s">
        <v>210</v>
      </c>
      <c r="J48" t="s">
        <v>211</v>
      </c>
      <c r="K48" t="s">
        <v>162</v>
      </c>
      <c r="L48" t="s">
        <v>245</v>
      </c>
    </row>
    <row r="49" spans="1:13" x14ac:dyDescent="0.55000000000000004">
      <c r="B49" t="s">
        <v>205</v>
      </c>
      <c r="C49">
        <v>2449</v>
      </c>
      <c r="D49">
        <v>5551</v>
      </c>
      <c r="E49">
        <v>8000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41054</v>
      </c>
      <c r="M49" t="s">
        <v>285</v>
      </c>
    </row>
    <row r="50" spans="1:13" x14ac:dyDescent="0.55000000000000004">
      <c r="B50" t="s">
        <v>259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246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247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248</v>
      </c>
      <c r="C54">
        <v>1899</v>
      </c>
      <c r="D54">
        <v>2243</v>
      </c>
      <c r="E54">
        <v>4142</v>
      </c>
      <c r="F54">
        <v>3756</v>
      </c>
      <c r="G54">
        <v>13777</v>
      </c>
      <c r="H54">
        <v>17533</v>
      </c>
      <c r="I54">
        <v>5094</v>
      </c>
      <c r="J54">
        <v>10742</v>
      </c>
      <c r="K54">
        <v>15836</v>
      </c>
      <c r="L54">
        <v>29227</v>
      </c>
    </row>
    <row r="55" spans="1:13" x14ac:dyDescent="0.55000000000000004">
      <c r="B55" t="s">
        <v>249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250</v>
      </c>
      <c r="C56">
        <v>115</v>
      </c>
      <c r="D56">
        <v>202</v>
      </c>
      <c r="E56">
        <v>317</v>
      </c>
      <c r="F56">
        <v>3941</v>
      </c>
      <c r="G56">
        <v>16029</v>
      </c>
      <c r="H56">
        <v>19970</v>
      </c>
      <c r="I56">
        <v>2370</v>
      </c>
      <c r="J56">
        <v>6620</v>
      </c>
      <c r="K56">
        <v>8990</v>
      </c>
      <c r="L56">
        <v>28643</v>
      </c>
    </row>
    <row r="57" spans="1:13" x14ac:dyDescent="0.55000000000000004">
      <c r="B57" t="s">
        <v>251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252</v>
      </c>
      <c r="C58">
        <v>276</v>
      </c>
      <c r="D58">
        <v>738</v>
      </c>
      <c r="E58">
        <v>1014</v>
      </c>
      <c r="F58">
        <v>2037</v>
      </c>
      <c r="G58">
        <v>13449</v>
      </c>
      <c r="H58">
        <v>15486</v>
      </c>
      <c r="I58">
        <v>2581</v>
      </c>
      <c r="J58">
        <v>8292</v>
      </c>
      <c r="K58">
        <v>10873</v>
      </c>
      <c r="L58">
        <v>25345</v>
      </c>
    </row>
    <row r="59" spans="1:13" x14ac:dyDescent="0.55000000000000004">
      <c r="B59" t="s">
        <v>253</v>
      </c>
      <c r="C59">
        <v>400</v>
      </c>
      <c r="D59">
        <v>1091</v>
      </c>
      <c r="E59">
        <v>1491</v>
      </c>
      <c r="F59">
        <v>2452</v>
      </c>
      <c r="G59">
        <v>9175</v>
      </c>
      <c r="H59">
        <v>11627</v>
      </c>
      <c r="I59">
        <v>2814</v>
      </c>
      <c r="J59">
        <v>7360</v>
      </c>
      <c r="K59">
        <v>10174</v>
      </c>
      <c r="L59">
        <v>20310</v>
      </c>
    </row>
    <row r="60" spans="1:13" x14ac:dyDescent="0.55000000000000004">
      <c r="B60" t="s">
        <v>254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286</v>
      </c>
    </row>
    <row r="62" spans="1:13" x14ac:dyDescent="0.55000000000000004">
      <c r="A62" t="s">
        <v>272</v>
      </c>
      <c r="C62" t="s">
        <v>206</v>
      </c>
      <c r="D62" t="s">
        <v>207</v>
      </c>
      <c r="E62" t="s">
        <v>162</v>
      </c>
      <c r="F62" t="s">
        <v>208</v>
      </c>
      <c r="G62" t="s">
        <v>209</v>
      </c>
      <c r="H62" t="s">
        <v>162</v>
      </c>
      <c r="I62" t="s">
        <v>210</v>
      </c>
      <c r="J62" t="s">
        <v>211</v>
      </c>
      <c r="K62" t="s">
        <v>162</v>
      </c>
      <c r="L62" t="s">
        <v>245</v>
      </c>
    </row>
    <row r="63" spans="1:13" x14ac:dyDescent="0.55000000000000004">
      <c r="B63" t="s">
        <v>205</v>
      </c>
      <c r="C63" s="16">
        <f>C34/C49</f>
        <v>0.69171090240914657</v>
      </c>
      <c r="D63" s="16">
        <f t="shared" ref="D63:L63" si="8">D34/D49</f>
        <v>1.125382813907404</v>
      </c>
      <c r="E63" s="16">
        <f t="shared" si="8"/>
        <v>0.99262499999999998</v>
      </c>
      <c r="F63" s="16">
        <f t="shared" si="8"/>
        <v>0.72592592592592597</v>
      </c>
      <c r="G63" s="16">
        <f t="shared" si="8"/>
        <v>1.5836308006119326</v>
      </c>
      <c r="H63" s="16">
        <f t="shared" si="8"/>
        <v>0.93008436001699335</v>
      </c>
      <c r="I63" s="16">
        <f t="shared" si="8"/>
        <v>0.46145337373154427</v>
      </c>
      <c r="J63" s="16">
        <f t="shared" si="8"/>
        <v>1.119399185336049</v>
      </c>
      <c r="K63" s="16">
        <f t="shared" si="8"/>
        <v>0.69945053258433865</v>
      </c>
      <c r="L63" s="16">
        <f t="shared" si="8"/>
        <v>0.73488576021824914</v>
      </c>
    </row>
    <row r="64" spans="1:13" x14ac:dyDescent="0.55000000000000004">
      <c r="B64" t="s">
        <v>259</v>
      </c>
      <c r="C64" s="16">
        <f t="shared" ref="C64:L64" si="9">C35/C50</f>
        <v>0.69801728520589734</v>
      </c>
      <c r="D64" s="16">
        <f t="shared" si="9"/>
        <v>0.94168304242284129</v>
      </c>
      <c r="E64" s="16">
        <f t="shared" si="9"/>
        <v>0.89654360519871912</v>
      </c>
      <c r="F64" s="16">
        <f t="shared" si="9"/>
        <v>2.4370860927152318</v>
      </c>
      <c r="G64" s="16">
        <f t="shared" si="9"/>
        <v>0.77812209482491479</v>
      </c>
      <c r="H64" s="16">
        <f t="shared" si="9"/>
        <v>0.98233695652173914</v>
      </c>
      <c r="I64" s="16">
        <f t="shared" si="9"/>
        <v>0.94758990053557768</v>
      </c>
      <c r="J64" s="16">
        <f t="shared" si="9"/>
        <v>1.1614815592046588</v>
      </c>
      <c r="K64" s="16">
        <f t="shared" si="9"/>
        <v>1.1154432047428877</v>
      </c>
      <c r="L64" s="16">
        <f t="shared" si="9"/>
        <v>1.7331055992870934</v>
      </c>
    </row>
    <row r="65" spans="1:13" x14ac:dyDescent="0.55000000000000004">
      <c r="B65" t="s">
        <v>195</v>
      </c>
      <c r="C65" s="16">
        <f t="shared" ref="C65:L65" si="10">C36/C51</f>
        <v>1.019994119376654</v>
      </c>
      <c r="D65" s="16">
        <f t="shared" si="10"/>
        <v>0.92227513227513225</v>
      </c>
      <c r="E65" s="16">
        <f t="shared" si="10"/>
        <v>0.94813633180297252</v>
      </c>
      <c r="F65" s="16">
        <f t="shared" si="10"/>
        <v>0.49675745784695202</v>
      </c>
      <c r="G65" s="16">
        <f t="shared" si="10"/>
        <v>0.76149345221510167</v>
      </c>
      <c r="H65" s="16">
        <f t="shared" si="10"/>
        <v>0.71467889908256876</v>
      </c>
      <c r="I65" s="16">
        <f t="shared" si="10"/>
        <v>1.1964360295141305</v>
      </c>
      <c r="J65" s="16">
        <f t="shared" si="10"/>
        <v>1.1403958090803259</v>
      </c>
      <c r="K65" s="16">
        <f t="shared" si="10"/>
        <v>1.1544420406169307</v>
      </c>
      <c r="L65" s="16">
        <f t="shared" si="10"/>
        <v>1.6171405139420449</v>
      </c>
    </row>
    <row r="66" spans="1:13" x14ac:dyDescent="0.55000000000000004">
      <c r="B66" t="s">
        <v>246</v>
      </c>
      <c r="C66" s="16">
        <f t="shared" ref="C66:L66" si="11">C37/C52</f>
        <v>0.95901005413766438</v>
      </c>
      <c r="D66" s="16">
        <f t="shared" si="11"/>
        <v>0.75972558514931399</v>
      </c>
      <c r="E66" s="16">
        <f t="shared" si="11"/>
        <v>0.82805621850967914</v>
      </c>
      <c r="F66" s="16">
        <f t="shared" si="11"/>
        <v>0.54227053140096615</v>
      </c>
      <c r="G66" s="16">
        <f t="shared" si="11"/>
        <v>0</v>
      </c>
      <c r="H66" s="16">
        <f t="shared" si="11"/>
        <v>0.12347036986113021</v>
      </c>
      <c r="I66" s="16">
        <f t="shared" si="11"/>
        <v>1.0890227576974565</v>
      </c>
      <c r="J66" s="16">
        <f t="shared" si="11"/>
        <v>0.47311123431278668</v>
      </c>
      <c r="K66" s="16">
        <f t="shared" si="11"/>
        <v>0.64157299256709754</v>
      </c>
      <c r="L66" s="16">
        <f t="shared" si="11"/>
        <v>0.17846016911437473</v>
      </c>
    </row>
    <row r="67" spans="1:13" x14ac:dyDescent="0.55000000000000004">
      <c r="B67" t="s">
        <v>247</v>
      </c>
      <c r="C67" s="16">
        <f t="shared" ref="C67:L67" si="12">C38/C53</f>
        <v>0</v>
      </c>
      <c r="D67" s="16">
        <f t="shared" si="12"/>
        <v>0</v>
      </c>
      <c r="E67" s="16">
        <f t="shared" si="12"/>
        <v>0</v>
      </c>
      <c r="F67" s="16">
        <f t="shared" si="12"/>
        <v>0</v>
      </c>
      <c r="G67" s="16">
        <f t="shared" si="12"/>
        <v>0</v>
      </c>
      <c r="H67" s="16">
        <f t="shared" si="12"/>
        <v>0</v>
      </c>
      <c r="I67" s="16">
        <f t="shared" si="12"/>
        <v>0</v>
      </c>
      <c r="J67" s="16">
        <f t="shared" si="12"/>
        <v>0</v>
      </c>
      <c r="K67" s="16">
        <f t="shared" si="12"/>
        <v>0</v>
      </c>
      <c r="L67" s="16">
        <f t="shared" si="12"/>
        <v>0</v>
      </c>
    </row>
    <row r="68" spans="1:13" x14ac:dyDescent="0.55000000000000004">
      <c r="B68" t="s">
        <v>248</v>
      </c>
      <c r="C68" s="16">
        <f t="shared" ref="C68:L68" si="13">C39/C54</f>
        <v>0</v>
      </c>
      <c r="D68" s="16">
        <f t="shared" si="13"/>
        <v>0</v>
      </c>
      <c r="E68" s="16">
        <f t="shared" si="13"/>
        <v>0</v>
      </c>
      <c r="F68" s="16">
        <f t="shared" si="13"/>
        <v>0</v>
      </c>
      <c r="G68" s="16">
        <f t="shared" si="13"/>
        <v>0</v>
      </c>
      <c r="H68" s="16">
        <f t="shared" si="13"/>
        <v>0</v>
      </c>
      <c r="I68" s="16">
        <f t="shared" si="13"/>
        <v>0</v>
      </c>
      <c r="J68" s="16">
        <f t="shared" si="13"/>
        <v>0</v>
      </c>
      <c r="K68" s="16">
        <f t="shared" si="13"/>
        <v>0</v>
      </c>
      <c r="L68" s="16">
        <f t="shared" si="13"/>
        <v>0</v>
      </c>
    </row>
    <row r="69" spans="1:13" x14ac:dyDescent="0.55000000000000004">
      <c r="B69" t="s">
        <v>249</v>
      </c>
      <c r="C69" s="16">
        <f t="shared" ref="C69:L69" si="14">C40/C55</f>
        <v>0</v>
      </c>
      <c r="D69" s="16">
        <f t="shared" si="14"/>
        <v>0</v>
      </c>
      <c r="E69" s="16">
        <f t="shared" si="14"/>
        <v>0</v>
      </c>
      <c r="F69" s="16">
        <f t="shared" si="14"/>
        <v>0</v>
      </c>
      <c r="G69" s="16">
        <f t="shared" si="14"/>
        <v>0</v>
      </c>
      <c r="H69" s="16">
        <f t="shared" si="14"/>
        <v>0</v>
      </c>
      <c r="I69" s="16">
        <f t="shared" si="14"/>
        <v>0</v>
      </c>
      <c r="J69" s="16">
        <f t="shared" si="14"/>
        <v>0</v>
      </c>
      <c r="K69" s="16">
        <f t="shared" si="14"/>
        <v>0</v>
      </c>
      <c r="L69" s="16">
        <f t="shared" si="14"/>
        <v>0</v>
      </c>
    </row>
    <row r="70" spans="1:13" x14ac:dyDescent="0.55000000000000004">
      <c r="B70" t="s">
        <v>250</v>
      </c>
      <c r="C70" s="16">
        <f t="shared" ref="C70:L70" si="15">C41/C56</f>
        <v>0</v>
      </c>
      <c r="D70" s="16">
        <f t="shared" si="15"/>
        <v>0</v>
      </c>
      <c r="E70" s="16">
        <f t="shared" si="15"/>
        <v>0</v>
      </c>
      <c r="F70" s="16">
        <f t="shared" si="15"/>
        <v>0</v>
      </c>
      <c r="G70" s="16">
        <f t="shared" si="15"/>
        <v>0</v>
      </c>
      <c r="H70" s="16">
        <f t="shared" si="15"/>
        <v>0</v>
      </c>
      <c r="I70" s="16">
        <f t="shared" si="15"/>
        <v>0</v>
      </c>
      <c r="J70" s="16">
        <f t="shared" si="15"/>
        <v>0</v>
      </c>
      <c r="K70" s="16">
        <f t="shared" si="15"/>
        <v>0</v>
      </c>
      <c r="L70" s="16">
        <f t="shared" si="15"/>
        <v>0</v>
      </c>
    </row>
    <row r="71" spans="1:13" x14ac:dyDescent="0.55000000000000004">
      <c r="B71" t="s">
        <v>251</v>
      </c>
      <c r="C71" s="16">
        <f t="shared" ref="C71:L71" si="16">C42/C57</f>
        <v>0</v>
      </c>
      <c r="D71" s="16">
        <f t="shared" si="16"/>
        <v>0</v>
      </c>
      <c r="E71" s="16">
        <f t="shared" si="16"/>
        <v>0</v>
      </c>
      <c r="F71" s="16">
        <f t="shared" si="16"/>
        <v>0</v>
      </c>
      <c r="G71" s="16">
        <f t="shared" si="16"/>
        <v>0</v>
      </c>
      <c r="H71" s="16">
        <f t="shared" si="16"/>
        <v>0</v>
      </c>
      <c r="I71" s="16">
        <f t="shared" si="16"/>
        <v>0</v>
      </c>
      <c r="J71" s="16">
        <f t="shared" si="16"/>
        <v>0</v>
      </c>
      <c r="K71" s="16">
        <f t="shared" si="16"/>
        <v>0</v>
      </c>
      <c r="L71" s="16">
        <f t="shared" si="16"/>
        <v>0</v>
      </c>
    </row>
    <row r="72" spans="1:13" x14ac:dyDescent="0.55000000000000004">
      <c r="B72" t="s">
        <v>252</v>
      </c>
      <c r="C72" s="16">
        <f t="shared" ref="C72:L72" si="17">C43/C58</f>
        <v>0</v>
      </c>
      <c r="D72" s="16">
        <f t="shared" si="17"/>
        <v>0</v>
      </c>
      <c r="E72" s="16">
        <f t="shared" si="17"/>
        <v>0</v>
      </c>
      <c r="F72" s="16">
        <f t="shared" si="17"/>
        <v>0</v>
      </c>
      <c r="G72" s="16">
        <f t="shared" si="17"/>
        <v>0</v>
      </c>
      <c r="H72" s="16">
        <f t="shared" si="17"/>
        <v>0</v>
      </c>
      <c r="I72" s="16">
        <f t="shared" si="17"/>
        <v>0</v>
      </c>
      <c r="J72" s="16">
        <f t="shared" si="17"/>
        <v>0</v>
      </c>
      <c r="K72" s="16">
        <f t="shared" si="17"/>
        <v>0</v>
      </c>
      <c r="L72" s="16">
        <f t="shared" si="17"/>
        <v>0</v>
      </c>
    </row>
    <row r="73" spans="1:13" x14ac:dyDescent="0.55000000000000004">
      <c r="B73" t="s">
        <v>253</v>
      </c>
      <c r="C73" s="16">
        <f t="shared" ref="C73:L73" si="18">C44/C59</f>
        <v>0</v>
      </c>
      <c r="D73" s="16">
        <f t="shared" si="18"/>
        <v>0</v>
      </c>
      <c r="E73" s="16">
        <f t="shared" si="18"/>
        <v>0</v>
      </c>
      <c r="F73" s="16">
        <f t="shared" si="18"/>
        <v>0</v>
      </c>
      <c r="G73" s="16">
        <f t="shared" si="18"/>
        <v>0</v>
      </c>
      <c r="H73" s="16">
        <f t="shared" si="18"/>
        <v>0</v>
      </c>
      <c r="I73" s="16">
        <f t="shared" si="18"/>
        <v>0</v>
      </c>
      <c r="J73" s="16">
        <f t="shared" si="18"/>
        <v>0</v>
      </c>
      <c r="K73" s="16">
        <f t="shared" si="18"/>
        <v>0</v>
      </c>
      <c r="L73" s="16">
        <f t="shared" si="18"/>
        <v>0</v>
      </c>
    </row>
    <row r="74" spans="1:13" x14ac:dyDescent="0.55000000000000004">
      <c r="B74" t="s">
        <v>254</v>
      </c>
      <c r="C74" s="16">
        <f t="shared" ref="C74:L74" si="19">C45/C60</f>
        <v>0</v>
      </c>
      <c r="D74" s="16"/>
      <c r="E74" s="16">
        <f t="shared" si="19"/>
        <v>0</v>
      </c>
      <c r="F74" s="16">
        <f t="shared" si="19"/>
        <v>0</v>
      </c>
      <c r="G74" s="16"/>
      <c r="H74" s="16">
        <f t="shared" si="19"/>
        <v>0</v>
      </c>
      <c r="I74" s="16">
        <f t="shared" si="19"/>
        <v>0</v>
      </c>
      <c r="J74" s="16"/>
      <c r="K74" s="16">
        <f>K45/K60</f>
        <v>0</v>
      </c>
      <c r="L74" s="16">
        <f t="shared" si="19"/>
        <v>0</v>
      </c>
    </row>
    <row r="76" spans="1:13" x14ac:dyDescent="0.55000000000000004">
      <c r="A76" t="s">
        <v>273</v>
      </c>
      <c r="B76" t="s">
        <v>274</v>
      </c>
      <c r="C76" t="s">
        <v>275</v>
      </c>
      <c r="D76" t="s">
        <v>276</v>
      </c>
      <c r="E76" t="s">
        <v>277</v>
      </c>
      <c r="F76" t="s">
        <v>275</v>
      </c>
      <c r="G76" t="s">
        <v>276</v>
      </c>
      <c r="H76" t="s">
        <v>278</v>
      </c>
      <c r="I76" t="s">
        <v>275</v>
      </c>
      <c r="J76" t="s">
        <v>276</v>
      </c>
      <c r="K76" t="s">
        <v>280</v>
      </c>
      <c r="L76" t="s">
        <v>275</v>
      </c>
      <c r="M76" t="s">
        <v>276</v>
      </c>
    </row>
    <row r="77" spans="1:13" hidden="1" x14ac:dyDescent="0.55000000000000004">
      <c r="B77" t="s">
        <v>205</v>
      </c>
      <c r="C77">
        <f>E49</f>
        <v>8000</v>
      </c>
      <c r="D77">
        <f>E34</f>
        <v>7941</v>
      </c>
      <c r="F77">
        <f>H49</f>
        <v>16477</v>
      </c>
      <c r="G77">
        <f>H34</f>
        <v>15325</v>
      </c>
      <c r="I77">
        <f>L49</f>
        <v>41054</v>
      </c>
      <c r="J77">
        <f>L34</f>
        <v>30170</v>
      </c>
      <c r="L77">
        <f>F77-C77</f>
        <v>8477</v>
      </c>
      <c r="M77">
        <f>G77-D77</f>
        <v>7384</v>
      </c>
    </row>
    <row r="78" spans="1:13" hidden="1" x14ac:dyDescent="0.55000000000000004">
      <c r="B78" t="s">
        <v>259</v>
      </c>
      <c r="C78">
        <f t="shared" ref="C78:C88" si="20">E50</f>
        <v>21236</v>
      </c>
      <c r="D78">
        <f t="shared" ref="D78:D88" si="21">E35</f>
        <v>19039</v>
      </c>
      <c r="F78">
        <f t="shared" ref="F78:F88" si="22">H50</f>
        <v>3680</v>
      </c>
      <c r="G78">
        <f t="shared" ref="G78:G88" si="23">H35</f>
        <v>3615</v>
      </c>
      <c r="I78">
        <f t="shared" ref="I78:I88" si="24">L50</f>
        <v>6733</v>
      </c>
      <c r="J78">
        <f t="shared" ref="J78:J88" si="25">L35</f>
        <v>11669</v>
      </c>
      <c r="L78">
        <f t="shared" ref="L78:L88" si="26">F78-C78</f>
        <v>-17556</v>
      </c>
      <c r="M78">
        <f t="shared" ref="M78:M88" si="27">G78-D78</f>
        <v>-15424</v>
      </c>
    </row>
    <row r="79" spans="1:13" hidden="1" x14ac:dyDescent="0.55000000000000004">
      <c r="B79" t="s">
        <v>195</v>
      </c>
      <c r="C79">
        <f t="shared" si="20"/>
        <v>25702</v>
      </c>
      <c r="D79">
        <f t="shared" si="21"/>
        <v>24369</v>
      </c>
      <c r="F79">
        <f t="shared" si="22"/>
        <v>4360</v>
      </c>
      <c r="G79">
        <f t="shared" si="23"/>
        <v>3116</v>
      </c>
      <c r="I79">
        <f t="shared" si="24"/>
        <v>7316</v>
      </c>
      <c r="J79">
        <f t="shared" si="25"/>
        <v>11831</v>
      </c>
      <c r="L79">
        <f t="shared" si="26"/>
        <v>-21342</v>
      </c>
      <c r="M79">
        <f t="shared" si="27"/>
        <v>-21253</v>
      </c>
    </row>
    <row r="80" spans="1:13" hidden="1" x14ac:dyDescent="0.55000000000000004">
      <c r="B80" t="s">
        <v>246</v>
      </c>
      <c r="C80">
        <f t="shared" si="20"/>
        <v>18855</v>
      </c>
      <c r="D80">
        <f t="shared" si="21"/>
        <v>15613</v>
      </c>
      <c r="F80">
        <f t="shared" si="22"/>
        <v>7273</v>
      </c>
      <c r="G80">
        <f t="shared" si="23"/>
        <v>898</v>
      </c>
      <c r="I80">
        <f t="shared" si="24"/>
        <v>15729</v>
      </c>
      <c r="J80">
        <f t="shared" si="25"/>
        <v>2807</v>
      </c>
      <c r="L80">
        <f t="shared" si="26"/>
        <v>-11582</v>
      </c>
      <c r="M80">
        <f t="shared" si="27"/>
        <v>-14715</v>
      </c>
    </row>
    <row r="81" spans="1:13" hidden="1" x14ac:dyDescent="0.55000000000000004">
      <c r="B81" t="s">
        <v>247</v>
      </c>
      <c r="C81">
        <f t="shared" si="20"/>
        <v>18393</v>
      </c>
      <c r="D81">
        <f t="shared" si="21"/>
        <v>0</v>
      </c>
      <c r="F81">
        <f t="shared" si="22"/>
        <v>5476</v>
      </c>
      <c r="G81">
        <f t="shared" si="23"/>
        <v>0</v>
      </c>
      <c r="I81">
        <f t="shared" si="24"/>
        <v>13029</v>
      </c>
      <c r="J81">
        <f t="shared" si="25"/>
        <v>0</v>
      </c>
      <c r="L81">
        <f t="shared" si="26"/>
        <v>-12917</v>
      </c>
      <c r="M81">
        <f t="shared" si="27"/>
        <v>0</v>
      </c>
    </row>
    <row r="82" spans="1:13" hidden="1" x14ac:dyDescent="0.55000000000000004">
      <c r="B82" t="s">
        <v>248</v>
      </c>
      <c r="C82">
        <f t="shared" si="20"/>
        <v>4142</v>
      </c>
      <c r="D82">
        <f t="shared" si="21"/>
        <v>0</v>
      </c>
      <c r="F82">
        <f t="shared" si="22"/>
        <v>17533</v>
      </c>
      <c r="G82">
        <f t="shared" si="23"/>
        <v>0</v>
      </c>
      <c r="I82">
        <f t="shared" si="24"/>
        <v>29227</v>
      </c>
      <c r="J82">
        <f t="shared" si="25"/>
        <v>0</v>
      </c>
      <c r="L82">
        <f t="shared" si="26"/>
        <v>13391</v>
      </c>
      <c r="M82">
        <f t="shared" si="27"/>
        <v>0</v>
      </c>
    </row>
    <row r="83" spans="1:13" hidden="1" x14ac:dyDescent="0.55000000000000004">
      <c r="B83" t="s">
        <v>249</v>
      </c>
      <c r="C83">
        <f t="shared" si="20"/>
        <v>608</v>
      </c>
      <c r="D83">
        <f t="shared" si="21"/>
        <v>0</v>
      </c>
      <c r="F83">
        <f t="shared" si="22"/>
        <v>18568</v>
      </c>
      <c r="G83">
        <f t="shared" si="23"/>
        <v>0</v>
      </c>
      <c r="I83">
        <f t="shared" si="24"/>
        <v>27728</v>
      </c>
      <c r="J83">
        <f t="shared" si="25"/>
        <v>0</v>
      </c>
      <c r="L83">
        <f t="shared" si="26"/>
        <v>17960</v>
      </c>
      <c r="M83">
        <f t="shared" si="27"/>
        <v>0</v>
      </c>
    </row>
    <row r="84" spans="1:13" hidden="1" x14ac:dyDescent="0.55000000000000004">
      <c r="B84" t="s">
        <v>250</v>
      </c>
      <c r="C84">
        <f t="shared" si="20"/>
        <v>317</v>
      </c>
      <c r="D84">
        <f t="shared" si="21"/>
        <v>0</v>
      </c>
      <c r="F84">
        <f t="shared" si="22"/>
        <v>19970</v>
      </c>
      <c r="G84">
        <f t="shared" si="23"/>
        <v>0</v>
      </c>
      <c r="I84">
        <f t="shared" si="24"/>
        <v>28643</v>
      </c>
      <c r="J84">
        <f t="shared" si="25"/>
        <v>0</v>
      </c>
      <c r="L84">
        <f t="shared" si="26"/>
        <v>19653</v>
      </c>
      <c r="M84">
        <f t="shared" si="27"/>
        <v>0</v>
      </c>
    </row>
    <row r="85" spans="1:13" hidden="1" x14ac:dyDescent="0.55000000000000004">
      <c r="B85" t="s">
        <v>251</v>
      </c>
      <c r="C85">
        <f t="shared" si="20"/>
        <v>543</v>
      </c>
      <c r="D85">
        <f t="shared" si="21"/>
        <v>0</v>
      </c>
      <c r="F85">
        <f t="shared" si="22"/>
        <v>16835</v>
      </c>
      <c r="G85">
        <f t="shared" si="23"/>
        <v>0</v>
      </c>
      <c r="I85">
        <f t="shared" si="24"/>
        <v>25831</v>
      </c>
      <c r="J85">
        <f t="shared" si="25"/>
        <v>0</v>
      </c>
      <c r="L85">
        <f t="shared" si="26"/>
        <v>16292</v>
      </c>
      <c r="M85">
        <f t="shared" si="27"/>
        <v>0</v>
      </c>
    </row>
    <row r="86" spans="1:13" hidden="1" x14ac:dyDescent="0.55000000000000004">
      <c r="B86" t="s">
        <v>252</v>
      </c>
      <c r="C86">
        <f t="shared" si="20"/>
        <v>1014</v>
      </c>
      <c r="D86">
        <f t="shared" si="21"/>
        <v>0</v>
      </c>
      <c r="F86">
        <f t="shared" si="22"/>
        <v>15486</v>
      </c>
      <c r="G86">
        <f t="shared" si="23"/>
        <v>0</v>
      </c>
      <c r="I86">
        <f t="shared" si="24"/>
        <v>25345</v>
      </c>
      <c r="J86">
        <f t="shared" si="25"/>
        <v>0</v>
      </c>
      <c r="L86">
        <f t="shared" si="26"/>
        <v>14472</v>
      </c>
      <c r="M86">
        <f t="shared" si="27"/>
        <v>0</v>
      </c>
    </row>
    <row r="87" spans="1:13" hidden="1" x14ac:dyDescent="0.55000000000000004">
      <c r="B87" t="s">
        <v>253</v>
      </c>
      <c r="C87">
        <f t="shared" si="20"/>
        <v>1491</v>
      </c>
      <c r="D87">
        <f t="shared" si="21"/>
        <v>0</v>
      </c>
      <c r="F87">
        <f t="shared" si="22"/>
        <v>11627</v>
      </c>
      <c r="G87">
        <f t="shared" si="23"/>
        <v>0</v>
      </c>
      <c r="I87">
        <f t="shared" si="24"/>
        <v>20310</v>
      </c>
      <c r="J87">
        <f t="shared" si="25"/>
        <v>0</v>
      </c>
      <c r="L87">
        <f t="shared" si="26"/>
        <v>10136</v>
      </c>
      <c r="M87">
        <f t="shared" si="27"/>
        <v>0</v>
      </c>
    </row>
    <row r="88" spans="1:13" hidden="1" x14ac:dyDescent="0.55000000000000004">
      <c r="B88" t="s">
        <v>254</v>
      </c>
      <c r="C88">
        <f t="shared" si="20"/>
        <v>207</v>
      </c>
      <c r="D88">
        <f t="shared" si="21"/>
        <v>0</v>
      </c>
      <c r="F88">
        <f t="shared" si="22"/>
        <v>4229</v>
      </c>
      <c r="G88">
        <f t="shared" si="23"/>
        <v>0</v>
      </c>
      <c r="I88">
        <f t="shared" si="24"/>
        <v>6043</v>
      </c>
      <c r="J88">
        <f t="shared" si="25"/>
        <v>0</v>
      </c>
      <c r="L88">
        <f t="shared" si="26"/>
        <v>4022</v>
      </c>
      <c r="M88">
        <f t="shared" si="27"/>
        <v>0</v>
      </c>
    </row>
    <row r="89" spans="1:13" x14ac:dyDescent="0.55000000000000004">
      <c r="K89" t="s">
        <v>281</v>
      </c>
      <c r="L89">
        <f>SUM(L77:L88)</f>
        <v>41006</v>
      </c>
    </row>
    <row r="91" spans="1:13" x14ac:dyDescent="0.55000000000000004">
      <c r="A91" t="s">
        <v>279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213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214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265</v>
      </c>
      <c r="G7" s="6" t="s">
        <v>267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215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265</v>
      </c>
      <c r="G8" s="6" t="s">
        <v>266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7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216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265</v>
      </c>
      <c r="G9" s="6" t="s">
        <v>266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217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266</v>
      </c>
      <c r="G10" s="6" t="s">
        <v>265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218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265</v>
      </c>
      <c r="G11" s="6" t="s">
        <v>267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219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265</v>
      </c>
      <c r="G12" s="6" t="s">
        <v>265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220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266</v>
      </c>
      <c r="G13" s="6" t="s">
        <v>266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221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265</v>
      </c>
      <c r="G14" s="6" t="s">
        <v>265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222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265</v>
      </c>
      <c r="G15" s="6" t="s">
        <v>267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223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265</v>
      </c>
      <c r="G16" s="6" t="s">
        <v>265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224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267</v>
      </c>
      <c r="G17" s="6" t="s">
        <v>267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225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267</v>
      </c>
      <c r="G18" s="6" t="s">
        <v>267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226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267</v>
      </c>
      <c r="G19" s="6" t="s">
        <v>267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227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267</v>
      </c>
      <c r="G20" s="6" t="s">
        <v>265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228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265</v>
      </c>
      <c r="G21" s="6" t="s">
        <v>266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229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266</v>
      </c>
      <c r="G22" s="6" t="s">
        <v>267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230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267</v>
      </c>
      <c r="G23" s="6" t="s">
        <v>265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231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265</v>
      </c>
      <c r="G24" s="6" t="s">
        <v>266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232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266</v>
      </c>
      <c r="G25" s="6" t="s">
        <v>265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233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267</v>
      </c>
      <c r="G26" s="6" t="s">
        <v>267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234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267</v>
      </c>
      <c r="G27" s="6" t="s">
        <v>265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235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265</v>
      </c>
      <c r="G28" s="6" t="s">
        <v>266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236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266</v>
      </c>
      <c r="G29" s="6" t="s">
        <v>266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237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267</v>
      </c>
      <c r="G30" s="6" t="s">
        <v>265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238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267</v>
      </c>
      <c r="G31" s="6" t="s">
        <v>267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239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267</v>
      </c>
      <c r="G32" s="6" t="s">
        <v>267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240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265</v>
      </c>
      <c r="G33" s="6" t="s">
        <v>265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241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265</v>
      </c>
      <c r="G34" s="6" t="s">
        <v>267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242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267</v>
      </c>
      <c r="G35" s="6" t="s">
        <v>265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243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266</v>
      </c>
      <c r="G36" s="6" t="s">
        <v>267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244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267</v>
      </c>
      <c r="G37" s="6" t="s">
        <v>267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>
        <f t="shared" si="8"/>
        <v>79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>
        <f t="shared" si="11"/>
        <v>7.07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>
        <f t="shared" si="13"/>
        <v>9.8000000000000025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BT38" si="16">SUM(I7:I36)</f>
        <v>61.511600000000008</v>
      </c>
      <c r="J38" s="3">
        <f t="shared" si="16"/>
        <v>2.5299999999999998</v>
      </c>
      <c r="K38" s="3">
        <f t="shared" si="16"/>
        <v>75.545799999999986</v>
      </c>
      <c r="L38" s="3">
        <f t="shared" si="16"/>
        <v>3.4600000000000004</v>
      </c>
      <c r="M38" s="3">
        <f t="shared" si="16"/>
        <v>103.31560000000002</v>
      </c>
      <c r="N38" s="3">
        <f t="shared" si="16"/>
        <v>5.0999999999999996</v>
      </c>
      <c r="O38" s="3">
        <f t="shared" si="16"/>
        <v>152.286</v>
      </c>
      <c r="P38" s="3">
        <f t="shared" si="16"/>
        <v>9.5300000000000029</v>
      </c>
      <c r="Q38" s="3">
        <f t="shared" si="16"/>
        <v>284.56580000000002</v>
      </c>
      <c r="R38" s="3">
        <f t="shared" si="16"/>
        <v>8.9600000000000009</v>
      </c>
      <c r="S38" s="3">
        <f t="shared" si="16"/>
        <v>267.54559999999998</v>
      </c>
      <c r="T38" s="3">
        <f t="shared" si="16"/>
        <v>5.8600000000000012</v>
      </c>
      <c r="U38" s="3">
        <f t="shared" si="16"/>
        <v>174.9796</v>
      </c>
      <c r="V38" s="3">
        <f t="shared" si="16"/>
        <v>1.87</v>
      </c>
      <c r="W38" s="3">
        <f t="shared" si="16"/>
        <v>62.978200000000008</v>
      </c>
      <c r="X38" s="3">
        <f t="shared" si="16"/>
        <v>0.29000000000000004</v>
      </c>
      <c r="Y38" s="3">
        <f t="shared" si="16"/>
        <v>10.269400000000001</v>
      </c>
      <c r="Z38" s="3">
        <f t="shared" si="16"/>
        <v>0.03</v>
      </c>
      <c r="AA38" s="3">
        <f t="shared" si="16"/>
        <v>0.96579999999999999</v>
      </c>
      <c r="AB38" s="3">
        <f t="shared" si="16"/>
        <v>0.14000000000000001</v>
      </c>
      <c r="AC38" s="3">
        <f t="shared" si="16"/>
        <v>4.1804000000000006</v>
      </c>
      <c r="AD38" s="3">
        <f t="shared" si="16"/>
        <v>0.11</v>
      </c>
      <c r="AE38" s="3">
        <f t="shared" si="16"/>
        <v>3.2846000000000002</v>
      </c>
      <c r="AF38" s="3">
        <f t="shared" si="16"/>
        <v>0.01</v>
      </c>
      <c r="AG38" s="3">
        <f t="shared" si="16"/>
        <v>0.36859999999999998</v>
      </c>
      <c r="AH38" s="3">
        <f t="shared" si="16"/>
        <v>0.01</v>
      </c>
      <c r="AI38" s="3">
        <f t="shared" si="16"/>
        <v>0.36859999999999998</v>
      </c>
      <c r="AJ38" s="3">
        <f t="shared" si="16"/>
        <v>0.02</v>
      </c>
      <c r="AK38" s="3">
        <f t="shared" si="16"/>
        <v>0.66720000000000002</v>
      </c>
      <c r="AL38" s="3">
        <f t="shared" si="16"/>
        <v>0</v>
      </c>
      <c r="AM38" s="3">
        <f t="shared" si="16"/>
        <v>0</v>
      </c>
      <c r="AN38" s="3">
        <f t="shared" si="16"/>
        <v>0.26</v>
      </c>
      <c r="AO38" s="3">
        <f t="shared" si="16"/>
        <v>7.9736000000000002</v>
      </c>
      <c r="AP38" s="3">
        <f t="shared" si="16"/>
        <v>1.98</v>
      </c>
      <c r="AQ38" s="3">
        <f t="shared" si="16"/>
        <v>61.852800000000002</v>
      </c>
      <c r="AR38" s="3">
        <f t="shared" si="16"/>
        <v>0.7200000000000002</v>
      </c>
      <c r="AS38" s="3">
        <f t="shared" si="16"/>
        <v>23.109200000000005</v>
      </c>
      <c r="AT38" s="3">
        <f t="shared" si="16"/>
        <v>2.4699999999999998</v>
      </c>
      <c r="AU38" s="3">
        <f t="shared" si="16"/>
        <v>88.944199999999995</v>
      </c>
      <c r="AV38" s="3">
        <f t="shared" si="16"/>
        <v>2.21</v>
      </c>
      <c r="AW38" s="3">
        <f t="shared" si="16"/>
        <v>77.260599999999997</v>
      </c>
      <c r="AX38" s="3">
        <f t="shared" si="16"/>
        <v>2.9099999999999988</v>
      </c>
      <c r="AY38" s="3">
        <f t="shared" si="16"/>
        <v>86.892599999999987</v>
      </c>
      <c r="AZ38" s="3">
        <f t="shared" si="16"/>
        <v>2.7499999999999991</v>
      </c>
      <c r="BA38" s="3">
        <f t="shared" si="16"/>
        <v>82.115000000000009</v>
      </c>
      <c r="BB38" s="3">
        <f t="shared" si="16"/>
        <v>2.0299999999999998</v>
      </c>
      <c r="BC38" s="3">
        <f t="shared" si="16"/>
        <v>60.615799999999986</v>
      </c>
      <c r="BD38" s="3">
        <f t="shared" si="16"/>
        <v>55.31</v>
      </c>
      <c r="BE38" s="3">
        <f t="shared" si="16"/>
        <v>1693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6.2299999999999995</v>
      </c>
      <c r="BM38" s="3">
        <f t="shared" si="16"/>
        <v>40.729999999999997</v>
      </c>
      <c r="BN38" s="3">
        <f t="shared" si="16"/>
        <v>91.68</v>
      </c>
      <c r="BO38" s="3">
        <f t="shared" si="16"/>
        <v>117.61999999999999</v>
      </c>
      <c r="BP38" s="3">
        <f t="shared" si="16"/>
        <v>131.14000000000001</v>
      </c>
      <c r="BQ38" s="3">
        <f t="shared" si="16"/>
        <v>126.06</v>
      </c>
      <c r="BR38" s="3">
        <f t="shared" si="16"/>
        <v>111.90999999999998</v>
      </c>
      <c r="BS38" s="3">
        <f t="shared" si="16"/>
        <v>98.690000000000012</v>
      </c>
      <c r="BT38" s="3">
        <f t="shared" si="16"/>
        <v>72.63000000000001</v>
      </c>
      <c r="BU38" s="3">
        <f t="shared" ref="BU38:EF38" si="17">SUM(BU7:BU36)</f>
        <v>35.380000000000003</v>
      </c>
      <c r="BV38" s="3">
        <f t="shared" si="17"/>
        <v>5.5699999999999985</v>
      </c>
      <c r="BW38" s="3">
        <f t="shared" si="17"/>
        <v>0.03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0.10999999999999999</v>
      </c>
      <c r="CE38" s="3">
        <f t="shared" si="17"/>
        <v>1.7599999999999998</v>
      </c>
      <c r="CF38" s="3">
        <f t="shared" si="17"/>
        <v>0.08</v>
      </c>
      <c r="CG38" s="3">
        <f t="shared" si="17"/>
        <v>1.28</v>
      </c>
      <c r="CH38" s="3">
        <f t="shared" si="17"/>
        <v>0.08</v>
      </c>
      <c r="CI38" s="3">
        <f t="shared" si="17"/>
        <v>1.28</v>
      </c>
      <c r="CJ38" s="3">
        <f t="shared" si="17"/>
        <v>0.04</v>
      </c>
      <c r="CK38" s="3">
        <f t="shared" si="17"/>
        <v>0.64</v>
      </c>
      <c r="CL38" s="3">
        <f t="shared" si="17"/>
        <v>0.04</v>
      </c>
      <c r="CM38" s="3">
        <f t="shared" si="17"/>
        <v>0.64</v>
      </c>
      <c r="CN38" s="3">
        <f t="shared" si="17"/>
        <v>0.02</v>
      </c>
      <c r="CO38" s="3">
        <f t="shared" si="17"/>
        <v>0.32</v>
      </c>
      <c r="CP38" s="3">
        <f t="shared" si="17"/>
        <v>0.04</v>
      </c>
      <c r="CQ38" s="3">
        <f t="shared" si="17"/>
        <v>0.64</v>
      </c>
      <c r="CR38" s="3">
        <f t="shared" si="17"/>
        <v>0.21000000000000005</v>
      </c>
      <c r="CS38" s="3">
        <f t="shared" si="17"/>
        <v>3.3600000000000008</v>
      </c>
      <c r="CT38" s="3">
        <f t="shared" si="17"/>
        <v>5.1999999999999975</v>
      </c>
      <c r="CU38" s="3">
        <f t="shared" si="17"/>
        <v>83.19999999999996</v>
      </c>
      <c r="CV38" s="3">
        <f t="shared" si="17"/>
        <v>66.859999999999985</v>
      </c>
      <c r="CW38" s="3">
        <f t="shared" si="17"/>
        <v>1069.7599999999998</v>
      </c>
      <c r="CX38" s="3">
        <f t="shared" si="17"/>
        <v>104.54</v>
      </c>
      <c r="CY38" s="3">
        <f t="shared" si="17"/>
        <v>1672.64</v>
      </c>
      <c r="CZ38" s="3">
        <f t="shared" si="17"/>
        <v>106.72</v>
      </c>
      <c r="DA38" s="3">
        <f t="shared" si="17"/>
        <v>1707.52</v>
      </c>
      <c r="DB38" s="3">
        <f t="shared" si="17"/>
        <v>98.690000000000012</v>
      </c>
      <c r="DC38" s="3">
        <f t="shared" si="17"/>
        <v>1579.0400000000002</v>
      </c>
      <c r="DD38" s="3">
        <f t="shared" si="17"/>
        <v>88.67</v>
      </c>
      <c r="DE38" s="3">
        <f t="shared" si="17"/>
        <v>1418.72</v>
      </c>
      <c r="DF38" s="3">
        <f t="shared" si="17"/>
        <v>65.330000000000013</v>
      </c>
      <c r="DG38" s="3">
        <f t="shared" si="17"/>
        <v>1045.2800000000002</v>
      </c>
      <c r="DH38" s="3">
        <f t="shared" si="17"/>
        <v>29.040000000000006</v>
      </c>
      <c r="DI38" s="3">
        <f t="shared" si="17"/>
        <v>464.6400000000001</v>
      </c>
      <c r="DJ38" s="3">
        <f t="shared" si="17"/>
        <v>2.77</v>
      </c>
      <c r="DK38" s="3">
        <f t="shared" si="17"/>
        <v>44.32</v>
      </c>
      <c r="DL38" s="3">
        <f t="shared" si="17"/>
        <v>0.19000000000000003</v>
      </c>
      <c r="DM38" s="3">
        <f t="shared" si="17"/>
        <v>3.0400000000000005</v>
      </c>
      <c r="DN38" s="3">
        <f t="shared" si="17"/>
        <v>0.26000000000000006</v>
      </c>
      <c r="DO38" s="3">
        <f t="shared" si="17"/>
        <v>4.160000000000001</v>
      </c>
      <c r="DP38" s="3">
        <f t="shared" si="17"/>
        <v>0.24000000000000007</v>
      </c>
      <c r="DQ38" s="3">
        <f t="shared" si="17"/>
        <v>3.8400000000000012</v>
      </c>
      <c r="DR38" s="3">
        <f t="shared" si="17"/>
        <v>0.13999999999999999</v>
      </c>
      <c r="DS38" s="3">
        <f t="shared" si="17"/>
        <v>2.2399999999999998</v>
      </c>
      <c r="DT38" s="3">
        <f t="shared" si="17"/>
        <v>0.22000000000000006</v>
      </c>
      <c r="DU38" s="3">
        <f t="shared" si="17"/>
        <v>3.5200000000000009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569.81999999999994</v>
      </c>
      <c r="EA38" s="3">
        <f t="shared" si="17"/>
        <v>9114</v>
      </c>
      <c r="EB38" s="3">
        <f t="shared" si="17"/>
        <v>0.23</v>
      </c>
      <c r="EC38" s="3">
        <f t="shared" si="17"/>
        <v>0.29000000000000004</v>
      </c>
      <c r="ED38" s="3">
        <f t="shared" si="17"/>
        <v>0.42000000000000004</v>
      </c>
      <c r="EE38" s="3">
        <f t="shared" si="17"/>
        <v>0.56000000000000016</v>
      </c>
      <c r="EF38" s="3">
        <f t="shared" si="17"/>
        <v>0.86000000000000021</v>
      </c>
      <c r="EG38" s="3">
        <f t="shared" ref="EG38:GR38" si="18">SUM(EG7:EG36)</f>
        <v>0.79000000000000015</v>
      </c>
      <c r="EH38" s="3">
        <f t="shared" si="18"/>
        <v>2.5999999999999996</v>
      </c>
      <c r="EI38" s="3">
        <f t="shared" si="18"/>
        <v>32.74</v>
      </c>
      <c r="EJ38" s="3">
        <f t="shared" si="18"/>
        <v>78.5</v>
      </c>
      <c r="EK38" s="3">
        <f t="shared" si="18"/>
        <v>42.16</v>
      </c>
      <c r="EL38" s="3">
        <f t="shared" si="18"/>
        <v>19.210000000000004</v>
      </c>
      <c r="EM38" s="3">
        <f t="shared" si="18"/>
        <v>11.81</v>
      </c>
      <c r="EN38" s="3">
        <f t="shared" si="18"/>
        <v>5.4999999999999991</v>
      </c>
      <c r="EO38" s="3">
        <f t="shared" si="18"/>
        <v>2.7399999999999998</v>
      </c>
      <c r="EP38" s="3">
        <f t="shared" si="18"/>
        <v>1.38</v>
      </c>
      <c r="EQ38" s="3">
        <f t="shared" si="18"/>
        <v>0.01</v>
      </c>
      <c r="ER38" s="3">
        <f t="shared" si="18"/>
        <v>0</v>
      </c>
      <c r="ES38" s="3">
        <f t="shared" si="18"/>
        <v>0.04</v>
      </c>
      <c r="ET38" s="3">
        <f t="shared" si="18"/>
        <v>0.04</v>
      </c>
      <c r="EU38" s="3">
        <f t="shared" si="18"/>
        <v>7.0000000000000007E-2</v>
      </c>
      <c r="EV38" s="3">
        <f t="shared" si="18"/>
        <v>0.08</v>
      </c>
      <c r="EW38" s="3">
        <f t="shared" si="18"/>
        <v>0.11</v>
      </c>
      <c r="EX38" s="3">
        <f t="shared" si="18"/>
        <v>0.22</v>
      </c>
      <c r="EY38" s="3">
        <f t="shared" si="18"/>
        <v>0.25</v>
      </c>
      <c r="EZ38" s="3">
        <f t="shared" si="18"/>
        <v>200.61</v>
      </c>
      <c r="FA38" s="3">
        <f t="shared" si="18"/>
        <v>4.57</v>
      </c>
      <c r="FB38" s="3">
        <f t="shared" si="18"/>
        <v>3.8100000000000005</v>
      </c>
      <c r="FC38" s="3">
        <f t="shared" si="18"/>
        <v>2.8399999999999994</v>
      </c>
      <c r="FD38" s="3">
        <f t="shared" si="18"/>
        <v>1.6300000000000001</v>
      </c>
      <c r="FE38" s="3">
        <f t="shared" si="18"/>
        <v>1.0999999999999999</v>
      </c>
      <c r="FF38" s="3">
        <f t="shared" si="18"/>
        <v>0.89</v>
      </c>
      <c r="FG38" s="3">
        <f t="shared" si="18"/>
        <v>0.28000000000000003</v>
      </c>
      <c r="FH38" s="3">
        <f t="shared" si="18"/>
        <v>0.15</v>
      </c>
      <c r="FI38" s="3">
        <f t="shared" si="18"/>
        <v>0</v>
      </c>
      <c r="FJ38" s="3">
        <f t="shared" si="18"/>
        <v>0</v>
      </c>
      <c r="FK38" s="3">
        <f t="shared" si="18"/>
        <v>0.24000000000000002</v>
      </c>
      <c r="FL38" s="3">
        <f t="shared" si="18"/>
        <v>0.01</v>
      </c>
      <c r="FM38" s="3">
        <f t="shared" si="18"/>
        <v>0.04</v>
      </c>
      <c r="FN38" s="3">
        <f t="shared" si="18"/>
        <v>0.10999999999999999</v>
      </c>
      <c r="FO38" s="3">
        <f t="shared" si="18"/>
        <v>7.0000000000000007E-2</v>
      </c>
      <c r="FP38" s="3">
        <f t="shared" si="18"/>
        <v>1.3900000000000001</v>
      </c>
      <c r="FQ38" s="3">
        <f t="shared" si="18"/>
        <v>24.33</v>
      </c>
      <c r="FR38" s="3">
        <f t="shared" si="18"/>
        <v>43.3</v>
      </c>
      <c r="FS38" s="3">
        <f t="shared" si="18"/>
        <v>18.73</v>
      </c>
      <c r="FT38" s="3">
        <f t="shared" si="18"/>
        <v>12.989999999999998</v>
      </c>
      <c r="FU38" s="3">
        <f t="shared" si="18"/>
        <v>13.790000000000001</v>
      </c>
      <c r="FV38" s="3">
        <f t="shared" si="18"/>
        <v>13.770000000000001</v>
      </c>
      <c r="FW38" s="3">
        <f t="shared" si="18"/>
        <v>7.28</v>
      </c>
      <c r="FX38" s="3">
        <f t="shared" si="18"/>
        <v>5.07</v>
      </c>
      <c r="FY38" s="3">
        <f t="shared" si="18"/>
        <v>156.39000000000004</v>
      </c>
      <c r="FZ38" s="3">
        <f t="shared" si="18"/>
        <v>6.2900000000000018</v>
      </c>
      <c r="GA38" s="3">
        <f t="shared" si="18"/>
        <v>5.9700000000000024</v>
      </c>
      <c r="GB38" s="3">
        <f t="shared" si="18"/>
        <v>5.8000000000000025</v>
      </c>
      <c r="GC38" s="3">
        <f t="shared" si="18"/>
        <v>6.1300000000000008</v>
      </c>
      <c r="GD38" s="3">
        <f t="shared" si="18"/>
        <v>9.73</v>
      </c>
      <c r="GE38" s="3">
        <f t="shared" si="18"/>
        <v>9.0400000000000009</v>
      </c>
      <c r="GF38" s="3">
        <f t="shared" si="18"/>
        <v>9.73</v>
      </c>
      <c r="GG38" s="3">
        <f t="shared" si="18"/>
        <v>9.8000000000000025</v>
      </c>
      <c r="GH38" s="3">
        <f t="shared" si="18"/>
        <v>8.27</v>
      </c>
      <c r="GI38" s="3">
        <f t="shared" si="18"/>
        <v>8.629999999999999</v>
      </c>
      <c r="GJ38" s="3">
        <f t="shared" si="18"/>
        <v>7.7700000000000005</v>
      </c>
      <c r="GK38" s="3">
        <f t="shared" si="18"/>
        <v>7.6500000000000021</v>
      </c>
      <c r="GL38" s="3">
        <f t="shared" si="18"/>
        <v>7.77</v>
      </c>
      <c r="GM38" s="3">
        <f t="shared" si="18"/>
        <v>7.4000000000000012</v>
      </c>
      <c r="GN38" s="3">
        <f t="shared" si="18"/>
        <v>6.0100000000000007</v>
      </c>
      <c r="GO38" s="3">
        <f t="shared" si="18"/>
        <v>7.7200000000000015</v>
      </c>
      <c r="GP38" s="3">
        <f t="shared" si="18"/>
        <v>27.39</v>
      </c>
      <c r="GQ38" s="3">
        <f t="shared" si="18"/>
        <v>45.08</v>
      </c>
      <c r="GR38" s="3">
        <f t="shared" si="18"/>
        <v>19.150000000000002</v>
      </c>
      <c r="GS38" s="3">
        <f t="shared" ref="GS38:GX38" si="19">SUM(GS7:GS36)</f>
        <v>15.149999999999999</v>
      </c>
      <c r="GT38" s="3">
        <f t="shared" si="19"/>
        <v>15.780000000000001</v>
      </c>
      <c r="GU38" s="3">
        <f t="shared" si="19"/>
        <v>16.350000000000001</v>
      </c>
      <c r="GV38" s="3">
        <f t="shared" si="19"/>
        <v>9.6200000000000045</v>
      </c>
      <c r="GW38" s="3">
        <f t="shared" si="19"/>
        <v>6.7099999999999991</v>
      </c>
      <c r="GX38" s="3">
        <f t="shared" si="19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268</v>
      </c>
      <c r="G7" s="6" t="s">
        <v>268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269</v>
      </c>
      <c r="G8" s="6" t="s">
        <v>270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270</v>
      </c>
      <c r="G9" s="6" t="s">
        <v>270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270</v>
      </c>
      <c r="G10" s="6" t="s">
        <v>269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270</v>
      </c>
      <c r="G11" s="6" t="s">
        <v>268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268</v>
      </c>
      <c r="G12" s="6" t="s">
        <v>269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269</v>
      </c>
      <c r="G13" s="6" t="s">
        <v>270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268</v>
      </c>
      <c r="G14" s="6" t="s">
        <v>270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268</v>
      </c>
      <c r="G15" s="6" t="s">
        <v>270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270</v>
      </c>
      <c r="G16" s="6" t="s">
        <v>268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270</v>
      </c>
      <c r="G17" s="6" t="s">
        <v>270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268</v>
      </c>
      <c r="G18" s="6" t="s">
        <v>269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270</v>
      </c>
      <c r="G19" s="6" t="s">
        <v>270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270</v>
      </c>
      <c r="G20" s="6" t="s">
        <v>268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268</v>
      </c>
      <c r="G21" s="6" t="s">
        <v>270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270</v>
      </c>
      <c r="G22" s="6" t="s">
        <v>270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269</v>
      </c>
      <c r="G23" s="6" t="s">
        <v>269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268</v>
      </c>
      <c r="G24" s="6" t="s">
        <v>268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270</v>
      </c>
      <c r="G25" s="6" t="s">
        <v>268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270</v>
      </c>
      <c r="G26" s="6" t="s">
        <v>268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270</v>
      </c>
      <c r="G27" s="6" t="s">
        <v>270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268</v>
      </c>
      <c r="G28" s="6" t="s">
        <v>269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268</v>
      </c>
      <c r="G29" s="6" t="s">
        <v>270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268</v>
      </c>
      <c r="G30" s="6" t="s">
        <v>270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265</v>
      </c>
      <c r="G31" s="6" t="s">
        <v>267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265</v>
      </c>
      <c r="G32" s="6" t="s">
        <v>266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265</v>
      </c>
      <c r="G33" s="6" t="s">
        <v>266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266</v>
      </c>
      <c r="G34" s="6" t="s">
        <v>266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265</v>
      </c>
      <c r="G35" s="6" t="s">
        <v>267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267</v>
      </c>
      <c r="G36" s="6" t="s">
        <v>267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BT38" si="15">SUM(I7:I36)</f>
        <v>455.9622</v>
      </c>
      <c r="J38" s="3">
        <f t="shared" si="15"/>
        <v>15.34</v>
      </c>
      <c r="K38" s="3">
        <f t="shared" si="15"/>
        <v>458.05240000000009</v>
      </c>
      <c r="L38" s="3">
        <f t="shared" si="15"/>
        <v>15.500000000000004</v>
      </c>
      <c r="M38" s="3">
        <f t="shared" si="15"/>
        <v>462.82999999999993</v>
      </c>
      <c r="N38" s="3">
        <f t="shared" si="15"/>
        <v>15.999999999999998</v>
      </c>
      <c r="O38" s="3">
        <f t="shared" si="15"/>
        <v>477.76</v>
      </c>
      <c r="P38" s="3">
        <f t="shared" si="15"/>
        <v>19.849999999999998</v>
      </c>
      <c r="Q38" s="3">
        <f t="shared" si="15"/>
        <v>592.721</v>
      </c>
      <c r="R38" s="3">
        <f t="shared" si="15"/>
        <v>18.079999999999995</v>
      </c>
      <c r="S38" s="3">
        <f t="shared" si="15"/>
        <v>539.86879999999996</v>
      </c>
      <c r="T38" s="3">
        <f t="shared" si="15"/>
        <v>19.950000000000003</v>
      </c>
      <c r="U38" s="3">
        <f t="shared" si="15"/>
        <v>595.70699999999999</v>
      </c>
      <c r="V38" s="3">
        <f t="shared" si="15"/>
        <v>6.81</v>
      </c>
      <c r="W38" s="3">
        <f t="shared" si="15"/>
        <v>228.33659999999998</v>
      </c>
      <c r="X38" s="3">
        <f t="shared" si="15"/>
        <v>1.35</v>
      </c>
      <c r="Y38" s="3">
        <f t="shared" si="15"/>
        <v>41.361000000000004</v>
      </c>
      <c r="Z38" s="3">
        <f t="shared" si="15"/>
        <v>0.67</v>
      </c>
      <c r="AA38" s="3">
        <f t="shared" si="15"/>
        <v>20.286199999999997</v>
      </c>
      <c r="AB38" s="3">
        <f t="shared" si="15"/>
        <v>0.12999999999999998</v>
      </c>
      <c r="AC38" s="3">
        <f t="shared" si="15"/>
        <v>4.2317999999999998</v>
      </c>
      <c r="AD38" s="3">
        <f t="shared" si="15"/>
        <v>6.9999999999999993E-2</v>
      </c>
      <c r="AE38" s="3">
        <f t="shared" si="15"/>
        <v>2.3702000000000001</v>
      </c>
      <c r="AF38" s="3">
        <f t="shared" si="15"/>
        <v>0.03</v>
      </c>
      <c r="AG38" s="3">
        <f t="shared" si="15"/>
        <v>0.96579999999999999</v>
      </c>
      <c r="AH38" s="3">
        <f t="shared" si="15"/>
        <v>0</v>
      </c>
      <c r="AI38" s="3">
        <f t="shared" si="15"/>
        <v>0</v>
      </c>
      <c r="AJ38" s="3">
        <f t="shared" si="15"/>
        <v>0.01</v>
      </c>
      <c r="AK38" s="3">
        <f t="shared" si="15"/>
        <v>0.29859999999999998</v>
      </c>
      <c r="AL38" s="3">
        <f t="shared" si="15"/>
        <v>0.01</v>
      </c>
      <c r="AM38" s="3">
        <f t="shared" si="15"/>
        <v>0.29859999999999998</v>
      </c>
      <c r="AN38" s="3">
        <f t="shared" si="15"/>
        <v>0.31000000000000005</v>
      </c>
      <c r="AO38" s="3">
        <f t="shared" si="15"/>
        <v>10.866599999999998</v>
      </c>
      <c r="AP38" s="3">
        <f t="shared" si="15"/>
        <v>4.0599999999999996</v>
      </c>
      <c r="AQ38" s="3">
        <f t="shared" si="15"/>
        <v>133.06160000000003</v>
      </c>
      <c r="AR38" s="3">
        <f t="shared" si="15"/>
        <v>32.6</v>
      </c>
      <c r="AS38" s="3">
        <f t="shared" si="15"/>
        <v>1163.0659999999998</v>
      </c>
      <c r="AT38" s="3">
        <f t="shared" si="15"/>
        <v>38.530000000000008</v>
      </c>
      <c r="AU38" s="3">
        <f t="shared" si="15"/>
        <v>1361.0658000000001</v>
      </c>
      <c r="AV38" s="3">
        <f t="shared" si="15"/>
        <v>25.919999999999998</v>
      </c>
      <c r="AW38" s="3">
        <f t="shared" si="15"/>
        <v>895.42119999999977</v>
      </c>
      <c r="AX38" s="3">
        <f t="shared" si="15"/>
        <v>19.919999999999998</v>
      </c>
      <c r="AY38" s="3">
        <f t="shared" si="15"/>
        <v>594.8112000000001</v>
      </c>
      <c r="AZ38" s="3">
        <f t="shared" si="15"/>
        <v>15.980000000000002</v>
      </c>
      <c r="BA38" s="3">
        <f t="shared" si="15"/>
        <v>477.16280000000006</v>
      </c>
      <c r="BB38" s="3">
        <f t="shared" si="15"/>
        <v>15.600000000000001</v>
      </c>
      <c r="BC38" s="3">
        <f t="shared" si="15"/>
        <v>465.81600000000014</v>
      </c>
      <c r="BD38" s="3">
        <f t="shared" si="15"/>
        <v>281.98999999999995</v>
      </c>
      <c r="BE38" s="3">
        <f t="shared" si="15"/>
        <v>8984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1.3700000000000003</v>
      </c>
      <c r="BM38" s="3">
        <f t="shared" si="15"/>
        <v>23.400000000000002</v>
      </c>
      <c r="BN38" s="3">
        <f t="shared" si="15"/>
        <v>68.19000000000004</v>
      </c>
      <c r="BO38" s="3">
        <f t="shared" si="15"/>
        <v>111.61000000000003</v>
      </c>
      <c r="BP38" s="3">
        <f t="shared" si="15"/>
        <v>127.64999999999998</v>
      </c>
      <c r="BQ38" s="3">
        <f t="shared" si="15"/>
        <v>132.95000000000005</v>
      </c>
      <c r="BR38" s="3">
        <f t="shared" si="15"/>
        <v>122.49000000000001</v>
      </c>
      <c r="BS38" s="3">
        <f t="shared" si="15"/>
        <v>101.1</v>
      </c>
      <c r="BT38" s="3">
        <f t="shared" si="15"/>
        <v>61.940000000000005</v>
      </c>
      <c r="BU38" s="3">
        <f t="shared" ref="BU38:EF38" si="16">SUM(BU7:BU36)</f>
        <v>16.78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si="16"/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0.04</v>
      </c>
      <c r="CS38" s="3">
        <f t="shared" si="16"/>
        <v>0.64</v>
      </c>
      <c r="CT38" s="3">
        <f t="shared" si="16"/>
        <v>1.7700000000000002</v>
      </c>
      <c r="CU38" s="3">
        <f t="shared" si="16"/>
        <v>28.320000000000004</v>
      </c>
      <c r="CV38" s="3">
        <f t="shared" si="16"/>
        <v>32.159999999999997</v>
      </c>
      <c r="CW38" s="3">
        <f t="shared" si="16"/>
        <v>514.55999999999995</v>
      </c>
      <c r="CX38" s="3">
        <f t="shared" si="16"/>
        <v>80.710000000000022</v>
      </c>
      <c r="CY38" s="3">
        <f t="shared" si="16"/>
        <v>1291.3600000000004</v>
      </c>
      <c r="CZ38" s="3">
        <f t="shared" si="16"/>
        <v>100.82000000000001</v>
      </c>
      <c r="DA38" s="3">
        <f t="shared" si="16"/>
        <v>1613.1200000000001</v>
      </c>
      <c r="DB38" s="3">
        <f t="shared" si="16"/>
        <v>97.510000000000019</v>
      </c>
      <c r="DC38" s="3">
        <f t="shared" si="16"/>
        <v>1560.1600000000003</v>
      </c>
      <c r="DD38" s="3">
        <f t="shared" si="16"/>
        <v>84.23</v>
      </c>
      <c r="DE38" s="3">
        <f t="shared" si="16"/>
        <v>1347.68</v>
      </c>
      <c r="DF38" s="3">
        <f t="shared" si="16"/>
        <v>50.160000000000004</v>
      </c>
      <c r="DG38" s="3">
        <f t="shared" si="16"/>
        <v>802.56000000000006</v>
      </c>
      <c r="DH38" s="3">
        <f t="shared" si="16"/>
        <v>9.1</v>
      </c>
      <c r="DI38" s="3">
        <f t="shared" si="16"/>
        <v>145.6</v>
      </c>
      <c r="DJ38" s="3">
        <f t="shared" si="16"/>
        <v>0.26000000000000006</v>
      </c>
      <c r="DK38" s="3">
        <f t="shared" si="16"/>
        <v>4.160000000000001</v>
      </c>
      <c r="DL38" s="3">
        <f t="shared" si="16"/>
        <v>0.21000000000000005</v>
      </c>
      <c r="DM38" s="3">
        <f t="shared" si="16"/>
        <v>3.3600000000000008</v>
      </c>
      <c r="DN38" s="3">
        <f t="shared" si="16"/>
        <v>0.09</v>
      </c>
      <c r="DO38" s="3">
        <f t="shared" si="16"/>
        <v>1.44</v>
      </c>
      <c r="DP38" s="3">
        <f t="shared" si="16"/>
        <v>0.01</v>
      </c>
      <c r="DQ38" s="3">
        <f t="shared" si="16"/>
        <v>0.16</v>
      </c>
      <c r="DR38" s="3">
        <f t="shared" si="16"/>
        <v>0.01</v>
      </c>
      <c r="DS38" s="3">
        <f t="shared" si="16"/>
        <v>0.16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0.01</v>
      </c>
      <c r="DY38" s="3">
        <f t="shared" si="16"/>
        <v>0.16</v>
      </c>
      <c r="DZ38" s="3">
        <f t="shared" si="16"/>
        <v>457.09000000000009</v>
      </c>
      <c r="EA38" s="3">
        <f t="shared" si="16"/>
        <v>7315</v>
      </c>
      <c r="EB38" s="3">
        <f t="shared" si="16"/>
        <v>0.93000000000000038</v>
      </c>
      <c r="EC38" s="3">
        <f t="shared" si="16"/>
        <v>0.98000000000000043</v>
      </c>
      <c r="ED38" s="3">
        <f t="shared" si="16"/>
        <v>1.0300000000000005</v>
      </c>
      <c r="EE38" s="3">
        <f t="shared" si="16"/>
        <v>1.0000000000000004</v>
      </c>
      <c r="EF38" s="3">
        <f t="shared" si="16"/>
        <v>1.0600000000000003</v>
      </c>
      <c r="EG38" s="3">
        <f t="shared" ref="EG38:GR38" si="17">SUM(EG7:EG36)</f>
        <v>1.0300000000000005</v>
      </c>
      <c r="EH38" s="3">
        <f t="shared" si="17"/>
        <v>0.55000000000000016</v>
      </c>
      <c r="EI38" s="3">
        <f t="shared" si="17"/>
        <v>11.829999999999998</v>
      </c>
      <c r="EJ38" s="3">
        <f t="shared" si="17"/>
        <v>53.050000000000004</v>
      </c>
      <c r="EK38" s="3">
        <f t="shared" si="17"/>
        <v>65.36999999999999</v>
      </c>
      <c r="EL38" s="3">
        <f t="shared" si="17"/>
        <v>32.07</v>
      </c>
      <c r="EM38" s="3">
        <f t="shared" si="17"/>
        <v>17.79</v>
      </c>
      <c r="EN38" s="3">
        <f t="shared" si="17"/>
        <v>11.26</v>
      </c>
      <c r="EO38" s="3">
        <f t="shared" si="17"/>
        <v>2.25</v>
      </c>
      <c r="EP38" s="3">
        <f t="shared" si="17"/>
        <v>0.18000000000000002</v>
      </c>
      <c r="EQ38" s="3">
        <f t="shared" si="17"/>
        <v>0.01</v>
      </c>
      <c r="ER38" s="3">
        <f t="shared" si="17"/>
        <v>0</v>
      </c>
      <c r="ES38" s="3">
        <f t="shared" si="17"/>
        <v>0</v>
      </c>
      <c r="ET38" s="3">
        <f t="shared" si="17"/>
        <v>0.17</v>
      </c>
      <c r="EU38" s="3">
        <f t="shared" si="17"/>
        <v>0.76000000000000045</v>
      </c>
      <c r="EV38" s="3">
        <f t="shared" si="17"/>
        <v>0.92000000000000048</v>
      </c>
      <c r="EW38" s="3">
        <f t="shared" si="17"/>
        <v>0.97000000000000053</v>
      </c>
      <c r="EX38" s="3">
        <f t="shared" si="17"/>
        <v>0.98000000000000065</v>
      </c>
      <c r="EY38" s="3">
        <f t="shared" si="17"/>
        <v>0.97000000000000053</v>
      </c>
      <c r="EZ38" s="3">
        <f t="shared" si="17"/>
        <v>205.15999999999997</v>
      </c>
      <c r="FA38" s="3">
        <f t="shared" si="17"/>
        <v>0.06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</v>
      </c>
      <c r="FJ38" s="3">
        <f t="shared" si="17"/>
        <v>0</v>
      </c>
      <c r="FK38" s="3">
        <f t="shared" si="17"/>
        <v>0.03</v>
      </c>
      <c r="FL38" s="3">
        <f t="shared" si="17"/>
        <v>0.03</v>
      </c>
      <c r="FM38" s="3">
        <f t="shared" si="17"/>
        <v>7.0000000000000007E-2</v>
      </c>
      <c r="FN38" s="3">
        <f t="shared" si="17"/>
        <v>0.43000000000000005</v>
      </c>
      <c r="FO38" s="3">
        <f t="shared" si="17"/>
        <v>0.54</v>
      </c>
      <c r="FP38" s="3">
        <f t="shared" si="17"/>
        <v>8.7500000000000018</v>
      </c>
      <c r="FQ38" s="3">
        <f t="shared" si="17"/>
        <v>43.95000000000001</v>
      </c>
      <c r="FR38" s="3">
        <f t="shared" si="17"/>
        <v>70.130000000000024</v>
      </c>
      <c r="FS38" s="3">
        <f t="shared" si="17"/>
        <v>30.439999999999998</v>
      </c>
      <c r="FT38" s="3">
        <f t="shared" si="17"/>
        <v>2.06</v>
      </c>
      <c r="FU38" s="3">
        <f t="shared" si="17"/>
        <v>0.65</v>
      </c>
      <c r="FV38" s="3">
        <f t="shared" si="17"/>
        <v>0.53</v>
      </c>
      <c r="FW38" s="3">
        <f t="shared" si="17"/>
        <v>0.24</v>
      </c>
      <c r="FX38" s="3">
        <f t="shared" si="17"/>
        <v>0.24</v>
      </c>
      <c r="FY38" s="3">
        <f t="shared" si="17"/>
        <v>158.14999999999998</v>
      </c>
      <c r="FZ38" s="3">
        <f t="shared" si="17"/>
        <v>14.4</v>
      </c>
      <c r="GA38" s="3">
        <f t="shared" si="17"/>
        <v>14.360000000000001</v>
      </c>
      <c r="GB38" s="3">
        <f t="shared" si="17"/>
        <v>14.470000000000002</v>
      </c>
      <c r="GC38" s="3">
        <f t="shared" si="17"/>
        <v>15.000000000000002</v>
      </c>
      <c r="GD38" s="3">
        <f t="shared" si="17"/>
        <v>18.79</v>
      </c>
      <c r="GE38" s="3">
        <f t="shared" si="17"/>
        <v>17.05</v>
      </c>
      <c r="GF38" s="3">
        <f t="shared" si="17"/>
        <v>20.769999999999996</v>
      </c>
      <c r="GG38" s="3">
        <f t="shared" si="17"/>
        <v>18.34</v>
      </c>
      <c r="GH38" s="3">
        <f t="shared" si="17"/>
        <v>14.72</v>
      </c>
      <c r="GI38" s="3">
        <f t="shared" si="17"/>
        <v>14.749999999999998</v>
      </c>
      <c r="GJ38" s="3">
        <f t="shared" si="17"/>
        <v>15.030000000000001</v>
      </c>
      <c r="GK38" s="3">
        <f t="shared" si="17"/>
        <v>14.440000000000003</v>
      </c>
      <c r="GL38" s="3">
        <f t="shared" si="17"/>
        <v>13.820000000000002</v>
      </c>
      <c r="GM38" s="3">
        <f t="shared" si="17"/>
        <v>15.05</v>
      </c>
      <c r="GN38" s="3">
        <f t="shared" si="17"/>
        <v>12.150000000000002</v>
      </c>
      <c r="GO38" s="3">
        <f t="shared" si="17"/>
        <v>16.43</v>
      </c>
      <c r="GP38" s="3">
        <f t="shared" si="17"/>
        <v>44.38</v>
      </c>
      <c r="GQ38" s="3">
        <f t="shared" si="17"/>
        <v>73.980000000000032</v>
      </c>
      <c r="GR38" s="3">
        <f t="shared" si="17"/>
        <v>62.779999999999994</v>
      </c>
      <c r="GS38" s="3">
        <f t="shared" ref="GS38:GX38" si="18">SUM(GS7:GS36)</f>
        <v>39.82</v>
      </c>
      <c r="GT38" s="3">
        <f t="shared" si="18"/>
        <v>25.64</v>
      </c>
      <c r="GU38" s="3">
        <f t="shared" si="18"/>
        <v>19.480000000000004</v>
      </c>
      <c r="GV38" s="3">
        <f t="shared" si="18"/>
        <v>15.240000000000002</v>
      </c>
      <c r="GW38" s="3">
        <f t="shared" si="18"/>
        <v>14.860000000000001</v>
      </c>
      <c r="GX38" s="3">
        <f t="shared" si="18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267</v>
      </c>
      <c r="G7" s="6" t="s">
        <v>265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7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267</v>
      </c>
      <c r="G8" s="6" t="s">
        <v>267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7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7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266</v>
      </c>
      <c r="G9" s="6" t="s">
        <v>266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266</v>
      </c>
      <c r="G10" s="6" t="s">
        <v>334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334</v>
      </c>
      <c r="G11" s="6" t="s">
        <v>265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334</v>
      </c>
      <c r="G12" s="6" t="s">
        <v>265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267</v>
      </c>
      <c r="G13" s="6" t="s">
        <v>267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267</v>
      </c>
      <c r="G14" s="6" t="s">
        <v>267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265</v>
      </c>
      <c r="G15" s="6" t="s">
        <v>265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265</v>
      </c>
      <c r="G16" s="6" t="s">
        <v>265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267</v>
      </c>
      <c r="G17" s="6" t="s">
        <v>267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265</v>
      </c>
      <c r="G18" s="6" t="s">
        <v>267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267</v>
      </c>
      <c r="G19" s="6" t="s">
        <v>265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265</v>
      </c>
      <c r="G20" s="6" t="s">
        <v>267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265</v>
      </c>
      <c r="G21" s="6" t="s">
        <v>335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267</v>
      </c>
      <c r="G22" s="6" t="s">
        <v>265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265</v>
      </c>
      <c r="G23" s="6" t="s">
        <v>267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267</v>
      </c>
      <c r="G24" s="6" t="s">
        <v>267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267</v>
      </c>
      <c r="G25" s="6" t="s">
        <v>267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267</v>
      </c>
      <c r="G26" s="6" t="s">
        <v>265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265</v>
      </c>
      <c r="G27" s="6" t="s">
        <v>334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265</v>
      </c>
      <c r="G28" s="6" t="s">
        <v>267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267</v>
      </c>
      <c r="G29" s="6" t="s">
        <v>267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267</v>
      </c>
      <c r="G30" s="6" t="s">
        <v>267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265</v>
      </c>
      <c r="G31" s="6" t="s">
        <v>265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335</v>
      </c>
      <c r="G32" s="6" t="s">
        <v>335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265</v>
      </c>
      <c r="G33" s="6" t="s">
        <v>267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265</v>
      </c>
      <c r="G34" s="6" t="s">
        <v>267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335</v>
      </c>
      <c r="G35" s="6" t="s">
        <v>267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267</v>
      </c>
      <c r="G36" s="6" t="s">
        <v>335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317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334</v>
      </c>
      <c r="G37" s="6" t="s">
        <v>334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>
        <f t="shared" si="8"/>
        <v>991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0.65000000000000013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>
        <f t="shared" si="13"/>
        <v>30.09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/>
      <c r="D38" s="3"/>
      <c r="E38" s="6" t="str">
        <f t="shared" si="9"/>
        <v/>
      </c>
      <c r="F38" s="3"/>
      <c r="G38" s="3"/>
      <c r="H38" s="3">
        <f>SUM(H7:H36)</f>
        <v>27.330000000000002</v>
      </c>
      <c r="I38" s="3">
        <f t="shared" ref="I38:M38" si="14">SUM(I7:I36)</f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>
        <f t="shared" si="15"/>
        <v>33.28</v>
      </c>
      <c r="U38" s="3">
        <f t="shared" si="15"/>
        <v>993.74080000000004</v>
      </c>
      <c r="V38" s="3">
        <f t="shared" si="15"/>
        <v>29.300000000000004</v>
      </c>
      <c r="W38" s="3">
        <f t="shared" si="15"/>
        <v>1008.528</v>
      </c>
      <c r="X38" s="3">
        <f t="shared" si="15"/>
        <v>14.799999999999999</v>
      </c>
      <c r="Y38" s="3">
        <f t="shared" si="15"/>
        <v>506.67800000000005</v>
      </c>
      <c r="Z38" s="3">
        <f t="shared" si="15"/>
        <v>11.42</v>
      </c>
      <c r="AA38" s="3">
        <f t="shared" si="15"/>
        <v>383.07119999999998</v>
      </c>
      <c r="AB38" s="3">
        <f t="shared" si="15"/>
        <v>8.19</v>
      </c>
      <c r="AC38" s="3">
        <f t="shared" si="15"/>
        <v>278.36339999999996</v>
      </c>
      <c r="AD38" s="3">
        <f t="shared" si="15"/>
        <v>6.98</v>
      </c>
      <c r="AE38" s="3">
        <f t="shared" si="15"/>
        <v>237.89279999999999</v>
      </c>
      <c r="AF38" s="3">
        <f t="shared" si="15"/>
        <v>4.7099999999999991</v>
      </c>
      <c r="AG38" s="3">
        <f t="shared" si="15"/>
        <v>163.04059999999998</v>
      </c>
      <c r="AH38" s="3">
        <f t="shared" si="15"/>
        <v>5.35</v>
      </c>
      <c r="AI38" s="3">
        <f t="shared" si="15"/>
        <v>183.62099999999998</v>
      </c>
      <c r="AJ38" s="3">
        <f t="shared" si="15"/>
        <v>4.95</v>
      </c>
      <c r="AK38" s="3">
        <f t="shared" si="15"/>
        <v>169.50699999999998</v>
      </c>
      <c r="AL38" s="3">
        <f t="shared" si="15"/>
        <v>17.52</v>
      </c>
      <c r="AM38" s="3">
        <f t="shared" si="15"/>
        <v>607.2872000000001</v>
      </c>
      <c r="AN38" s="3">
        <f t="shared" si="15"/>
        <v>34.04</v>
      </c>
      <c r="AO38" s="3">
        <f t="shared" si="15"/>
        <v>1173.0944000000002</v>
      </c>
      <c r="AP38" s="3">
        <f t="shared" si="15"/>
        <v>70.58</v>
      </c>
      <c r="AQ38" s="3">
        <f t="shared" si="15"/>
        <v>2442.8888000000002</v>
      </c>
      <c r="AR38" s="3">
        <f t="shared" si="15"/>
        <v>91.029999999999987</v>
      </c>
      <c r="AS38" s="3">
        <f t="shared" si="15"/>
        <v>3185.7558000000004</v>
      </c>
      <c r="AT38" s="3">
        <f t="shared" si="15"/>
        <v>67.689999999999984</v>
      </c>
      <c r="AU38" s="3">
        <f t="shared" si="15"/>
        <v>2356.3134000000005</v>
      </c>
      <c r="AV38" s="3">
        <f t="shared" si="15"/>
        <v>34.789999999999992</v>
      </c>
      <c r="AW38" s="3">
        <f t="shared" si="15"/>
        <v>1209.9094</v>
      </c>
      <c r="AX38" s="3">
        <f t="shared" si="15"/>
        <v>36.739999999999995</v>
      </c>
      <c r="AY38" s="3">
        <f t="shared" si="15"/>
        <v>1097.0563999999997</v>
      </c>
      <c r="AZ38" s="3">
        <f t="shared" si="15"/>
        <v>31.580000000000005</v>
      </c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23231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143.68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928.06999999999971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topLeftCell="A4" workbookViewId="0">
      <selection activeCell="A7" sqref="A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246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287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265</v>
      </c>
      <c r="G7" s="6" t="s">
        <v>267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7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288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267</v>
      </c>
      <c r="G8" s="6" t="s">
        <v>265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7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7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289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267</v>
      </c>
      <c r="G9" s="6" t="s">
        <v>267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290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267</v>
      </c>
      <c r="G10" s="6" t="s">
        <v>267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291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265</v>
      </c>
      <c r="G11" s="6" t="s">
        <v>335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292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364</v>
      </c>
      <c r="G12" s="6" t="s">
        <v>266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293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266</v>
      </c>
      <c r="G13" s="6" t="s">
        <v>265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294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265</v>
      </c>
      <c r="G14" s="6" t="s">
        <v>267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295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265</v>
      </c>
      <c r="G15" s="6" t="s">
        <v>267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296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265</v>
      </c>
      <c r="G16" s="6" t="s">
        <v>267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297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267</v>
      </c>
      <c r="G17" s="6" t="s">
        <v>267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298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267</v>
      </c>
      <c r="G18" s="6" t="s">
        <v>265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299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267</v>
      </c>
      <c r="G19" s="6" t="s">
        <v>267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300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335</v>
      </c>
      <c r="G20" s="6" t="s">
        <v>265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301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265</v>
      </c>
      <c r="G21" s="6" t="s">
        <v>335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302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265</v>
      </c>
      <c r="G22" s="6" t="s">
        <v>265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303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265</v>
      </c>
      <c r="G23" s="6" t="s">
        <v>267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304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265</v>
      </c>
      <c r="G24" s="6" t="s">
        <v>267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305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267</v>
      </c>
      <c r="G25" s="6" t="s">
        <v>267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306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265</v>
      </c>
      <c r="G26" s="6" t="s">
        <v>267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307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265</v>
      </c>
      <c r="G27" s="6" t="s">
        <v>267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308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265</v>
      </c>
      <c r="G28" s="6" t="s">
        <v>267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309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265</v>
      </c>
      <c r="G29" s="6" t="s">
        <v>267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310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267</v>
      </c>
      <c r="G30" s="6" t="s">
        <v>267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311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267</v>
      </c>
      <c r="G31" s="6" t="s">
        <v>267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312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334</v>
      </c>
      <c r="G32" s="6" t="s">
        <v>267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313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267</v>
      </c>
      <c r="G33" s="6" t="s">
        <v>267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314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265</v>
      </c>
      <c r="G34" s="6" t="s">
        <v>267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315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334</v>
      </c>
      <c r="G35" s="6" t="s">
        <v>267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316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265</v>
      </c>
      <c r="G36" s="6" t="s">
        <v>335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333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265</v>
      </c>
      <c r="G37" s="6" t="s">
        <v>267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>
        <f t="shared" si="8"/>
        <v>1084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0.68000000000000016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>
        <f t="shared" si="13"/>
        <v>31.770000000000003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30.07</v>
      </c>
      <c r="I38" s="3">
        <f t="shared" ref="I38:M38" si="16">SUM(I7:I36)</f>
        <v>897.89019999999994</v>
      </c>
      <c r="J38" s="3">
        <f t="shared" si="16"/>
        <v>34.57</v>
      </c>
      <c r="K38" s="3">
        <f t="shared" si="16"/>
        <v>1032.2602000000002</v>
      </c>
      <c r="L38" s="3">
        <f t="shared" si="16"/>
        <v>33.160000000000004</v>
      </c>
      <c r="M38" s="3">
        <f t="shared" si="16"/>
        <v>990.15760000000012</v>
      </c>
      <c r="N38" s="3">
        <f>SUM(N7:N37)</f>
        <v>34.949999999999996</v>
      </c>
      <c r="O38" s="3">
        <f t="shared" ref="O38:BZ38" si="17">SUM(O7:O37)</f>
        <v>1043.6069999999997</v>
      </c>
      <c r="P38" s="3">
        <f t="shared" si="17"/>
        <v>38.630000000000003</v>
      </c>
      <c r="Q38" s="3">
        <f t="shared" si="17"/>
        <v>1153.4917999999998</v>
      </c>
      <c r="R38" s="3">
        <f t="shared" si="17"/>
        <v>40.45000000000001</v>
      </c>
      <c r="S38" s="3">
        <f t="shared" si="17"/>
        <v>1207.8370000000002</v>
      </c>
      <c r="T38" s="3">
        <f t="shared" si="17"/>
        <v>42.010000000000012</v>
      </c>
      <c r="U38" s="3">
        <f t="shared" si="17"/>
        <v>1254.4186</v>
      </c>
      <c r="V38" s="3">
        <f t="shared" si="17"/>
        <v>38.989999999999995</v>
      </c>
      <c r="W38" s="3">
        <f t="shared" si="17"/>
        <v>1352.5414000000001</v>
      </c>
      <c r="X38" s="3">
        <f t="shared" si="17"/>
        <v>20.720000000000002</v>
      </c>
      <c r="Y38" s="3">
        <f t="shared" si="17"/>
        <v>720.26920000000007</v>
      </c>
      <c r="Z38" s="3">
        <f t="shared" si="17"/>
        <v>10.039999999999999</v>
      </c>
      <c r="AA38" s="3">
        <f t="shared" si="17"/>
        <v>347.67440000000005</v>
      </c>
      <c r="AB38" s="3">
        <f t="shared" si="17"/>
        <v>8.19</v>
      </c>
      <c r="AC38" s="3">
        <f t="shared" si="17"/>
        <v>292.29339999999996</v>
      </c>
      <c r="AD38" s="3">
        <f t="shared" si="17"/>
        <v>8.0300000000000011</v>
      </c>
      <c r="AE38" s="3">
        <f t="shared" si="17"/>
        <v>278.97579999999994</v>
      </c>
      <c r="AF38" s="3">
        <f t="shared" si="17"/>
        <v>6.9899999999999993</v>
      </c>
      <c r="AG38" s="3">
        <f t="shared" si="17"/>
        <v>251.42139999999995</v>
      </c>
      <c r="AH38" s="3">
        <f t="shared" si="17"/>
        <v>5.7399999999999993</v>
      </c>
      <c r="AI38" s="3">
        <f t="shared" si="17"/>
        <v>207.0264</v>
      </c>
      <c r="AJ38" s="3">
        <f t="shared" si="17"/>
        <v>8.1300000000000008</v>
      </c>
      <c r="AK38" s="3">
        <f t="shared" si="17"/>
        <v>295.8218</v>
      </c>
      <c r="AL38" s="3">
        <f t="shared" si="17"/>
        <v>22.27</v>
      </c>
      <c r="AM38" s="3">
        <f t="shared" si="17"/>
        <v>802.53219999999999</v>
      </c>
      <c r="AN38" s="3">
        <f t="shared" si="17"/>
        <v>26.19</v>
      </c>
      <c r="AO38" s="3">
        <f t="shared" si="17"/>
        <v>946.39339999999993</v>
      </c>
      <c r="AP38" s="3">
        <f t="shared" si="17"/>
        <v>43.29</v>
      </c>
      <c r="AQ38" s="3">
        <f t="shared" si="17"/>
        <v>1503.6894</v>
      </c>
      <c r="AR38" s="3">
        <f t="shared" si="17"/>
        <v>65.330000000000013</v>
      </c>
      <c r="AS38" s="3">
        <f t="shared" si="17"/>
        <v>2217.9438</v>
      </c>
      <c r="AT38" s="3">
        <f t="shared" si="17"/>
        <v>59.019999999999996</v>
      </c>
      <c r="AU38" s="3">
        <f t="shared" si="17"/>
        <v>2024.2771999999995</v>
      </c>
      <c r="AV38" s="3">
        <f t="shared" si="17"/>
        <v>38.750000000000007</v>
      </c>
      <c r="AW38" s="3">
        <f t="shared" si="17"/>
        <v>1352.1650000000002</v>
      </c>
      <c r="AX38" s="3">
        <f t="shared" si="17"/>
        <v>40.64</v>
      </c>
      <c r="AY38" s="3">
        <f t="shared" si="17"/>
        <v>1213.5103999999999</v>
      </c>
      <c r="AZ38" s="3">
        <f t="shared" si="17"/>
        <v>33.520000000000003</v>
      </c>
      <c r="BA38" s="3">
        <f t="shared" si="17"/>
        <v>1000.9071999999999</v>
      </c>
      <c r="BB38" s="3">
        <f t="shared" si="17"/>
        <v>37.699999999999996</v>
      </c>
      <c r="BC38" s="3">
        <f t="shared" si="17"/>
        <v>1125.7219999999998</v>
      </c>
      <c r="BD38" s="3">
        <f t="shared" si="17"/>
        <v>731.41</v>
      </c>
      <c r="BE38" s="3">
        <f t="shared" si="17"/>
        <v>23631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</v>
      </c>
      <c r="BM38" s="3">
        <f t="shared" si="17"/>
        <v>3.79</v>
      </c>
      <c r="BN38" s="3">
        <f t="shared" si="17"/>
        <v>26.37</v>
      </c>
      <c r="BO38" s="3">
        <f t="shared" si="17"/>
        <v>59.940000000000005</v>
      </c>
      <c r="BP38" s="3">
        <f t="shared" si="17"/>
        <v>90.65000000000002</v>
      </c>
      <c r="BQ38" s="3">
        <f t="shared" si="17"/>
        <v>99.569999999999979</v>
      </c>
      <c r="BR38" s="3">
        <f t="shared" si="17"/>
        <v>89.600000000000023</v>
      </c>
      <c r="BS38" s="3">
        <f t="shared" si="17"/>
        <v>84.859999999999985</v>
      </c>
      <c r="BT38" s="3">
        <f t="shared" si="17"/>
        <v>53.659999999999989</v>
      </c>
      <c r="BU38" s="3">
        <f t="shared" si="17"/>
        <v>19.45</v>
      </c>
      <c r="BV38" s="3">
        <f t="shared" si="17"/>
        <v>1.8699999999999999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CF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ref="CG38:EL38" si="19">SUM(CG7:CG37)</f>
        <v>0</v>
      </c>
      <c r="CH38" s="3">
        <f t="shared" si="19"/>
        <v>0</v>
      </c>
      <c r="CI38" s="3">
        <f t="shared" si="19"/>
        <v>0</v>
      </c>
      <c r="CJ38" s="3">
        <f t="shared" si="19"/>
        <v>0</v>
      </c>
      <c r="CK38" s="3">
        <f t="shared" si="19"/>
        <v>0</v>
      </c>
      <c r="CL38" s="3">
        <f t="shared" si="19"/>
        <v>0</v>
      </c>
      <c r="CM38" s="3">
        <f t="shared" si="19"/>
        <v>0</v>
      </c>
      <c r="CN38" s="3">
        <f t="shared" si="19"/>
        <v>0</v>
      </c>
      <c r="CO38" s="3">
        <f t="shared" si="19"/>
        <v>0</v>
      </c>
      <c r="CP38" s="3">
        <f t="shared" si="19"/>
        <v>0</v>
      </c>
      <c r="CQ38" s="3">
        <f t="shared" si="19"/>
        <v>0</v>
      </c>
      <c r="CR38" s="3">
        <f t="shared" si="19"/>
        <v>0</v>
      </c>
      <c r="CS38" s="3">
        <f t="shared" si="19"/>
        <v>0</v>
      </c>
      <c r="CT38" s="3">
        <f t="shared" si="19"/>
        <v>1.69</v>
      </c>
      <c r="CU38" s="3">
        <f t="shared" si="19"/>
        <v>27.04</v>
      </c>
      <c r="CV38" s="3">
        <f t="shared" si="19"/>
        <v>8.74</v>
      </c>
      <c r="CW38" s="3">
        <f t="shared" si="19"/>
        <v>139.84</v>
      </c>
      <c r="CX38" s="3">
        <f t="shared" si="19"/>
        <v>21.359999999999996</v>
      </c>
      <c r="CY38" s="3">
        <f t="shared" si="19"/>
        <v>341.75999999999993</v>
      </c>
      <c r="CZ38" s="3">
        <f t="shared" si="19"/>
        <v>47.680000000000007</v>
      </c>
      <c r="DA38" s="3">
        <f t="shared" si="19"/>
        <v>762.88000000000011</v>
      </c>
      <c r="DB38" s="3">
        <f t="shared" si="19"/>
        <v>55.4</v>
      </c>
      <c r="DC38" s="3">
        <f t="shared" si="19"/>
        <v>886.4</v>
      </c>
      <c r="DD38" s="3">
        <f t="shared" si="19"/>
        <v>53.449999999999989</v>
      </c>
      <c r="DE38" s="3">
        <f t="shared" si="19"/>
        <v>855.19999999999982</v>
      </c>
      <c r="DF38" s="3">
        <f t="shared" si="19"/>
        <v>32.520000000000003</v>
      </c>
      <c r="DG38" s="3">
        <f t="shared" si="19"/>
        <v>520.32000000000005</v>
      </c>
      <c r="DH38" s="3">
        <f t="shared" si="19"/>
        <v>6.04</v>
      </c>
      <c r="DI38" s="3">
        <f t="shared" si="19"/>
        <v>96.64</v>
      </c>
      <c r="DJ38" s="3">
        <f t="shared" si="19"/>
        <v>0.15</v>
      </c>
      <c r="DK38" s="3">
        <f t="shared" si="19"/>
        <v>2.4</v>
      </c>
      <c r="DL38" s="3">
        <f t="shared" si="19"/>
        <v>0.05</v>
      </c>
      <c r="DM38" s="3">
        <f t="shared" si="19"/>
        <v>0.8</v>
      </c>
      <c r="DN38" s="3">
        <f t="shared" si="19"/>
        <v>0.01</v>
      </c>
      <c r="DO38" s="3">
        <f t="shared" si="19"/>
        <v>0.16</v>
      </c>
      <c r="DP38" s="3">
        <f t="shared" si="19"/>
        <v>0</v>
      </c>
      <c r="DQ38" s="3">
        <f t="shared" si="19"/>
        <v>0</v>
      </c>
      <c r="DR38" s="3">
        <f t="shared" si="19"/>
        <v>0</v>
      </c>
      <c r="DS38" s="3">
        <f t="shared" si="19"/>
        <v>0</v>
      </c>
      <c r="DT38" s="3">
        <f t="shared" si="19"/>
        <v>0</v>
      </c>
      <c r="DU38" s="3">
        <f t="shared" si="19"/>
        <v>0</v>
      </c>
      <c r="DV38" s="3">
        <f t="shared" si="19"/>
        <v>0</v>
      </c>
      <c r="DW38" s="3">
        <f t="shared" si="19"/>
        <v>0</v>
      </c>
      <c r="DX38" s="3">
        <f t="shared" si="19"/>
        <v>0</v>
      </c>
      <c r="DY38" s="3">
        <f t="shared" si="19"/>
        <v>0</v>
      </c>
      <c r="DZ38" s="3">
        <f t="shared" si="19"/>
        <v>227.09000000000003</v>
      </c>
      <c r="EA38" s="3">
        <f t="shared" si="19"/>
        <v>3631</v>
      </c>
      <c r="EB38" s="3">
        <f t="shared" si="19"/>
        <v>1.0400000000000005</v>
      </c>
      <c r="EC38" s="3">
        <f t="shared" si="19"/>
        <v>1.1000000000000003</v>
      </c>
      <c r="ED38" s="3">
        <f t="shared" si="19"/>
        <v>1.1400000000000003</v>
      </c>
      <c r="EE38" s="3">
        <f t="shared" si="19"/>
        <v>1.1000000000000003</v>
      </c>
      <c r="EF38" s="3">
        <f t="shared" si="19"/>
        <v>1.1300000000000003</v>
      </c>
      <c r="EG38" s="3">
        <f t="shared" si="19"/>
        <v>1.1500000000000006</v>
      </c>
      <c r="EH38" s="3">
        <f t="shared" si="19"/>
        <v>1.1200000000000003</v>
      </c>
      <c r="EI38" s="3">
        <f t="shared" si="19"/>
        <v>0.50000000000000011</v>
      </c>
      <c r="EJ38" s="3">
        <f t="shared" si="19"/>
        <v>10.569999999999997</v>
      </c>
      <c r="EK38" s="3">
        <f t="shared" si="19"/>
        <v>30.580000000000005</v>
      </c>
      <c r="EL38" s="3">
        <f t="shared" si="19"/>
        <v>48.170000000000009</v>
      </c>
      <c r="EM38" s="3">
        <f t="shared" ref="EM38:GX38" si="20">SUM(EM7:EM37)</f>
        <v>30.280000000000005</v>
      </c>
      <c r="EN38" s="3">
        <f t="shared" si="20"/>
        <v>12.749999999999996</v>
      </c>
      <c r="EO38" s="3">
        <f t="shared" si="20"/>
        <v>11.229999999999999</v>
      </c>
      <c r="EP38" s="3">
        <f t="shared" si="20"/>
        <v>1.08</v>
      </c>
      <c r="EQ38" s="3">
        <f t="shared" si="20"/>
        <v>0.12</v>
      </c>
      <c r="ER38" s="3">
        <f t="shared" si="20"/>
        <v>0.26</v>
      </c>
      <c r="ES38" s="3">
        <f t="shared" si="20"/>
        <v>0.37999999999999995</v>
      </c>
      <c r="ET38" s="3">
        <f t="shared" si="20"/>
        <v>0.90000000000000058</v>
      </c>
      <c r="EU38" s="3">
        <f t="shared" si="20"/>
        <v>1.1100000000000003</v>
      </c>
      <c r="EV38" s="3">
        <f t="shared" si="20"/>
        <v>1.0900000000000005</v>
      </c>
      <c r="EW38" s="3">
        <f t="shared" si="20"/>
        <v>1.1000000000000005</v>
      </c>
      <c r="EX38" s="3">
        <f t="shared" si="20"/>
        <v>1.1100000000000005</v>
      </c>
      <c r="EY38" s="3">
        <f t="shared" si="20"/>
        <v>1.1100000000000003</v>
      </c>
      <c r="EZ38" s="3">
        <f t="shared" si="20"/>
        <v>160.12000000000003</v>
      </c>
      <c r="FA38" s="3">
        <f t="shared" si="20"/>
        <v>0</v>
      </c>
      <c r="FB38" s="3">
        <f t="shared" si="20"/>
        <v>0</v>
      </c>
      <c r="FC38" s="3">
        <f t="shared" si="20"/>
        <v>0</v>
      </c>
      <c r="FD38" s="3">
        <f t="shared" si="20"/>
        <v>0</v>
      </c>
      <c r="FE38" s="3">
        <f t="shared" si="20"/>
        <v>0</v>
      </c>
      <c r="FF38" s="3">
        <f t="shared" si="20"/>
        <v>0</v>
      </c>
      <c r="FG38" s="3">
        <f t="shared" si="20"/>
        <v>0</v>
      </c>
      <c r="FH38" s="3">
        <f t="shared" si="20"/>
        <v>0</v>
      </c>
      <c r="FI38" s="3">
        <f t="shared" si="20"/>
        <v>0</v>
      </c>
      <c r="FJ38" s="3">
        <f t="shared" si="20"/>
        <v>0.06</v>
      </c>
      <c r="FK38" s="3">
        <f t="shared" si="20"/>
        <v>0</v>
      </c>
      <c r="FL38" s="3">
        <f t="shared" si="20"/>
        <v>0.02</v>
      </c>
      <c r="FM38" s="3">
        <f t="shared" si="20"/>
        <v>0.27</v>
      </c>
      <c r="FN38" s="3">
        <f t="shared" si="20"/>
        <v>6.9999999999999993E-2</v>
      </c>
      <c r="FO38" s="3">
        <f t="shared" si="20"/>
        <v>3.7499999999999996</v>
      </c>
      <c r="FP38" s="3">
        <f t="shared" si="20"/>
        <v>30.23</v>
      </c>
      <c r="FQ38" s="3">
        <f t="shared" si="20"/>
        <v>53.250000000000007</v>
      </c>
      <c r="FR38" s="3">
        <f t="shared" si="20"/>
        <v>28.83</v>
      </c>
      <c r="FS38" s="3">
        <f t="shared" si="20"/>
        <v>1.3199999999999998</v>
      </c>
      <c r="FT38" s="3">
        <f t="shared" si="20"/>
        <v>0</v>
      </c>
      <c r="FU38" s="3">
        <f t="shared" si="20"/>
        <v>0</v>
      </c>
      <c r="FV38" s="3">
        <f t="shared" si="20"/>
        <v>0</v>
      </c>
      <c r="FW38" s="3">
        <f t="shared" si="20"/>
        <v>0</v>
      </c>
      <c r="FX38" s="3">
        <f t="shared" si="20"/>
        <v>0</v>
      </c>
      <c r="FY38" s="3">
        <f t="shared" si="20"/>
        <v>117.79999999999997</v>
      </c>
      <c r="FZ38" s="3">
        <f t="shared" si="20"/>
        <v>30.11</v>
      </c>
      <c r="GA38" s="3">
        <f t="shared" si="20"/>
        <v>35.619999999999997</v>
      </c>
      <c r="GB38" s="3">
        <f t="shared" si="20"/>
        <v>32.820000000000007</v>
      </c>
      <c r="GC38" s="3">
        <f t="shared" si="20"/>
        <v>33.849999999999987</v>
      </c>
      <c r="GD38" s="3">
        <f t="shared" si="20"/>
        <v>37.5</v>
      </c>
      <c r="GE38" s="3">
        <f t="shared" si="20"/>
        <v>39.300000000000011</v>
      </c>
      <c r="GF38" s="3">
        <f t="shared" si="20"/>
        <v>40.889999999999993</v>
      </c>
      <c r="GG38" s="3">
        <f t="shared" si="20"/>
        <v>42.280000000000008</v>
      </c>
      <c r="GH38" s="3">
        <f t="shared" si="20"/>
        <v>34.83</v>
      </c>
      <c r="GI38" s="3">
        <f t="shared" si="20"/>
        <v>30.72000000000001</v>
      </c>
      <c r="GJ38" s="3">
        <f t="shared" si="20"/>
        <v>29.31</v>
      </c>
      <c r="GK38" s="3">
        <f t="shared" si="20"/>
        <v>29.659999999999997</v>
      </c>
      <c r="GL38" s="3">
        <f t="shared" si="20"/>
        <v>28.71</v>
      </c>
      <c r="GM38" s="3">
        <f t="shared" si="20"/>
        <v>25.99</v>
      </c>
      <c r="GN38" s="3">
        <f t="shared" si="20"/>
        <v>31.940000000000008</v>
      </c>
      <c r="GO38" s="3">
        <f t="shared" si="20"/>
        <v>65.790000000000006</v>
      </c>
      <c r="GP38" s="3">
        <f t="shared" si="20"/>
        <v>80.90000000000002</v>
      </c>
      <c r="GQ38" s="3">
        <f t="shared" si="20"/>
        <v>71.69</v>
      </c>
      <c r="GR38" s="3">
        <f t="shared" si="20"/>
        <v>65.739999999999995</v>
      </c>
      <c r="GS38" s="3">
        <f t="shared" si="20"/>
        <v>57.910000000000011</v>
      </c>
      <c r="GT38" s="3">
        <f t="shared" si="20"/>
        <v>37.660000000000004</v>
      </c>
      <c r="GU38" s="3">
        <f t="shared" si="20"/>
        <v>39.54</v>
      </c>
      <c r="GV38" s="3">
        <f t="shared" si="20"/>
        <v>32.409999999999997</v>
      </c>
      <c r="GW38" s="3">
        <f t="shared" si="20"/>
        <v>36.589999999999996</v>
      </c>
      <c r="GX38" s="3">
        <f t="shared" si="20"/>
        <v>991.75999999999988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topLeftCell="HF26" workbookViewId="0">
      <selection activeCell="HK35" sqref="HK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336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337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338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339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340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341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342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343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39.56</v>
      </c>
      <c r="BE14" s="3">
        <f t="shared" si="8"/>
        <v>1181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/>
      <c r="CA14" s="3"/>
      <c r="CB14" s="3"/>
      <c r="CC14" s="3"/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0.69000000000000039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/>
      <c r="GU14" s="3"/>
      <c r="GV14" s="3"/>
      <c r="GW14" s="3"/>
      <c r="GX14" s="3">
        <f t="shared" si="13"/>
        <v>38.869999999999997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344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345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346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347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348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349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350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351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352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353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354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355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356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357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358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359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360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361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362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363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11.809999999999999</v>
      </c>
      <c r="I38" s="3">
        <f t="shared" ref="I38:M38" si="15">SUM(I7:I36)</f>
        <v>352.64660000000009</v>
      </c>
      <c r="J38" s="3">
        <f t="shared" si="15"/>
        <v>8.8699999999999992</v>
      </c>
      <c r="K38" s="3">
        <f t="shared" si="15"/>
        <v>264.85820000000001</v>
      </c>
      <c r="L38" s="3">
        <f t="shared" si="15"/>
        <v>11.02</v>
      </c>
      <c r="M38" s="3">
        <f t="shared" si="15"/>
        <v>329.05720000000002</v>
      </c>
      <c r="N38" s="3">
        <f>SUM(N7:N37)</f>
        <v>9.15</v>
      </c>
      <c r="O38" s="3">
        <f t="shared" ref="O38:BZ38" si="16">SUM(O7:O37)</f>
        <v>273.21899999999999</v>
      </c>
      <c r="P38" s="3">
        <f t="shared" si="16"/>
        <v>10.43</v>
      </c>
      <c r="Q38" s="3">
        <f t="shared" si="16"/>
        <v>311.43979999999999</v>
      </c>
      <c r="R38" s="3">
        <f t="shared" si="16"/>
        <v>10.18</v>
      </c>
      <c r="S38" s="3">
        <f t="shared" si="16"/>
        <v>303.97480000000002</v>
      </c>
      <c r="T38" s="3">
        <f t="shared" si="16"/>
        <v>17.71</v>
      </c>
      <c r="U38" s="3">
        <f t="shared" si="16"/>
        <v>528.82060000000001</v>
      </c>
      <c r="V38" s="3">
        <f t="shared" si="16"/>
        <v>11.4</v>
      </c>
      <c r="W38" s="3">
        <f t="shared" si="16"/>
        <v>386.11400000000003</v>
      </c>
      <c r="X38" s="3">
        <f t="shared" si="16"/>
        <v>8.41</v>
      </c>
      <c r="Y38" s="3">
        <f t="shared" si="16"/>
        <v>283.04259999999994</v>
      </c>
      <c r="Z38" s="3">
        <f t="shared" si="16"/>
        <v>8.2799999999999994</v>
      </c>
      <c r="AA38" s="3">
        <f t="shared" si="16"/>
        <v>282.31079999999997</v>
      </c>
      <c r="AB38" s="3">
        <f t="shared" si="16"/>
        <v>7.6599999999999993</v>
      </c>
      <c r="AC38" s="3">
        <f t="shared" si="16"/>
        <v>261.3476</v>
      </c>
      <c r="AD38" s="3">
        <f t="shared" si="16"/>
        <v>9.5300000000000011</v>
      </c>
      <c r="AE38" s="3">
        <f t="shared" si="16"/>
        <v>325.72579999999999</v>
      </c>
      <c r="AF38" s="3">
        <f t="shared" si="16"/>
        <v>8.4700000000000006</v>
      </c>
      <c r="AG38" s="3">
        <f t="shared" si="16"/>
        <v>289.31420000000003</v>
      </c>
      <c r="AH38" s="3">
        <f t="shared" si="16"/>
        <v>10.17</v>
      </c>
      <c r="AI38" s="3">
        <f t="shared" si="16"/>
        <v>350.57620000000003</v>
      </c>
      <c r="AJ38" s="3">
        <f t="shared" si="16"/>
        <v>8.08</v>
      </c>
      <c r="AK38" s="3">
        <f t="shared" si="16"/>
        <v>276.2688</v>
      </c>
      <c r="AL38" s="3">
        <f t="shared" si="16"/>
        <v>21.709999999999997</v>
      </c>
      <c r="AM38" s="3">
        <f t="shared" si="16"/>
        <v>753.05060000000003</v>
      </c>
      <c r="AN38" s="3">
        <f t="shared" si="16"/>
        <v>23.849999999999998</v>
      </c>
      <c r="AO38" s="3">
        <f t="shared" si="16"/>
        <v>817.09099999999989</v>
      </c>
      <c r="AP38" s="3">
        <f t="shared" si="16"/>
        <v>21.2</v>
      </c>
      <c r="AQ38" s="3">
        <f t="shared" si="16"/>
        <v>709.89200000000005</v>
      </c>
      <c r="AR38" s="3">
        <f t="shared" si="16"/>
        <v>18.68</v>
      </c>
      <c r="AS38" s="3">
        <f t="shared" si="16"/>
        <v>611.75480000000016</v>
      </c>
      <c r="AT38" s="3">
        <f t="shared" si="16"/>
        <v>16.66</v>
      </c>
      <c r="AU38" s="3">
        <f t="shared" si="16"/>
        <v>548.98760000000004</v>
      </c>
      <c r="AV38" s="3">
        <f t="shared" si="16"/>
        <v>9.33</v>
      </c>
      <c r="AW38" s="3">
        <f t="shared" si="16"/>
        <v>326.40379999999999</v>
      </c>
      <c r="AX38" s="3">
        <f t="shared" si="16"/>
        <v>10.11</v>
      </c>
      <c r="AY38" s="3">
        <f t="shared" si="16"/>
        <v>301.88459999999998</v>
      </c>
      <c r="AZ38" s="3">
        <f t="shared" si="16"/>
        <v>8.16</v>
      </c>
      <c r="BA38" s="3">
        <f t="shared" si="16"/>
        <v>243.6576</v>
      </c>
      <c r="BB38" s="3">
        <f t="shared" si="16"/>
        <v>9.3999999999999986</v>
      </c>
      <c r="BC38" s="3">
        <f t="shared" si="16"/>
        <v>280.68400000000003</v>
      </c>
      <c r="BD38" s="3">
        <f t="shared" si="16"/>
        <v>290.27</v>
      </c>
      <c r="BE38" s="3">
        <f t="shared" si="16"/>
        <v>9413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0.02</v>
      </c>
      <c r="BN38" s="3">
        <f t="shared" si="16"/>
        <v>0.27999999999999997</v>
      </c>
      <c r="BO38" s="3">
        <f t="shared" si="16"/>
        <v>0.56000000000000005</v>
      </c>
      <c r="BP38" s="3">
        <f t="shared" si="16"/>
        <v>0.92</v>
      </c>
      <c r="BQ38" s="3">
        <f t="shared" si="16"/>
        <v>0.97</v>
      </c>
      <c r="BR38" s="3">
        <f t="shared" si="16"/>
        <v>0.78</v>
      </c>
      <c r="BS38" s="3">
        <f t="shared" si="16"/>
        <v>0.70000000000000007</v>
      </c>
      <c r="BT38" s="3">
        <f t="shared" si="16"/>
        <v>0.57000000000000006</v>
      </c>
      <c r="BU38" s="3">
        <f t="shared" si="16"/>
        <v>0.23</v>
      </c>
      <c r="BV38" s="3">
        <f t="shared" si="16"/>
        <v>0.01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0.31</v>
      </c>
      <c r="EC38" s="3">
        <f t="shared" si="17"/>
        <v>0.31</v>
      </c>
      <c r="ED38" s="3">
        <f t="shared" si="17"/>
        <v>0.31</v>
      </c>
      <c r="EE38" s="3">
        <f t="shared" si="17"/>
        <v>0.32</v>
      </c>
      <c r="EF38" s="3">
        <f t="shared" si="17"/>
        <v>0.31</v>
      </c>
      <c r="EG38" s="3">
        <f t="shared" si="17"/>
        <v>0.31000000000000005</v>
      </c>
      <c r="EH38" s="3">
        <f t="shared" si="17"/>
        <v>0.32</v>
      </c>
      <c r="EI38" s="3">
        <f t="shared" si="17"/>
        <v>0.21000000000000002</v>
      </c>
      <c r="EJ38" s="3">
        <f t="shared" si="17"/>
        <v>0.18000000000000002</v>
      </c>
      <c r="EK38" s="3">
        <f t="shared" si="17"/>
        <v>0.18</v>
      </c>
      <c r="EL38" s="3">
        <f t="shared" si="17"/>
        <v>0.24000000000000002</v>
      </c>
      <c r="EM38" s="3">
        <f t="shared" ref="EM38:GX38" si="18">SUM(EM7:EM37)</f>
        <v>0.16</v>
      </c>
      <c r="EN38" s="3">
        <f t="shared" si="18"/>
        <v>0.16</v>
      </c>
      <c r="EO38" s="3">
        <f t="shared" si="18"/>
        <v>0.16</v>
      </c>
      <c r="EP38" s="3">
        <f t="shared" si="18"/>
        <v>0.19000000000000003</v>
      </c>
      <c r="EQ38" s="3">
        <f t="shared" si="18"/>
        <v>0.19</v>
      </c>
      <c r="ER38" s="3">
        <f t="shared" si="18"/>
        <v>0.23</v>
      </c>
      <c r="ES38" s="3">
        <f t="shared" si="18"/>
        <v>0.31</v>
      </c>
      <c r="ET38" s="3">
        <f t="shared" si="18"/>
        <v>0.31</v>
      </c>
      <c r="EU38" s="3">
        <f t="shared" si="18"/>
        <v>0.31</v>
      </c>
      <c r="EV38" s="3">
        <f t="shared" si="18"/>
        <v>0.26</v>
      </c>
      <c r="EW38" s="3">
        <f t="shared" si="18"/>
        <v>0.27</v>
      </c>
      <c r="EX38" s="3">
        <f t="shared" si="18"/>
        <v>0.27</v>
      </c>
      <c r="EY38" s="3">
        <f t="shared" si="18"/>
        <v>0.26</v>
      </c>
      <c r="EZ38" s="3">
        <f t="shared" si="18"/>
        <v>6.0800000000000027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0.01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0.01</v>
      </c>
      <c r="FZ38" s="3">
        <f t="shared" si="18"/>
        <v>11.5</v>
      </c>
      <c r="GA38" s="3">
        <f t="shared" si="18"/>
        <v>8.56</v>
      </c>
      <c r="GB38" s="3">
        <f t="shared" si="18"/>
        <v>10.709999999999999</v>
      </c>
      <c r="GC38" s="3">
        <f t="shared" si="18"/>
        <v>8.83</v>
      </c>
      <c r="GD38" s="3">
        <f t="shared" si="18"/>
        <v>10.120000000000001</v>
      </c>
      <c r="GE38" s="3">
        <f t="shared" si="18"/>
        <v>9.870000000000001</v>
      </c>
      <c r="GF38" s="3">
        <f t="shared" si="18"/>
        <v>17.39</v>
      </c>
      <c r="GG38" s="3">
        <f t="shared" si="18"/>
        <v>11.21</v>
      </c>
      <c r="GH38" s="3">
        <f t="shared" si="18"/>
        <v>8.51</v>
      </c>
      <c r="GI38" s="3">
        <f t="shared" si="18"/>
        <v>8.66</v>
      </c>
      <c r="GJ38" s="3">
        <f t="shared" si="18"/>
        <v>8.34</v>
      </c>
      <c r="GK38" s="3">
        <f t="shared" si="18"/>
        <v>10.339999999999998</v>
      </c>
      <c r="GL38" s="3">
        <f t="shared" si="18"/>
        <v>9.09</v>
      </c>
      <c r="GM38" s="3">
        <f t="shared" si="18"/>
        <v>10.72</v>
      </c>
      <c r="GN38" s="3">
        <f t="shared" si="18"/>
        <v>8.4600000000000009</v>
      </c>
      <c r="GO38" s="3">
        <f t="shared" si="18"/>
        <v>21.75</v>
      </c>
      <c r="GP38" s="3">
        <f t="shared" si="18"/>
        <v>23.63</v>
      </c>
      <c r="GQ38" s="3">
        <f t="shared" si="18"/>
        <v>20.889999999999997</v>
      </c>
      <c r="GR38" s="3">
        <f t="shared" si="18"/>
        <v>18.37</v>
      </c>
      <c r="GS38" s="3">
        <f t="shared" si="18"/>
        <v>16.350000000000001</v>
      </c>
      <c r="GT38" s="3">
        <f t="shared" si="18"/>
        <v>9.0699999999999985</v>
      </c>
      <c r="GU38" s="3">
        <f t="shared" si="18"/>
        <v>9.84</v>
      </c>
      <c r="GV38" s="3">
        <f t="shared" si="18"/>
        <v>7.8900000000000006</v>
      </c>
      <c r="GW38" s="3">
        <f t="shared" si="18"/>
        <v>9.14</v>
      </c>
      <c r="GX38" s="3">
        <f t="shared" si="18"/>
        <v>289.23999999999995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tabSelected="1" workbookViewId="0">
      <pane ySplit="6" topLeftCell="A7" activePane="bottomLeft" state="frozen"/>
      <selection activeCell="CK1" sqref="CK1"/>
      <selection pane="bottomLeft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246</v>
      </c>
      <c r="C6" s="3" t="s">
        <v>8</v>
      </c>
      <c r="D6" s="3" t="s">
        <v>198</v>
      </c>
      <c r="E6" s="3"/>
      <c r="F6" s="3" t="s">
        <v>199</v>
      </c>
      <c r="G6" s="3" t="s">
        <v>200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405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404</v>
      </c>
      <c r="G7" s="6" t="s">
        <v>319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264</v>
      </c>
      <c r="GZ7" t="s">
        <v>264</v>
      </c>
      <c r="HA7" t="s">
        <v>264</v>
      </c>
      <c r="HB7" t="s">
        <v>264</v>
      </c>
      <c r="HC7" t="s">
        <v>264</v>
      </c>
      <c r="HD7" t="s">
        <v>264</v>
      </c>
      <c r="HE7" t="s">
        <v>264</v>
      </c>
      <c r="HF7" t="s">
        <v>264</v>
      </c>
      <c r="HG7" t="s">
        <v>264</v>
      </c>
      <c r="HH7" t="s">
        <v>264</v>
      </c>
      <c r="HI7" t="s">
        <v>264</v>
      </c>
      <c r="HJ7" t="s">
        <v>264</v>
      </c>
      <c r="HK7" t="s">
        <v>264</v>
      </c>
      <c r="HL7" t="s">
        <v>264</v>
      </c>
      <c r="HM7" t="s">
        <v>264</v>
      </c>
      <c r="HN7" t="s">
        <v>264</v>
      </c>
      <c r="HO7" t="s">
        <v>264</v>
      </c>
      <c r="HP7" t="s">
        <v>264</v>
      </c>
      <c r="HQ7" t="s">
        <v>264</v>
      </c>
      <c r="HR7" t="s">
        <v>264</v>
      </c>
      <c r="HS7" t="s">
        <v>264</v>
      </c>
      <c r="HT7" t="s">
        <v>264</v>
      </c>
      <c r="HU7" t="s">
        <v>264</v>
      </c>
      <c r="HV7" t="s">
        <v>264</v>
      </c>
    </row>
    <row r="8" spans="2:230" x14ac:dyDescent="0.55000000000000004">
      <c r="B8" s="12" t="s">
        <v>406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404</v>
      </c>
      <c r="G8" s="6" t="s">
        <v>319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264</v>
      </c>
      <c r="GZ8" t="s">
        <v>264</v>
      </c>
      <c r="HA8" t="s">
        <v>264</v>
      </c>
      <c r="HB8" t="s">
        <v>264</v>
      </c>
      <c r="HC8" t="s">
        <v>264</v>
      </c>
      <c r="HD8" t="s">
        <v>264</v>
      </c>
      <c r="HE8" t="s">
        <v>264</v>
      </c>
      <c r="HF8" t="s">
        <v>264</v>
      </c>
      <c r="HG8" t="s">
        <v>264</v>
      </c>
      <c r="HH8" t="s">
        <v>264</v>
      </c>
      <c r="HI8" t="s">
        <v>264</v>
      </c>
      <c r="HJ8" t="s">
        <v>264</v>
      </c>
      <c r="HK8" t="s">
        <v>264</v>
      </c>
      <c r="HL8" t="s">
        <v>264</v>
      </c>
      <c r="HM8" t="s">
        <v>264</v>
      </c>
      <c r="HN8" t="s">
        <v>264</v>
      </c>
      <c r="HO8" t="s">
        <v>264</v>
      </c>
      <c r="HP8" t="s">
        <v>264</v>
      </c>
      <c r="HQ8" t="s">
        <v>264</v>
      </c>
      <c r="HR8" t="s">
        <v>264</v>
      </c>
      <c r="HS8" t="s">
        <v>264</v>
      </c>
      <c r="HT8" t="s">
        <v>264</v>
      </c>
      <c r="HU8" t="s">
        <v>264</v>
      </c>
      <c r="HV8" t="s">
        <v>264</v>
      </c>
    </row>
    <row r="9" spans="2:230" x14ac:dyDescent="0.55000000000000004">
      <c r="B9" s="12" t="s">
        <v>407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404</v>
      </c>
      <c r="G9" s="6" t="s">
        <v>319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264</v>
      </c>
      <c r="GZ9" t="s">
        <v>264</v>
      </c>
      <c r="HA9" t="s">
        <v>264</v>
      </c>
      <c r="HB9" t="s">
        <v>264</v>
      </c>
      <c r="HC9" t="s">
        <v>264</v>
      </c>
      <c r="HD9" t="s">
        <v>264</v>
      </c>
      <c r="HE9" t="s">
        <v>264</v>
      </c>
      <c r="HF9" t="s">
        <v>264</v>
      </c>
      <c r="HG9" t="s">
        <v>264</v>
      </c>
      <c r="HH9" t="s">
        <v>264</v>
      </c>
      <c r="HI9" t="s">
        <v>264</v>
      </c>
      <c r="HJ9" t="s">
        <v>264</v>
      </c>
      <c r="HK9" t="s">
        <v>264</v>
      </c>
      <c r="HL9" t="s">
        <v>264</v>
      </c>
      <c r="HM9" t="s">
        <v>264</v>
      </c>
      <c r="HN9" t="s">
        <v>264</v>
      </c>
      <c r="HO9" t="s">
        <v>264</v>
      </c>
      <c r="HP9" t="s">
        <v>264</v>
      </c>
      <c r="HQ9" t="s">
        <v>264</v>
      </c>
      <c r="HR9" t="s">
        <v>264</v>
      </c>
      <c r="HS9" t="s">
        <v>264</v>
      </c>
      <c r="HT9" t="s">
        <v>264</v>
      </c>
      <c r="HU9" t="s">
        <v>264</v>
      </c>
      <c r="HV9" t="s">
        <v>264</v>
      </c>
    </row>
    <row r="10" spans="2:230" x14ac:dyDescent="0.55000000000000004">
      <c r="B10" s="12" t="s">
        <v>408</v>
      </c>
      <c r="C10" s="6" t="str">
        <f t="shared" si="8"/>
        <v>木曜日</v>
      </c>
      <c r="D10" s="6"/>
      <c r="E10" s="6" t="str">
        <f t="shared" si="9"/>
        <v/>
      </c>
      <c r="F10" s="6" t="s">
        <v>404</v>
      </c>
      <c r="G10" s="6" t="s">
        <v>319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264</v>
      </c>
      <c r="GZ10" t="s">
        <v>264</v>
      </c>
      <c r="HA10" t="s">
        <v>264</v>
      </c>
      <c r="HB10" t="s">
        <v>264</v>
      </c>
      <c r="HC10" t="s">
        <v>264</v>
      </c>
      <c r="HD10" t="s">
        <v>264</v>
      </c>
      <c r="HE10" t="s">
        <v>264</v>
      </c>
      <c r="HF10" t="s">
        <v>264</v>
      </c>
      <c r="HG10" t="s">
        <v>264</v>
      </c>
      <c r="HH10" t="s">
        <v>264</v>
      </c>
      <c r="HI10" t="s">
        <v>264</v>
      </c>
      <c r="HJ10" t="s">
        <v>264</v>
      </c>
      <c r="HK10" t="s">
        <v>264</v>
      </c>
      <c r="HL10" t="s">
        <v>264</v>
      </c>
      <c r="HM10" t="s">
        <v>264</v>
      </c>
      <c r="HN10" t="s">
        <v>264</v>
      </c>
      <c r="HO10" t="s">
        <v>264</v>
      </c>
      <c r="HP10" t="s">
        <v>264</v>
      </c>
      <c r="HQ10" t="s">
        <v>264</v>
      </c>
      <c r="HR10" t="s">
        <v>264</v>
      </c>
      <c r="HS10" t="s">
        <v>264</v>
      </c>
      <c r="HT10" t="s">
        <v>264</v>
      </c>
      <c r="HU10" t="s">
        <v>264</v>
      </c>
      <c r="HV10" t="s">
        <v>264</v>
      </c>
    </row>
    <row r="11" spans="2:230" x14ac:dyDescent="0.55000000000000004">
      <c r="B11" s="12" t="s">
        <v>409</v>
      </c>
      <c r="C11" s="6" t="str">
        <f t="shared" si="8"/>
        <v>金曜日</v>
      </c>
      <c r="D11" s="6"/>
      <c r="E11" s="6" t="str">
        <f t="shared" si="9"/>
        <v/>
      </c>
      <c r="F11" s="6" t="s">
        <v>404</v>
      </c>
      <c r="G11" s="6" t="s">
        <v>319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264</v>
      </c>
      <c r="GZ11" t="s">
        <v>264</v>
      </c>
      <c r="HA11" t="s">
        <v>264</v>
      </c>
      <c r="HB11" t="s">
        <v>264</v>
      </c>
      <c r="HC11" t="s">
        <v>264</v>
      </c>
      <c r="HD11" t="s">
        <v>264</v>
      </c>
      <c r="HE11" t="s">
        <v>264</v>
      </c>
      <c r="HF11" t="s">
        <v>264</v>
      </c>
      <c r="HG11" t="s">
        <v>264</v>
      </c>
      <c r="HH11" t="s">
        <v>264</v>
      </c>
      <c r="HI11" t="s">
        <v>264</v>
      </c>
      <c r="HJ11" t="s">
        <v>264</v>
      </c>
      <c r="HK11" t="s">
        <v>264</v>
      </c>
      <c r="HL11" t="s">
        <v>264</v>
      </c>
      <c r="HM11" t="s">
        <v>264</v>
      </c>
      <c r="HN11" t="s">
        <v>264</v>
      </c>
      <c r="HO11" t="s">
        <v>264</v>
      </c>
      <c r="HP11" t="s">
        <v>264</v>
      </c>
      <c r="HQ11" t="s">
        <v>264</v>
      </c>
      <c r="HR11" t="s">
        <v>264</v>
      </c>
      <c r="HS11" t="s">
        <v>264</v>
      </c>
      <c r="HT11" t="s">
        <v>264</v>
      </c>
      <c r="HU11" t="s">
        <v>264</v>
      </c>
      <c r="HV11" t="s">
        <v>264</v>
      </c>
    </row>
    <row r="12" spans="2:230" x14ac:dyDescent="0.55000000000000004">
      <c r="B12" s="12" t="s">
        <v>410</v>
      </c>
      <c r="C12" s="6" t="str">
        <f t="shared" si="8"/>
        <v>土曜日</v>
      </c>
      <c r="D12" s="6"/>
      <c r="E12" s="6" t="str">
        <f t="shared" si="9"/>
        <v>〇</v>
      </c>
      <c r="F12" s="6" t="s">
        <v>404</v>
      </c>
      <c r="G12" s="6" t="s">
        <v>319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264</v>
      </c>
      <c r="GZ12" t="s">
        <v>264</v>
      </c>
      <c r="HA12" t="s">
        <v>264</v>
      </c>
      <c r="HB12" t="s">
        <v>264</v>
      </c>
      <c r="HC12" t="s">
        <v>264</v>
      </c>
      <c r="HD12" t="s">
        <v>264</v>
      </c>
      <c r="HE12" t="s">
        <v>264</v>
      </c>
      <c r="HF12" t="s">
        <v>264</v>
      </c>
      <c r="HG12" t="s">
        <v>264</v>
      </c>
      <c r="HH12" t="s">
        <v>264</v>
      </c>
      <c r="HI12" t="s">
        <v>264</v>
      </c>
      <c r="HJ12" t="s">
        <v>264</v>
      </c>
      <c r="HK12" t="s">
        <v>264</v>
      </c>
      <c r="HL12" t="s">
        <v>264</v>
      </c>
      <c r="HM12" t="s">
        <v>264</v>
      </c>
      <c r="HN12" t="s">
        <v>264</v>
      </c>
      <c r="HO12" t="s">
        <v>264</v>
      </c>
      <c r="HP12" t="s">
        <v>264</v>
      </c>
      <c r="HQ12" t="s">
        <v>264</v>
      </c>
      <c r="HR12" t="s">
        <v>264</v>
      </c>
      <c r="HS12" t="s">
        <v>264</v>
      </c>
      <c r="HT12" t="s">
        <v>264</v>
      </c>
      <c r="HU12" t="s">
        <v>264</v>
      </c>
      <c r="HV12" t="s">
        <v>264</v>
      </c>
    </row>
    <row r="13" spans="2:230" x14ac:dyDescent="0.55000000000000004">
      <c r="B13" s="12" t="s">
        <v>411</v>
      </c>
      <c r="C13" s="6" t="str">
        <f t="shared" si="8"/>
        <v>日曜日</v>
      </c>
      <c r="D13" s="6"/>
      <c r="E13" s="6" t="str">
        <f t="shared" si="9"/>
        <v>〇</v>
      </c>
      <c r="F13" s="6" t="s">
        <v>404</v>
      </c>
      <c r="G13" s="6" t="s">
        <v>319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264</v>
      </c>
      <c r="GZ13" t="s">
        <v>264</v>
      </c>
      <c r="HA13" t="s">
        <v>264</v>
      </c>
      <c r="HB13" t="s">
        <v>264</v>
      </c>
      <c r="HC13" t="s">
        <v>264</v>
      </c>
      <c r="HD13" t="s">
        <v>264</v>
      </c>
      <c r="HE13" t="s">
        <v>264</v>
      </c>
      <c r="HF13" t="s">
        <v>264</v>
      </c>
      <c r="HG13" t="s">
        <v>264</v>
      </c>
      <c r="HH13" t="s">
        <v>264</v>
      </c>
      <c r="HI13" t="s">
        <v>264</v>
      </c>
      <c r="HJ13" t="s">
        <v>264</v>
      </c>
      <c r="HK13" t="s">
        <v>264</v>
      </c>
      <c r="HL13" t="s">
        <v>264</v>
      </c>
      <c r="HM13" t="s">
        <v>264</v>
      </c>
      <c r="HN13" t="s">
        <v>264</v>
      </c>
      <c r="HO13" t="s">
        <v>264</v>
      </c>
      <c r="HP13" t="s">
        <v>264</v>
      </c>
      <c r="HQ13" t="s">
        <v>264</v>
      </c>
      <c r="HR13" t="s">
        <v>264</v>
      </c>
      <c r="HS13" t="s">
        <v>264</v>
      </c>
      <c r="HT13" t="s">
        <v>264</v>
      </c>
      <c r="HU13" t="s">
        <v>264</v>
      </c>
      <c r="HV13" t="s">
        <v>264</v>
      </c>
    </row>
    <row r="14" spans="2:230" x14ac:dyDescent="0.55000000000000004">
      <c r="B14" s="12" t="s">
        <v>412</v>
      </c>
      <c r="C14" s="6" t="str">
        <f t="shared" si="8"/>
        <v>月曜日</v>
      </c>
      <c r="D14" s="6"/>
      <c r="E14" s="6" t="str">
        <f t="shared" si="9"/>
        <v/>
      </c>
      <c r="F14" s="6" t="s">
        <v>404</v>
      </c>
      <c r="G14" s="6" t="s">
        <v>319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264</v>
      </c>
      <c r="GZ14" t="s">
        <v>264</v>
      </c>
      <c r="HA14" t="s">
        <v>264</v>
      </c>
      <c r="HB14" t="s">
        <v>264</v>
      </c>
      <c r="HC14" t="s">
        <v>264</v>
      </c>
      <c r="HD14" t="s">
        <v>264</v>
      </c>
      <c r="HE14" t="s">
        <v>264</v>
      </c>
      <c r="HF14" t="s">
        <v>264</v>
      </c>
      <c r="HG14" t="s">
        <v>264</v>
      </c>
      <c r="HH14" t="s">
        <v>264</v>
      </c>
      <c r="HI14" t="s">
        <v>264</v>
      </c>
      <c r="HJ14" t="s">
        <v>264</v>
      </c>
      <c r="HK14" t="s">
        <v>264</v>
      </c>
      <c r="HL14" t="s">
        <v>264</v>
      </c>
      <c r="HM14" t="s">
        <v>264</v>
      </c>
      <c r="HN14" t="s">
        <v>264</v>
      </c>
      <c r="HO14" t="s">
        <v>264</v>
      </c>
      <c r="HP14" t="s">
        <v>264</v>
      </c>
      <c r="HQ14" t="s">
        <v>264</v>
      </c>
      <c r="HR14" t="s">
        <v>264</v>
      </c>
      <c r="HS14" t="s">
        <v>264</v>
      </c>
      <c r="HT14" t="s">
        <v>264</v>
      </c>
      <c r="HU14" t="s">
        <v>264</v>
      </c>
      <c r="HV14" t="s">
        <v>264</v>
      </c>
    </row>
    <row r="15" spans="2:230" x14ac:dyDescent="0.55000000000000004">
      <c r="B15" s="12" t="s">
        <v>413</v>
      </c>
      <c r="C15" s="6" t="str">
        <f t="shared" si="8"/>
        <v>火曜日</v>
      </c>
      <c r="D15" s="6"/>
      <c r="E15" s="6" t="str">
        <f t="shared" si="9"/>
        <v/>
      </c>
      <c r="F15" s="6" t="s">
        <v>404</v>
      </c>
      <c r="G15" s="6" t="s">
        <v>319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264</v>
      </c>
      <c r="GZ15" t="s">
        <v>264</v>
      </c>
      <c r="HA15" t="s">
        <v>264</v>
      </c>
      <c r="HB15" t="s">
        <v>264</v>
      </c>
      <c r="HC15" t="s">
        <v>264</v>
      </c>
      <c r="HD15" t="s">
        <v>264</v>
      </c>
      <c r="HE15" t="s">
        <v>264</v>
      </c>
      <c r="HF15" t="s">
        <v>264</v>
      </c>
      <c r="HG15" t="s">
        <v>264</v>
      </c>
      <c r="HH15" t="s">
        <v>264</v>
      </c>
      <c r="HI15" t="s">
        <v>264</v>
      </c>
      <c r="HJ15" t="s">
        <v>264</v>
      </c>
      <c r="HK15" t="s">
        <v>264</v>
      </c>
      <c r="HL15" t="s">
        <v>264</v>
      </c>
      <c r="HM15" t="s">
        <v>264</v>
      </c>
      <c r="HN15" t="s">
        <v>264</v>
      </c>
      <c r="HO15" t="s">
        <v>264</v>
      </c>
      <c r="HP15" t="s">
        <v>264</v>
      </c>
      <c r="HQ15" t="s">
        <v>264</v>
      </c>
      <c r="HR15" t="s">
        <v>264</v>
      </c>
      <c r="HS15" t="s">
        <v>264</v>
      </c>
      <c r="HT15" t="s">
        <v>264</v>
      </c>
      <c r="HU15" t="s">
        <v>264</v>
      </c>
      <c r="HV15" t="s">
        <v>264</v>
      </c>
    </row>
    <row r="16" spans="2:230" x14ac:dyDescent="0.55000000000000004">
      <c r="B16" s="12" t="s">
        <v>414</v>
      </c>
      <c r="C16" s="6" t="str">
        <f t="shared" si="8"/>
        <v>水曜日</v>
      </c>
      <c r="D16" s="6"/>
      <c r="E16" s="6" t="str">
        <f t="shared" si="9"/>
        <v/>
      </c>
      <c r="F16" s="6" t="s">
        <v>404</v>
      </c>
      <c r="G16" s="6" t="s">
        <v>319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264</v>
      </c>
      <c r="GZ16" t="s">
        <v>264</v>
      </c>
      <c r="HA16" t="s">
        <v>264</v>
      </c>
      <c r="HB16" t="s">
        <v>264</v>
      </c>
      <c r="HC16" t="s">
        <v>264</v>
      </c>
      <c r="HD16" t="s">
        <v>264</v>
      </c>
      <c r="HE16" t="s">
        <v>264</v>
      </c>
      <c r="HF16" t="s">
        <v>264</v>
      </c>
      <c r="HG16" t="s">
        <v>264</v>
      </c>
      <c r="HH16" t="s">
        <v>264</v>
      </c>
      <c r="HI16" t="s">
        <v>264</v>
      </c>
      <c r="HJ16" t="s">
        <v>264</v>
      </c>
      <c r="HK16" t="s">
        <v>264</v>
      </c>
      <c r="HL16" t="s">
        <v>264</v>
      </c>
      <c r="HM16" t="s">
        <v>264</v>
      </c>
      <c r="HN16" t="s">
        <v>264</v>
      </c>
      <c r="HO16" t="s">
        <v>264</v>
      </c>
      <c r="HP16" t="s">
        <v>264</v>
      </c>
      <c r="HQ16" t="s">
        <v>264</v>
      </c>
      <c r="HR16" t="s">
        <v>264</v>
      </c>
      <c r="HS16" t="s">
        <v>264</v>
      </c>
      <c r="HT16" t="s">
        <v>264</v>
      </c>
      <c r="HU16" t="s">
        <v>264</v>
      </c>
      <c r="HV16" t="s">
        <v>264</v>
      </c>
    </row>
    <row r="17" spans="2:230" x14ac:dyDescent="0.55000000000000004">
      <c r="B17" s="12" t="s">
        <v>415</v>
      </c>
      <c r="C17" s="6" t="str">
        <f t="shared" si="8"/>
        <v>木曜日</v>
      </c>
      <c r="D17" s="6"/>
      <c r="E17" s="6" t="str">
        <f t="shared" si="9"/>
        <v/>
      </c>
      <c r="F17" s="6" t="s">
        <v>404</v>
      </c>
      <c r="G17" s="6" t="s">
        <v>319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264</v>
      </c>
      <c r="GZ17" t="s">
        <v>264</v>
      </c>
      <c r="HA17" t="s">
        <v>264</v>
      </c>
      <c r="HB17" t="s">
        <v>264</v>
      </c>
      <c r="HC17" t="s">
        <v>264</v>
      </c>
      <c r="HD17" t="s">
        <v>264</v>
      </c>
      <c r="HE17" t="s">
        <v>264</v>
      </c>
      <c r="HF17" t="s">
        <v>264</v>
      </c>
      <c r="HG17" t="s">
        <v>264</v>
      </c>
      <c r="HH17" t="s">
        <v>264</v>
      </c>
      <c r="HI17" t="s">
        <v>264</v>
      </c>
      <c r="HJ17" t="s">
        <v>264</v>
      </c>
      <c r="HK17" t="s">
        <v>264</v>
      </c>
      <c r="HL17" t="s">
        <v>264</v>
      </c>
      <c r="HM17" t="s">
        <v>264</v>
      </c>
      <c r="HN17" t="s">
        <v>264</v>
      </c>
      <c r="HO17" t="s">
        <v>264</v>
      </c>
      <c r="HP17" t="s">
        <v>264</v>
      </c>
      <c r="HQ17" t="s">
        <v>264</v>
      </c>
      <c r="HR17" t="s">
        <v>264</v>
      </c>
      <c r="HS17" t="s">
        <v>264</v>
      </c>
      <c r="HT17" t="s">
        <v>264</v>
      </c>
      <c r="HU17" t="s">
        <v>264</v>
      </c>
      <c r="HV17" t="s">
        <v>264</v>
      </c>
    </row>
    <row r="18" spans="2:230" x14ac:dyDescent="0.55000000000000004">
      <c r="B18" s="12" t="s">
        <v>416</v>
      </c>
      <c r="C18" s="6" t="str">
        <f t="shared" si="8"/>
        <v>金曜日</v>
      </c>
      <c r="D18" s="6"/>
      <c r="E18" s="6" t="str">
        <f t="shared" si="9"/>
        <v/>
      </c>
      <c r="F18" s="6" t="s">
        <v>404</v>
      </c>
      <c r="G18" s="6" t="s">
        <v>319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264</v>
      </c>
      <c r="GZ18" t="s">
        <v>264</v>
      </c>
      <c r="HA18" t="s">
        <v>264</v>
      </c>
      <c r="HB18" t="s">
        <v>264</v>
      </c>
      <c r="HC18" t="s">
        <v>264</v>
      </c>
      <c r="HD18" t="s">
        <v>264</v>
      </c>
      <c r="HE18" t="s">
        <v>264</v>
      </c>
      <c r="HF18" t="s">
        <v>264</v>
      </c>
      <c r="HG18" t="s">
        <v>264</v>
      </c>
      <c r="HH18" t="s">
        <v>264</v>
      </c>
      <c r="HI18" t="s">
        <v>264</v>
      </c>
      <c r="HJ18" t="s">
        <v>264</v>
      </c>
      <c r="HK18" t="s">
        <v>264</v>
      </c>
      <c r="HL18" t="s">
        <v>264</v>
      </c>
      <c r="HM18" t="s">
        <v>264</v>
      </c>
      <c r="HN18" t="s">
        <v>264</v>
      </c>
      <c r="HO18" t="s">
        <v>264</v>
      </c>
      <c r="HP18" t="s">
        <v>264</v>
      </c>
      <c r="HQ18" t="s">
        <v>264</v>
      </c>
      <c r="HR18" t="s">
        <v>264</v>
      </c>
      <c r="HS18" t="s">
        <v>264</v>
      </c>
      <c r="HT18" t="s">
        <v>264</v>
      </c>
      <c r="HU18" t="s">
        <v>264</v>
      </c>
      <c r="HV18" t="s">
        <v>264</v>
      </c>
    </row>
    <row r="19" spans="2:230" x14ac:dyDescent="0.55000000000000004">
      <c r="B19" s="12" t="s">
        <v>417</v>
      </c>
      <c r="C19" s="6" t="str">
        <f t="shared" si="8"/>
        <v>土曜日</v>
      </c>
      <c r="D19" s="6"/>
      <c r="E19" s="6" t="str">
        <f t="shared" si="9"/>
        <v>〇</v>
      </c>
      <c r="F19" s="6" t="s">
        <v>404</v>
      </c>
      <c r="G19" s="6" t="s">
        <v>319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264</v>
      </c>
      <c r="GZ19" t="s">
        <v>264</v>
      </c>
      <c r="HA19" t="s">
        <v>264</v>
      </c>
      <c r="HB19" t="s">
        <v>264</v>
      </c>
      <c r="HC19" t="s">
        <v>264</v>
      </c>
      <c r="HD19" t="s">
        <v>264</v>
      </c>
      <c r="HE19" t="s">
        <v>264</v>
      </c>
      <c r="HF19" t="s">
        <v>264</v>
      </c>
      <c r="HG19" t="s">
        <v>264</v>
      </c>
      <c r="HH19" t="s">
        <v>264</v>
      </c>
      <c r="HI19" t="s">
        <v>264</v>
      </c>
      <c r="HJ19" t="s">
        <v>264</v>
      </c>
      <c r="HK19" t="s">
        <v>264</v>
      </c>
      <c r="HL19" t="s">
        <v>264</v>
      </c>
      <c r="HM19" t="s">
        <v>264</v>
      </c>
      <c r="HN19" t="s">
        <v>264</v>
      </c>
      <c r="HO19" t="s">
        <v>264</v>
      </c>
      <c r="HP19" t="s">
        <v>264</v>
      </c>
      <c r="HQ19" t="s">
        <v>264</v>
      </c>
      <c r="HR19" t="s">
        <v>264</v>
      </c>
      <c r="HS19" t="s">
        <v>264</v>
      </c>
      <c r="HT19" t="s">
        <v>264</v>
      </c>
      <c r="HU19" t="s">
        <v>264</v>
      </c>
      <c r="HV19" t="s">
        <v>264</v>
      </c>
    </row>
    <row r="20" spans="2:230" x14ac:dyDescent="0.55000000000000004">
      <c r="B20" s="12" t="s">
        <v>418</v>
      </c>
      <c r="C20" s="6" t="str">
        <f t="shared" si="8"/>
        <v>日曜日</v>
      </c>
      <c r="D20" s="6"/>
      <c r="E20" s="6" t="str">
        <f t="shared" si="9"/>
        <v>〇</v>
      </c>
      <c r="F20" s="6" t="s">
        <v>404</v>
      </c>
      <c r="G20" s="6" t="s">
        <v>319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264</v>
      </c>
      <c r="GZ20" t="s">
        <v>264</v>
      </c>
      <c r="HA20" t="s">
        <v>264</v>
      </c>
      <c r="HB20" t="s">
        <v>264</v>
      </c>
      <c r="HC20" t="s">
        <v>264</v>
      </c>
      <c r="HD20" t="s">
        <v>264</v>
      </c>
      <c r="HE20" t="s">
        <v>264</v>
      </c>
      <c r="HF20" t="s">
        <v>264</v>
      </c>
      <c r="HG20" t="s">
        <v>264</v>
      </c>
      <c r="HH20" t="s">
        <v>264</v>
      </c>
      <c r="HI20" t="s">
        <v>264</v>
      </c>
      <c r="HJ20" t="s">
        <v>264</v>
      </c>
      <c r="HK20" t="s">
        <v>264</v>
      </c>
      <c r="HL20" t="s">
        <v>264</v>
      </c>
      <c r="HM20" t="s">
        <v>264</v>
      </c>
      <c r="HN20" t="s">
        <v>264</v>
      </c>
      <c r="HO20" t="s">
        <v>264</v>
      </c>
      <c r="HP20" t="s">
        <v>264</v>
      </c>
      <c r="HQ20" t="s">
        <v>264</v>
      </c>
      <c r="HR20" t="s">
        <v>264</v>
      </c>
      <c r="HS20" t="s">
        <v>264</v>
      </c>
      <c r="HT20" t="s">
        <v>264</v>
      </c>
      <c r="HU20" t="s">
        <v>264</v>
      </c>
      <c r="HV20" t="s">
        <v>264</v>
      </c>
    </row>
    <row r="21" spans="2:230" x14ac:dyDescent="0.55000000000000004">
      <c r="B21" s="12" t="s">
        <v>419</v>
      </c>
      <c r="C21" s="6" t="str">
        <f t="shared" si="8"/>
        <v>月曜日</v>
      </c>
      <c r="D21" s="6"/>
      <c r="E21" s="6" t="str">
        <f t="shared" si="9"/>
        <v/>
      </c>
      <c r="F21" s="6" t="s">
        <v>404</v>
      </c>
      <c r="G21" s="6" t="s">
        <v>319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264</v>
      </c>
      <c r="GZ21" t="s">
        <v>264</v>
      </c>
      <c r="HA21" t="s">
        <v>264</v>
      </c>
      <c r="HB21" t="s">
        <v>264</v>
      </c>
      <c r="HC21" t="s">
        <v>264</v>
      </c>
      <c r="HD21" t="s">
        <v>264</v>
      </c>
      <c r="HE21" t="s">
        <v>264</v>
      </c>
      <c r="HF21" t="s">
        <v>264</v>
      </c>
      <c r="HG21" t="s">
        <v>264</v>
      </c>
      <c r="HH21" t="s">
        <v>264</v>
      </c>
      <c r="HI21" t="s">
        <v>264</v>
      </c>
      <c r="HJ21" t="s">
        <v>264</v>
      </c>
      <c r="HK21" t="s">
        <v>264</v>
      </c>
      <c r="HL21" t="s">
        <v>264</v>
      </c>
      <c r="HM21" t="s">
        <v>264</v>
      </c>
      <c r="HN21" t="s">
        <v>264</v>
      </c>
      <c r="HO21" t="s">
        <v>264</v>
      </c>
      <c r="HP21" t="s">
        <v>264</v>
      </c>
      <c r="HQ21" t="s">
        <v>264</v>
      </c>
      <c r="HR21" t="s">
        <v>264</v>
      </c>
      <c r="HS21" t="s">
        <v>264</v>
      </c>
      <c r="HT21" t="s">
        <v>264</v>
      </c>
      <c r="HU21" t="s">
        <v>264</v>
      </c>
      <c r="HV21" t="s">
        <v>264</v>
      </c>
    </row>
    <row r="22" spans="2:230" x14ac:dyDescent="0.55000000000000004">
      <c r="B22" s="12" t="s">
        <v>420</v>
      </c>
      <c r="C22" s="6" t="str">
        <f t="shared" si="8"/>
        <v>火曜日</v>
      </c>
      <c r="D22" s="6"/>
      <c r="E22" s="6" t="str">
        <f t="shared" si="9"/>
        <v/>
      </c>
      <c r="F22" s="6" t="s">
        <v>404</v>
      </c>
      <c r="G22" s="6" t="s">
        <v>319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264</v>
      </c>
      <c r="GZ22" t="s">
        <v>264</v>
      </c>
      <c r="HA22" t="s">
        <v>264</v>
      </c>
      <c r="HB22" t="s">
        <v>264</v>
      </c>
      <c r="HC22" t="s">
        <v>264</v>
      </c>
      <c r="HD22" t="s">
        <v>264</v>
      </c>
      <c r="HE22" t="s">
        <v>264</v>
      </c>
      <c r="HF22" t="s">
        <v>264</v>
      </c>
      <c r="HG22" t="s">
        <v>264</v>
      </c>
      <c r="HH22" t="s">
        <v>264</v>
      </c>
      <c r="HI22" t="s">
        <v>264</v>
      </c>
      <c r="HJ22" t="s">
        <v>264</v>
      </c>
      <c r="HK22" t="s">
        <v>264</v>
      </c>
      <c r="HL22" t="s">
        <v>264</v>
      </c>
      <c r="HM22" t="s">
        <v>264</v>
      </c>
      <c r="HN22" t="s">
        <v>264</v>
      </c>
      <c r="HO22" t="s">
        <v>264</v>
      </c>
      <c r="HP22" t="s">
        <v>264</v>
      </c>
      <c r="HQ22" t="s">
        <v>264</v>
      </c>
      <c r="HR22" t="s">
        <v>264</v>
      </c>
      <c r="HS22" t="s">
        <v>264</v>
      </c>
      <c r="HT22" t="s">
        <v>264</v>
      </c>
      <c r="HU22" t="s">
        <v>264</v>
      </c>
      <c r="HV22" t="s">
        <v>264</v>
      </c>
    </row>
    <row r="23" spans="2:230" x14ac:dyDescent="0.55000000000000004">
      <c r="B23" s="12" t="s">
        <v>421</v>
      </c>
      <c r="C23" s="6" t="str">
        <f t="shared" si="8"/>
        <v>水曜日</v>
      </c>
      <c r="D23" s="6"/>
      <c r="E23" s="6" t="str">
        <f t="shared" si="9"/>
        <v/>
      </c>
      <c r="F23" s="6" t="s">
        <v>404</v>
      </c>
      <c r="G23" s="6" t="s">
        <v>319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264</v>
      </c>
      <c r="GZ23" t="s">
        <v>264</v>
      </c>
      <c r="HA23" t="s">
        <v>264</v>
      </c>
      <c r="HB23" t="s">
        <v>264</v>
      </c>
      <c r="HC23" t="s">
        <v>264</v>
      </c>
      <c r="HD23" t="s">
        <v>264</v>
      </c>
      <c r="HE23" t="s">
        <v>264</v>
      </c>
      <c r="HF23" t="s">
        <v>264</v>
      </c>
      <c r="HG23" t="s">
        <v>264</v>
      </c>
      <c r="HH23" t="s">
        <v>264</v>
      </c>
      <c r="HI23" t="s">
        <v>264</v>
      </c>
      <c r="HJ23" t="s">
        <v>264</v>
      </c>
      <c r="HK23" t="s">
        <v>264</v>
      </c>
      <c r="HL23" t="s">
        <v>264</v>
      </c>
      <c r="HM23" t="s">
        <v>264</v>
      </c>
      <c r="HN23" t="s">
        <v>264</v>
      </c>
      <c r="HO23" t="s">
        <v>264</v>
      </c>
      <c r="HP23" t="s">
        <v>264</v>
      </c>
      <c r="HQ23" t="s">
        <v>264</v>
      </c>
      <c r="HR23" t="s">
        <v>264</v>
      </c>
      <c r="HS23" t="s">
        <v>264</v>
      </c>
      <c r="HT23" t="s">
        <v>264</v>
      </c>
      <c r="HU23" t="s">
        <v>264</v>
      </c>
      <c r="HV23" t="s">
        <v>264</v>
      </c>
    </row>
    <row r="24" spans="2:230" x14ac:dyDescent="0.55000000000000004">
      <c r="B24" s="12" t="s">
        <v>422</v>
      </c>
      <c r="C24" s="6" t="str">
        <f t="shared" si="8"/>
        <v>木曜日</v>
      </c>
      <c r="D24" s="6"/>
      <c r="E24" s="6" t="str">
        <f t="shared" si="9"/>
        <v/>
      </c>
      <c r="F24" s="6" t="s">
        <v>404</v>
      </c>
      <c r="G24" s="6" t="s">
        <v>319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264</v>
      </c>
      <c r="GZ24" t="s">
        <v>264</v>
      </c>
      <c r="HA24" t="s">
        <v>264</v>
      </c>
      <c r="HB24" t="s">
        <v>264</v>
      </c>
      <c r="HC24" t="s">
        <v>264</v>
      </c>
      <c r="HD24" t="s">
        <v>264</v>
      </c>
      <c r="HE24" t="s">
        <v>264</v>
      </c>
      <c r="HF24" t="s">
        <v>264</v>
      </c>
      <c r="HG24" t="s">
        <v>264</v>
      </c>
      <c r="HH24" t="s">
        <v>264</v>
      </c>
      <c r="HI24" t="s">
        <v>264</v>
      </c>
      <c r="HJ24" t="s">
        <v>264</v>
      </c>
      <c r="HK24" t="s">
        <v>264</v>
      </c>
      <c r="HL24" t="s">
        <v>264</v>
      </c>
      <c r="HM24" t="s">
        <v>264</v>
      </c>
      <c r="HN24" t="s">
        <v>264</v>
      </c>
      <c r="HO24" t="s">
        <v>264</v>
      </c>
      <c r="HP24" t="s">
        <v>264</v>
      </c>
      <c r="HQ24" t="s">
        <v>264</v>
      </c>
      <c r="HR24" t="s">
        <v>264</v>
      </c>
      <c r="HS24" t="s">
        <v>264</v>
      </c>
      <c r="HT24" t="s">
        <v>264</v>
      </c>
      <c r="HU24" t="s">
        <v>264</v>
      </c>
      <c r="HV24" t="s">
        <v>264</v>
      </c>
    </row>
    <row r="25" spans="2:230" x14ac:dyDescent="0.55000000000000004">
      <c r="B25" s="12" t="s">
        <v>423</v>
      </c>
      <c r="C25" s="6" t="str">
        <f t="shared" si="8"/>
        <v>金曜日</v>
      </c>
      <c r="D25" s="6"/>
      <c r="E25" s="6" t="str">
        <f t="shared" si="9"/>
        <v/>
      </c>
      <c r="F25" s="6" t="s">
        <v>404</v>
      </c>
      <c r="G25" s="6" t="s">
        <v>319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264</v>
      </c>
      <c r="GZ25" t="s">
        <v>264</v>
      </c>
      <c r="HA25" t="s">
        <v>264</v>
      </c>
      <c r="HB25" t="s">
        <v>264</v>
      </c>
      <c r="HC25" t="s">
        <v>264</v>
      </c>
      <c r="HD25" t="s">
        <v>264</v>
      </c>
      <c r="HE25" t="s">
        <v>264</v>
      </c>
      <c r="HF25" t="s">
        <v>264</v>
      </c>
      <c r="HG25" t="s">
        <v>264</v>
      </c>
      <c r="HH25" t="s">
        <v>264</v>
      </c>
      <c r="HI25" t="s">
        <v>264</v>
      </c>
      <c r="HJ25" t="s">
        <v>264</v>
      </c>
      <c r="HK25" t="s">
        <v>264</v>
      </c>
      <c r="HL25" t="s">
        <v>264</v>
      </c>
      <c r="HM25" t="s">
        <v>264</v>
      </c>
      <c r="HN25" t="s">
        <v>264</v>
      </c>
      <c r="HO25" t="s">
        <v>264</v>
      </c>
      <c r="HP25" t="s">
        <v>264</v>
      </c>
      <c r="HQ25" t="s">
        <v>264</v>
      </c>
      <c r="HR25" t="s">
        <v>264</v>
      </c>
      <c r="HS25" t="s">
        <v>264</v>
      </c>
      <c r="HT25" t="s">
        <v>264</v>
      </c>
      <c r="HU25" t="s">
        <v>264</v>
      </c>
      <c r="HV25" t="s">
        <v>264</v>
      </c>
    </row>
    <row r="26" spans="2:230" x14ac:dyDescent="0.55000000000000004">
      <c r="B26" s="12" t="s">
        <v>424</v>
      </c>
      <c r="C26" s="6" t="str">
        <f t="shared" si="8"/>
        <v>土曜日</v>
      </c>
      <c r="D26" s="6"/>
      <c r="E26" s="6" t="str">
        <f t="shared" si="9"/>
        <v>〇</v>
      </c>
      <c r="F26" s="6" t="s">
        <v>404</v>
      </c>
      <c r="G26" s="6" t="s">
        <v>319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264</v>
      </c>
      <c r="GZ26" t="s">
        <v>264</v>
      </c>
      <c r="HA26" t="s">
        <v>264</v>
      </c>
      <c r="HB26" t="s">
        <v>264</v>
      </c>
      <c r="HC26" t="s">
        <v>264</v>
      </c>
      <c r="HD26" t="s">
        <v>264</v>
      </c>
      <c r="HE26" t="s">
        <v>264</v>
      </c>
      <c r="HF26" t="s">
        <v>264</v>
      </c>
      <c r="HG26" t="s">
        <v>264</v>
      </c>
      <c r="HH26" t="s">
        <v>264</v>
      </c>
      <c r="HI26" t="s">
        <v>264</v>
      </c>
      <c r="HJ26" t="s">
        <v>264</v>
      </c>
      <c r="HK26" t="s">
        <v>264</v>
      </c>
      <c r="HL26" t="s">
        <v>264</v>
      </c>
      <c r="HM26" t="s">
        <v>264</v>
      </c>
      <c r="HN26" t="s">
        <v>264</v>
      </c>
      <c r="HO26" t="s">
        <v>264</v>
      </c>
      <c r="HP26" t="s">
        <v>264</v>
      </c>
      <c r="HQ26" t="s">
        <v>264</v>
      </c>
      <c r="HR26" t="s">
        <v>264</v>
      </c>
      <c r="HS26" t="s">
        <v>264</v>
      </c>
      <c r="HT26" t="s">
        <v>264</v>
      </c>
      <c r="HU26" t="s">
        <v>264</v>
      </c>
      <c r="HV26" t="s">
        <v>264</v>
      </c>
    </row>
    <row r="27" spans="2:230" x14ac:dyDescent="0.55000000000000004">
      <c r="B27" s="12" t="s">
        <v>425</v>
      </c>
      <c r="C27" s="6" t="str">
        <f t="shared" si="8"/>
        <v>日曜日</v>
      </c>
      <c r="D27" s="6"/>
      <c r="E27" s="6" t="str">
        <f t="shared" si="9"/>
        <v>〇</v>
      </c>
      <c r="F27" s="6" t="s">
        <v>404</v>
      </c>
      <c r="G27" s="6" t="s">
        <v>319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264</v>
      </c>
      <c r="GZ27" t="s">
        <v>264</v>
      </c>
      <c r="HA27" t="s">
        <v>264</v>
      </c>
      <c r="HB27" t="s">
        <v>264</v>
      </c>
      <c r="HC27" t="s">
        <v>264</v>
      </c>
      <c r="HD27" t="s">
        <v>264</v>
      </c>
      <c r="HE27" t="s">
        <v>264</v>
      </c>
      <c r="HF27" t="s">
        <v>264</v>
      </c>
      <c r="HG27" t="s">
        <v>264</v>
      </c>
      <c r="HH27" t="s">
        <v>264</v>
      </c>
      <c r="HI27" t="s">
        <v>264</v>
      </c>
      <c r="HJ27" t="s">
        <v>264</v>
      </c>
      <c r="HK27" t="s">
        <v>264</v>
      </c>
      <c r="HL27" t="s">
        <v>264</v>
      </c>
      <c r="HM27" t="s">
        <v>264</v>
      </c>
      <c r="HN27" t="s">
        <v>264</v>
      </c>
      <c r="HO27" t="s">
        <v>264</v>
      </c>
      <c r="HP27" t="s">
        <v>264</v>
      </c>
      <c r="HQ27" t="s">
        <v>264</v>
      </c>
      <c r="HR27" t="s">
        <v>264</v>
      </c>
      <c r="HS27" t="s">
        <v>264</v>
      </c>
      <c r="HT27" t="s">
        <v>264</v>
      </c>
      <c r="HU27" t="s">
        <v>264</v>
      </c>
      <c r="HV27" t="s">
        <v>264</v>
      </c>
    </row>
    <row r="28" spans="2:230" x14ac:dyDescent="0.55000000000000004">
      <c r="B28" s="12" t="s">
        <v>426</v>
      </c>
      <c r="C28" s="6" t="str">
        <f t="shared" si="8"/>
        <v>月曜日</v>
      </c>
      <c r="D28" s="6"/>
      <c r="E28" s="6" t="str">
        <f t="shared" si="9"/>
        <v/>
      </c>
      <c r="F28" s="6" t="s">
        <v>404</v>
      </c>
      <c r="G28" s="6" t="s">
        <v>319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264</v>
      </c>
      <c r="GZ28" t="s">
        <v>264</v>
      </c>
      <c r="HA28" t="s">
        <v>264</v>
      </c>
      <c r="HB28" t="s">
        <v>264</v>
      </c>
      <c r="HC28" t="s">
        <v>264</v>
      </c>
      <c r="HD28" t="s">
        <v>264</v>
      </c>
      <c r="HE28" t="s">
        <v>264</v>
      </c>
      <c r="HF28" t="s">
        <v>264</v>
      </c>
      <c r="HG28" t="s">
        <v>264</v>
      </c>
      <c r="HH28" t="s">
        <v>264</v>
      </c>
      <c r="HI28" t="s">
        <v>264</v>
      </c>
      <c r="HJ28" t="s">
        <v>264</v>
      </c>
      <c r="HK28" t="s">
        <v>264</v>
      </c>
      <c r="HL28" t="s">
        <v>264</v>
      </c>
      <c r="HM28" t="s">
        <v>264</v>
      </c>
      <c r="HN28" t="s">
        <v>264</v>
      </c>
      <c r="HO28" t="s">
        <v>264</v>
      </c>
      <c r="HP28" t="s">
        <v>264</v>
      </c>
      <c r="HQ28" t="s">
        <v>264</v>
      </c>
      <c r="HR28" t="s">
        <v>264</v>
      </c>
      <c r="HS28" t="s">
        <v>264</v>
      </c>
      <c r="HT28" t="s">
        <v>264</v>
      </c>
      <c r="HU28" t="s">
        <v>264</v>
      </c>
      <c r="HV28" t="s">
        <v>264</v>
      </c>
    </row>
    <row r="29" spans="2:230" x14ac:dyDescent="0.55000000000000004">
      <c r="B29" s="12" t="s">
        <v>427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404</v>
      </c>
      <c r="G29" s="6" t="s">
        <v>319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264</v>
      </c>
      <c r="GZ29" t="s">
        <v>264</v>
      </c>
      <c r="HA29" t="s">
        <v>264</v>
      </c>
      <c r="HB29" t="s">
        <v>264</v>
      </c>
      <c r="HC29" t="s">
        <v>264</v>
      </c>
      <c r="HD29" t="s">
        <v>264</v>
      </c>
      <c r="HE29" t="s">
        <v>264</v>
      </c>
      <c r="HF29" t="s">
        <v>264</v>
      </c>
      <c r="HG29" t="s">
        <v>264</v>
      </c>
      <c r="HH29" t="s">
        <v>264</v>
      </c>
      <c r="HI29" t="s">
        <v>264</v>
      </c>
      <c r="HJ29" t="s">
        <v>264</v>
      </c>
      <c r="HK29" t="s">
        <v>264</v>
      </c>
      <c r="HL29" t="s">
        <v>264</v>
      </c>
      <c r="HM29" t="s">
        <v>264</v>
      </c>
      <c r="HN29" t="s">
        <v>264</v>
      </c>
      <c r="HO29" t="s">
        <v>264</v>
      </c>
      <c r="HP29" t="s">
        <v>264</v>
      </c>
      <c r="HQ29" t="s">
        <v>264</v>
      </c>
      <c r="HR29" t="s">
        <v>264</v>
      </c>
      <c r="HS29" t="s">
        <v>264</v>
      </c>
      <c r="HT29" t="s">
        <v>264</v>
      </c>
      <c r="HU29" t="s">
        <v>264</v>
      </c>
      <c r="HV29" t="s">
        <v>264</v>
      </c>
    </row>
    <row r="30" spans="2:230" x14ac:dyDescent="0.55000000000000004">
      <c r="B30" s="12" t="s">
        <v>428</v>
      </c>
      <c r="C30" s="6" t="str">
        <f t="shared" si="8"/>
        <v>水曜日</v>
      </c>
      <c r="D30" s="6"/>
      <c r="E30" s="6" t="str">
        <f t="shared" si="9"/>
        <v/>
      </c>
      <c r="F30" s="6" t="s">
        <v>404</v>
      </c>
      <c r="G30" s="6" t="s">
        <v>319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264</v>
      </c>
      <c r="GZ30" t="s">
        <v>264</v>
      </c>
      <c r="HA30" t="s">
        <v>264</v>
      </c>
      <c r="HB30" t="s">
        <v>264</v>
      </c>
      <c r="HC30" t="s">
        <v>264</v>
      </c>
      <c r="HD30" t="s">
        <v>264</v>
      </c>
      <c r="HE30" t="s">
        <v>264</v>
      </c>
      <c r="HF30" t="s">
        <v>264</v>
      </c>
      <c r="HG30" t="s">
        <v>264</v>
      </c>
      <c r="HH30" t="s">
        <v>264</v>
      </c>
      <c r="HI30" t="s">
        <v>264</v>
      </c>
      <c r="HJ30" t="s">
        <v>264</v>
      </c>
      <c r="HK30" t="s">
        <v>264</v>
      </c>
      <c r="HL30" t="s">
        <v>264</v>
      </c>
      <c r="HM30" t="s">
        <v>264</v>
      </c>
      <c r="HN30" t="s">
        <v>264</v>
      </c>
      <c r="HO30" t="s">
        <v>264</v>
      </c>
      <c r="HP30" t="s">
        <v>264</v>
      </c>
      <c r="HQ30" t="s">
        <v>264</v>
      </c>
      <c r="HR30" t="s">
        <v>264</v>
      </c>
      <c r="HS30" t="s">
        <v>264</v>
      </c>
      <c r="HT30" t="s">
        <v>264</v>
      </c>
      <c r="HU30" t="s">
        <v>264</v>
      </c>
      <c r="HV30" t="s">
        <v>264</v>
      </c>
    </row>
    <row r="31" spans="2:230" x14ac:dyDescent="0.55000000000000004">
      <c r="B31" s="12" t="s">
        <v>429</v>
      </c>
      <c r="C31" s="6" t="str">
        <f t="shared" si="8"/>
        <v>木曜日</v>
      </c>
      <c r="D31" s="6"/>
      <c r="E31" s="6" t="str">
        <f t="shared" si="9"/>
        <v/>
      </c>
      <c r="F31" s="6" t="s">
        <v>404</v>
      </c>
      <c r="G31" s="6" t="s">
        <v>319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264</v>
      </c>
      <c r="GZ31" t="s">
        <v>264</v>
      </c>
      <c r="HA31" t="s">
        <v>264</v>
      </c>
      <c r="HB31" t="s">
        <v>264</v>
      </c>
      <c r="HC31" t="s">
        <v>264</v>
      </c>
      <c r="HD31" t="s">
        <v>264</v>
      </c>
      <c r="HE31" t="s">
        <v>264</v>
      </c>
      <c r="HF31" t="s">
        <v>264</v>
      </c>
      <c r="HG31" t="s">
        <v>264</v>
      </c>
      <c r="HH31" t="s">
        <v>264</v>
      </c>
      <c r="HI31" t="s">
        <v>264</v>
      </c>
      <c r="HJ31" t="s">
        <v>264</v>
      </c>
      <c r="HK31" t="s">
        <v>264</v>
      </c>
      <c r="HL31" t="s">
        <v>264</v>
      </c>
      <c r="HM31" t="s">
        <v>264</v>
      </c>
      <c r="HN31" t="s">
        <v>264</v>
      </c>
      <c r="HO31" t="s">
        <v>264</v>
      </c>
      <c r="HP31" t="s">
        <v>264</v>
      </c>
      <c r="HQ31" t="s">
        <v>264</v>
      </c>
      <c r="HR31" t="s">
        <v>264</v>
      </c>
      <c r="HS31" t="s">
        <v>264</v>
      </c>
      <c r="HT31" t="s">
        <v>264</v>
      </c>
      <c r="HU31" t="s">
        <v>264</v>
      </c>
      <c r="HV31" t="s">
        <v>264</v>
      </c>
    </row>
    <row r="32" spans="2:230" x14ac:dyDescent="0.55000000000000004">
      <c r="B32" s="12" t="s">
        <v>430</v>
      </c>
      <c r="C32" s="6" t="str">
        <f t="shared" si="8"/>
        <v>金曜日</v>
      </c>
      <c r="D32" s="6"/>
      <c r="E32" s="6" t="str">
        <f t="shared" si="9"/>
        <v/>
      </c>
      <c r="F32" s="6" t="s">
        <v>404</v>
      </c>
      <c r="G32" s="6" t="s">
        <v>319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264</v>
      </c>
      <c r="GZ32" t="s">
        <v>264</v>
      </c>
      <c r="HA32" t="s">
        <v>264</v>
      </c>
      <c r="HB32" t="s">
        <v>264</v>
      </c>
      <c r="HC32" t="s">
        <v>264</v>
      </c>
      <c r="HD32" t="s">
        <v>264</v>
      </c>
      <c r="HE32" t="s">
        <v>264</v>
      </c>
      <c r="HF32" t="s">
        <v>264</v>
      </c>
      <c r="HG32" t="s">
        <v>264</v>
      </c>
      <c r="HH32" t="s">
        <v>264</v>
      </c>
      <c r="HI32" t="s">
        <v>264</v>
      </c>
      <c r="HJ32" t="s">
        <v>264</v>
      </c>
      <c r="HK32" t="s">
        <v>264</v>
      </c>
      <c r="HL32" t="s">
        <v>264</v>
      </c>
      <c r="HM32" t="s">
        <v>264</v>
      </c>
      <c r="HN32" t="s">
        <v>264</v>
      </c>
      <c r="HO32" t="s">
        <v>264</v>
      </c>
      <c r="HP32" t="s">
        <v>264</v>
      </c>
      <c r="HQ32" t="s">
        <v>264</v>
      </c>
      <c r="HR32" t="s">
        <v>264</v>
      </c>
      <c r="HS32" t="s">
        <v>264</v>
      </c>
      <c r="HT32" t="s">
        <v>264</v>
      </c>
      <c r="HU32" t="s">
        <v>264</v>
      </c>
      <c r="HV32" t="s">
        <v>264</v>
      </c>
    </row>
    <row r="33" spans="2:230" x14ac:dyDescent="0.55000000000000004">
      <c r="B33" s="12" t="s">
        <v>431</v>
      </c>
      <c r="C33" s="6" t="str">
        <f t="shared" si="8"/>
        <v>土曜日</v>
      </c>
      <c r="D33" s="6"/>
      <c r="E33" s="6" t="str">
        <f t="shared" si="9"/>
        <v>〇</v>
      </c>
      <c r="F33" s="6" t="s">
        <v>404</v>
      </c>
      <c r="G33" s="6" t="s">
        <v>319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264</v>
      </c>
      <c r="GZ33" t="s">
        <v>264</v>
      </c>
      <c r="HA33" t="s">
        <v>264</v>
      </c>
      <c r="HB33" t="s">
        <v>264</v>
      </c>
      <c r="HC33" t="s">
        <v>264</v>
      </c>
      <c r="HD33" t="s">
        <v>264</v>
      </c>
      <c r="HE33" t="s">
        <v>264</v>
      </c>
      <c r="HF33" t="s">
        <v>264</v>
      </c>
      <c r="HG33" t="s">
        <v>264</v>
      </c>
      <c r="HH33" t="s">
        <v>264</v>
      </c>
      <c r="HI33" t="s">
        <v>264</v>
      </c>
      <c r="HJ33" t="s">
        <v>264</v>
      </c>
      <c r="HK33" t="s">
        <v>264</v>
      </c>
      <c r="HL33" t="s">
        <v>264</v>
      </c>
      <c r="HM33" t="s">
        <v>264</v>
      </c>
      <c r="HN33" t="s">
        <v>264</v>
      </c>
      <c r="HO33" t="s">
        <v>264</v>
      </c>
      <c r="HP33" t="s">
        <v>264</v>
      </c>
      <c r="HQ33" t="s">
        <v>264</v>
      </c>
      <c r="HR33" t="s">
        <v>264</v>
      </c>
      <c r="HS33" t="s">
        <v>264</v>
      </c>
      <c r="HT33" t="s">
        <v>264</v>
      </c>
      <c r="HU33" t="s">
        <v>264</v>
      </c>
      <c r="HV33" t="s">
        <v>264</v>
      </c>
    </row>
    <row r="34" spans="2:230" x14ac:dyDescent="0.55000000000000004">
      <c r="B34" s="12" t="s">
        <v>432</v>
      </c>
      <c r="C34" s="6" t="str">
        <f t="shared" si="8"/>
        <v>日曜日</v>
      </c>
      <c r="D34" s="6"/>
      <c r="E34" s="6" t="str">
        <f t="shared" si="9"/>
        <v>〇</v>
      </c>
      <c r="F34" s="6" t="s">
        <v>404</v>
      </c>
      <c r="G34" s="6" t="s">
        <v>319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264</v>
      </c>
      <c r="GZ34" t="s">
        <v>264</v>
      </c>
      <c r="HA34" t="s">
        <v>264</v>
      </c>
      <c r="HB34" t="s">
        <v>264</v>
      </c>
      <c r="HC34" t="s">
        <v>264</v>
      </c>
      <c r="HD34" t="s">
        <v>264</v>
      </c>
      <c r="HE34" t="s">
        <v>264</v>
      </c>
      <c r="HF34" t="s">
        <v>264</v>
      </c>
      <c r="HG34" t="s">
        <v>264</v>
      </c>
      <c r="HH34" t="s">
        <v>264</v>
      </c>
      <c r="HI34" t="s">
        <v>264</v>
      </c>
      <c r="HJ34" t="s">
        <v>264</v>
      </c>
      <c r="HK34" t="s">
        <v>264</v>
      </c>
      <c r="HL34" t="s">
        <v>264</v>
      </c>
      <c r="HM34" t="s">
        <v>264</v>
      </c>
      <c r="HN34" t="s">
        <v>264</v>
      </c>
      <c r="HO34" t="s">
        <v>264</v>
      </c>
      <c r="HP34" t="s">
        <v>264</v>
      </c>
      <c r="HQ34" t="s">
        <v>264</v>
      </c>
      <c r="HR34" t="s">
        <v>264</v>
      </c>
      <c r="HS34" t="s">
        <v>264</v>
      </c>
      <c r="HT34" t="s">
        <v>264</v>
      </c>
      <c r="HU34" t="s">
        <v>264</v>
      </c>
      <c r="HV34" t="s">
        <v>264</v>
      </c>
    </row>
    <row r="35" spans="2:230" x14ac:dyDescent="0.55000000000000004">
      <c r="B35" s="12" t="s">
        <v>433</v>
      </c>
      <c r="C35" s="6" t="str">
        <f t="shared" si="8"/>
        <v>月曜日</v>
      </c>
      <c r="D35" s="6"/>
      <c r="E35" s="6" t="str">
        <f t="shared" si="9"/>
        <v/>
      </c>
      <c r="F35" s="6" t="s">
        <v>404</v>
      </c>
      <c r="G35" s="6" t="s">
        <v>319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264</v>
      </c>
      <c r="GZ35" t="s">
        <v>264</v>
      </c>
      <c r="HA35" t="s">
        <v>264</v>
      </c>
      <c r="HB35" t="s">
        <v>264</v>
      </c>
      <c r="HC35" t="s">
        <v>264</v>
      </c>
      <c r="HD35" t="s">
        <v>264</v>
      </c>
      <c r="HE35" t="s">
        <v>264</v>
      </c>
      <c r="HF35" t="s">
        <v>264</v>
      </c>
      <c r="HG35" t="s">
        <v>264</v>
      </c>
      <c r="HH35" t="s">
        <v>264</v>
      </c>
      <c r="HI35" t="s">
        <v>264</v>
      </c>
      <c r="HJ35" t="s">
        <v>264</v>
      </c>
      <c r="HK35" t="s">
        <v>264</v>
      </c>
      <c r="HL35" t="s">
        <v>264</v>
      </c>
      <c r="HM35" t="s">
        <v>264</v>
      </c>
      <c r="HN35" t="s">
        <v>264</v>
      </c>
      <c r="HO35" t="s">
        <v>264</v>
      </c>
      <c r="HP35" t="s">
        <v>264</v>
      </c>
      <c r="HQ35" t="s">
        <v>264</v>
      </c>
      <c r="HR35" t="s">
        <v>264</v>
      </c>
      <c r="HS35" t="s">
        <v>264</v>
      </c>
      <c r="HT35" t="s">
        <v>264</v>
      </c>
      <c r="HU35" t="s">
        <v>264</v>
      </c>
      <c r="HV35" t="s">
        <v>264</v>
      </c>
    </row>
    <row r="36" spans="2:230" x14ac:dyDescent="0.55000000000000004">
      <c r="B36" s="12" t="s">
        <v>434</v>
      </c>
      <c r="C36" s="6" t="str">
        <f t="shared" si="8"/>
        <v>火曜日</v>
      </c>
      <c r="D36" s="6"/>
      <c r="E36" s="6" t="str">
        <f t="shared" si="9"/>
        <v/>
      </c>
      <c r="F36" s="6" t="s">
        <v>404</v>
      </c>
      <c r="G36" s="6" t="s">
        <v>319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264</v>
      </c>
      <c r="GZ36" t="s">
        <v>264</v>
      </c>
      <c r="HA36" t="s">
        <v>264</v>
      </c>
      <c r="HB36" t="s">
        <v>264</v>
      </c>
      <c r="HC36" t="s">
        <v>264</v>
      </c>
      <c r="HD36" t="s">
        <v>264</v>
      </c>
      <c r="HE36" t="s">
        <v>264</v>
      </c>
      <c r="HF36" t="s">
        <v>264</v>
      </c>
      <c r="HG36" t="s">
        <v>264</v>
      </c>
      <c r="HH36" t="s">
        <v>264</v>
      </c>
      <c r="HI36" t="s">
        <v>264</v>
      </c>
      <c r="HJ36" t="s">
        <v>264</v>
      </c>
      <c r="HK36" t="s">
        <v>264</v>
      </c>
      <c r="HL36" t="s">
        <v>264</v>
      </c>
      <c r="HM36" t="s">
        <v>264</v>
      </c>
      <c r="HN36" t="s">
        <v>264</v>
      </c>
      <c r="HO36" t="s">
        <v>264</v>
      </c>
      <c r="HP36" t="s">
        <v>264</v>
      </c>
      <c r="HQ36" t="s">
        <v>264</v>
      </c>
      <c r="HR36" t="s">
        <v>264</v>
      </c>
      <c r="HS36" t="s">
        <v>264</v>
      </c>
      <c r="HT36" t="s">
        <v>264</v>
      </c>
      <c r="HU36" t="s">
        <v>264</v>
      </c>
      <c r="HV36" t="s">
        <v>264</v>
      </c>
    </row>
    <row r="37" spans="2:230" x14ac:dyDescent="0.55000000000000004">
      <c r="B37" s="12" t="s">
        <v>434</v>
      </c>
      <c r="C37" s="6" t="str">
        <f t="shared" si="8"/>
        <v>火曜日</v>
      </c>
      <c r="D37" s="6"/>
      <c r="E37" s="6"/>
      <c r="F37" s="6" t="s">
        <v>404</v>
      </c>
      <c r="G37" s="6" t="s">
        <v>319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 t="shared" ref="GX38" si="17"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dimension ref="A1:HV38"/>
  <sheetViews>
    <sheetView workbookViewId="0">
      <selection sqref="A1:XFD1048576"/>
    </sheetView>
  </sheetViews>
  <sheetFormatPr defaultRowHeight="18" x14ac:dyDescent="0.55000000000000004"/>
  <sheetData>
    <row r="1" spans="1:230" x14ac:dyDescent="0.55000000000000004">
      <c r="A1" t="s">
        <v>7</v>
      </c>
      <c r="H1" t="s">
        <v>365</v>
      </c>
      <c r="I1" t="s">
        <v>365</v>
      </c>
      <c r="J1" t="s">
        <v>366</v>
      </c>
      <c r="K1" t="s">
        <v>366</v>
      </c>
      <c r="L1" t="s">
        <v>367</v>
      </c>
      <c r="M1" t="s">
        <v>367</v>
      </c>
      <c r="N1" t="s">
        <v>368</v>
      </c>
      <c r="O1" t="s">
        <v>368</v>
      </c>
      <c r="P1" t="s">
        <v>369</v>
      </c>
      <c r="Q1" t="s">
        <v>369</v>
      </c>
      <c r="R1" t="s">
        <v>370</v>
      </c>
      <c r="S1" t="s">
        <v>370</v>
      </c>
      <c r="T1" t="s">
        <v>371</v>
      </c>
      <c r="U1" t="s">
        <v>371</v>
      </c>
      <c r="V1" t="s">
        <v>372</v>
      </c>
      <c r="W1" t="s">
        <v>372</v>
      </c>
      <c r="X1" t="s">
        <v>373</v>
      </c>
      <c r="Y1" t="s">
        <v>373</v>
      </c>
      <c r="Z1" t="s">
        <v>374</v>
      </c>
      <c r="AA1" t="s">
        <v>374</v>
      </c>
      <c r="AB1" t="s">
        <v>375</v>
      </c>
      <c r="AC1" t="s">
        <v>375</v>
      </c>
      <c r="AD1" t="s">
        <v>376</v>
      </c>
      <c r="AE1" t="s">
        <v>376</v>
      </c>
      <c r="AF1" t="s">
        <v>377</v>
      </c>
      <c r="AG1" t="s">
        <v>377</v>
      </c>
      <c r="AH1" t="s">
        <v>378</v>
      </c>
      <c r="AI1" t="s">
        <v>378</v>
      </c>
      <c r="AJ1" t="s">
        <v>379</v>
      </c>
      <c r="AK1" t="s">
        <v>379</v>
      </c>
      <c r="AL1" t="s">
        <v>380</v>
      </c>
      <c r="AM1" t="s">
        <v>380</v>
      </c>
      <c r="AN1" t="s">
        <v>381</v>
      </c>
      <c r="AO1" t="s">
        <v>381</v>
      </c>
      <c r="AP1" t="s">
        <v>382</v>
      </c>
      <c r="AQ1" t="s">
        <v>382</v>
      </c>
      <c r="AR1" t="s">
        <v>383</v>
      </c>
      <c r="AS1" t="s">
        <v>383</v>
      </c>
      <c r="AT1" t="s">
        <v>384</v>
      </c>
      <c r="AU1" t="s">
        <v>384</v>
      </c>
      <c r="AV1" t="s">
        <v>385</v>
      </c>
      <c r="AW1" t="s">
        <v>385</v>
      </c>
      <c r="AX1" t="s">
        <v>386</v>
      </c>
      <c r="AY1" t="s">
        <v>386</v>
      </c>
      <c r="AZ1" t="s">
        <v>387</v>
      </c>
      <c r="BA1" t="s">
        <v>387</v>
      </c>
      <c r="BB1" t="s">
        <v>388</v>
      </c>
      <c r="BC1" t="s">
        <v>388</v>
      </c>
      <c r="BD1" t="s">
        <v>389</v>
      </c>
      <c r="BE1" t="s">
        <v>389</v>
      </c>
      <c r="BF1" t="s">
        <v>365</v>
      </c>
      <c r="BG1" t="s">
        <v>366</v>
      </c>
      <c r="BH1" t="s">
        <v>367</v>
      </c>
      <c r="BI1" t="s">
        <v>368</v>
      </c>
      <c r="BJ1" t="s">
        <v>369</v>
      </c>
      <c r="BK1" t="s">
        <v>370</v>
      </c>
      <c r="BL1" t="s">
        <v>371</v>
      </c>
      <c r="BM1" t="s">
        <v>372</v>
      </c>
      <c r="BN1" t="s">
        <v>373</v>
      </c>
      <c r="BO1" t="s">
        <v>374</v>
      </c>
      <c r="BP1" t="s">
        <v>375</v>
      </c>
      <c r="BQ1" t="s">
        <v>376</v>
      </c>
      <c r="BR1" t="s">
        <v>377</v>
      </c>
      <c r="BS1" t="s">
        <v>378</v>
      </c>
      <c r="BT1" t="s">
        <v>379</v>
      </c>
      <c r="BU1" t="s">
        <v>380</v>
      </c>
      <c r="BV1" t="s">
        <v>381</v>
      </c>
      <c r="BW1" t="s">
        <v>382</v>
      </c>
      <c r="BX1" t="s">
        <v>383</v>
      </c>
      <c r="BY1" t="s">
        <v>384</v>
      </c>
      <c r="BZ1" t="s">
        <v>385</v>
      </c>
      <c r="CA1" t="s">
        <v>386</v>
      </c>
      <c r="CB1" t="s">
        <v>387</v>
      </c>
      <c r="CC1" t="s">
        <v>388</v>
      </c>
      <c r="CD1" t="s">
        <v>365</v>
      </c>
      <c r="CE1" t="s">
        <v>365</v>
      </c>
      <c r="CF1" t="s">
        <v>366</v>
      </c>
      <c r="CG1" t="s">
        <v>366</v>
      </c>
      <c r="CH1" t="s">
        <v>367</v>
      </c>
      <c r="CI1" t="s">
        <v>367</v>
      </c>
      <c r="CJ1" t="s">
        <v>368</v>
      </c>
      <c r="CK1" t="s">
        <v>368</v>
      </c>
      <c r="CL1" t="s">
        <v>369</v>
      </c>
      <c r="CM1" t="s">
        <v>369</v>
      </c>
      <c r="CN1" t="s">
        <v>370</v>
      </c>
      <c r="CO1" t="s">
        <v>370</v>
      </c>
      <c r="CP1" t="s">
        <v>371</v>
      </c>
      <c r="CQ1" t="s">
        <v>371</v>
      </c>
      <c r="CR1" t="s">
        <v>372</v>
      </c>
      <c r="CS1" t="s">
        <v>372</v>
      </c>
      <c r="CT1" t="s">
        <v>373</v>
      </c>
      <c r="CU1" t="s">
        <v>373</v>
      </c>
      <c r="CV1" t="s">
        <v>374</v>
      </c>
      <c r="CW1" t="s">
        <v>374</v>
      </c>
      <c r="CX1" t="s">
        <v>375</v>
      </c>
      <c r="CY1" t="s">
        <v>375</v>
      </c>
      <c r="CZ1" t="s">
        <v>376</v>
      </c>
      <c r="DA1" t="s">
        <v>376</v>
      </c>
      <c r="DB1" t="s">
        <v>377</v>
      </c>
      <c r="DC1" t="s">
        <v>377</v>
      </c>
      <c r="DD1" t="s">
        <v>378</v>
      </c>
      <c r="DE1" t="s">
        <v>378</v>
      </c>
      <c r="DF1" t="s">
        <v>379</v>
      </c>
      <c r="DG1" t="s">
        <v>379</v>
      </c>
      <c r="DH1" t="s">
        <v>380</v>
      </c>
      <c r="DI1" t="s">
        <v>380</v>
      </c>
      <c r="DJ1" t="s">
        <v>381</v>
      </c>
      <c r="DK1" t="s">
        <v>381</v>
      </c>
      <c r="DL1" t="s">
        <v>382</v>
      </c>
      <c r="DM1" t="s">
        <v>382</v>
      </c>
      <c r="DN1" t="s">
        <v>383</v>
      </c>
      <c r="DO1" t="s">
        <v>383</v>
      </c>
      <c r="DP1" t="s">
        <v>384</v>
      </c>
      <c r="DQ1" t="s">
        <v>384</v>
      </c>
      <c r="DR1" t="s">
        <v>385</v>
      </c>
      <c r="DS1" t="s">
        <v>385</v>
      </c>
      <c r="DT1" t="s">
        <v>386</v>
      </c>
      <c r="DU1" t="s">
        <v>386</v>
      </c>
      <c r="DV1" t="s">
        <v>387</v>
      </c>
      <c r="DW1" t="s">
        <v>387</v>
      </c>
      <c r="DX1" t="s">
        <v>388</v>
      </c>
      <c r="DY1" t="s">
        <v>388</v>
      </c>
      <c r="DZ1" t="s">
        <v>389</v>
      </c>
      <c r="EA1" t="s">
        <v>389</v>
      </c>
      <c r="EB1" t="s">
        <v>365</v>
      </c>
      <c r="EC1" t="s">
        <v>366</v>
      </c>
      <c r="ED1" t="s">
        <v>367</v>
      </c>
      <c r="EE1" t="s">
        <v>368</v>
      </c>
      <c r="EF1" t="s">
        <v>369</v>
      </c>
      <c r="EG1" t="s">
        <v>370</v>
      </c>
      <c r="EH1" t="s">
        <v>371</v>
      </c>
      <c r="EI1" t="s">
        <v>372</v>
      </c>
      <c r="EJ1" t="s">
        <v>373</v>
      </c>
      <c r="EK1" t="s">
        <v>374</v>
      </c>
      <c r="EL1" t="s">
        <v>375</v>
      </c>
      <c r="EM1" t="s">
        <v>376</v>
      </c>
      <c r="EN1" t="s">
        <v>377</v>
      </c>
      <c r="EO1" t="s">
        <v>378</v>
      </c>
      <c r="EP1" t="s">
        <v>379</v>
      </c>
      <c r="EQ1" t="s">
        <v>380</v>
      </c>
      <c r="ER1" t="s">
        <v>381</v>
      </c>
      <c r="ES1" t="s">
        <v>382</v>
      </c>
      <c r="ET1" t="s">
        <v>383</v>
      </c>
      <c r="EU1" t="s">
        <v>384</v>
      </c>
      <c r="EV1" t="s">
        <v>385</v>
      </c>
      <c r="EW1" t="s">
        <v>386</v>
      </c>
      <c r="EX1" t="s">
        <v>387</v>
      </c>
      <c r="EY1" t="s">
        <v>388</v>
      </c>
      <c r="EZ1" t="s">
        <v>389</v>
      </c>
      <c r="FA1" t="s">
        <v>365</v>
      </c>
      <c r="FB1" t="s">
        <v>366</v>
      </c>
      <c r="FC1" t="s">
        <v>367</v>
      </c>
      <c r="FD1" t="s">
        <v>368</v>
      </c>
      <c r="FE1" t="s">
        <v>369</v>
      </c>
      <c r="FF1" t="s">
        <v>370</v>
      </c>
      <c r="FG1" t="s">
        <v>371</v>
      </c>
      <c r="FH1" t="s">
        <v>372</v>
      </c>
      <c r="FI1" t="s">
        <v>373</v>
      </c>
      <c r="FJ1" t="s">
        <v>374</v>
      </c>
      <c r="FK1" t="s">
        <v>375</v>
      </c>
      <c r="FL1" t="s">
        <v>376</v>
      </c>
      <c r="FM1" t="s">
        <v>377</v>
      </c>
      <c r="FN1" t="s">
        <v>378</v>
      </c>
      <c r="FO1" t="s">
        <v>379</v>
      </c>
      <c r="FP1" t="s">
        <v>380</v>
      </c>
      <c r="FQ1" t="s">
        <v>381</v>
      </c>
      <c r="FR1" t="s">
        <v>382</v>
      </c>
      <c r="FS1" t="s">
        <v>383</v>
      </c>
      <c r="FT1" t="s">
        <v>384</v>
      </c>
      <c r="FU1" t="s">
        <v>385</v>
      </c>
      <c r="FV1" t="s">
        <v>386</v>
      </c>
      <c r="FW1" t="s">
        <v>387</v>
      </c>
      <c r="FX1" t="s">
        <v>388</v>
      </c>
      <c r="FY1" t="s">
        <v>389</v>
      </c>
      <c r="FZ1" t="s">
        <v>365</v>
      </c>
      <c r="GA1" t="s">
        <v>366</v>
      </c>
      <c r="GB1" t="s">
        <v>367</v>
      </c>
      <c r="GC1" t="s">
        <v>368</v>
      </c>
      <c r="GD1" t="s">
        <v>369</v>
      </c>
      <c r="GE1" t="s">
        <v>370</v>
      </c>
      <c r="GF1" t="s">
        <v>371</v>
      </c>
      <c r="GG1" t="s">
        <v>372</v>
      </c>
      <c r="GH1" t="s">
        <v>373</v>
      </c>
      <c r="GI1" t="s">
        <v>374</v>
      </c>
      <c r="GJ1" t="s">
        <v>375</v>
      </c>
      <c r="GK1" t="s">
        <v>376</v>
      </c>
      <c r="GL1" t="s">
        <v>377</v>
      </c>
      <c r="GM1" t="s">
        <v>378</v>
      </c>
      <c r="GN1" t="s">
        <v>379</v>
      </c>
      <c r="GO1" t="s">
        <v>380</v>
      </c>
      <c r="GP1" t="s">
        <v>381</v>
      </c>
      <c r="GQ1" t="s">
        <v>382</v>
      </c>
      <c r="GR1" t="s">
        <v>383</v>
      </c>
      <c r="GS1" t="s">
        <v>384</v>
      </c>
      <c r="GT1" t="s">
        <v>385</v>
      </c>
      <c r="GU1" t="s">
        <v>386</v>
      </c>
      <c r="GV1" t="s">
        <v>387</v>
      </c>
      <c r="GW1" t="s">
        <v>388</v>
      </c>
      <c r="GX1" t="s">
        <v>389</v>
      </c>
    </row>
    <row r="3" spans="1:230" x14ac:dyDescent="0.55000000000000004">
      <c r="F3" t="s">
        <v>390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391</v>
      </c>
    </row>
    <row r="5" spans="1:230" x14ac:dyDescent="0.55000000000000004">
      <c r="H5" t="s">
        <v>7</v>
      </c>
      <c r="I5" t="s">
        <v>392</v>
      </c>
      <c r="J5" t="s">
        <v>7</v>
      </c>
      <c r="K5" t="s">
        <v>392</v>
      </c>
      <c r="L5" t="s">
        <v>7</v>
      </c>
      <c r="M5" t="s">
        <v>392</v>
      </c>
      <c r="N5" t="s">
        <v>7</v>
      </c>
      <c r="O5" t="s">
        <v>392</v>
      </c>
      <c r="P5" t="s">
        <v>7</v>
      </c>
      <c r="Q5" t="s">
        <v>392</v>
      </c>
      <c r="R5" t="s">
        <v>7</v>
      </c>
      <c r="S5" t="s">
        <v>392</v>
      </c>
      <c r="T5" t="s">
        <v>7</v>
      </c>
      <c r="U5" t="s">
        <v>392</v>
      </c>
      <c r="V5" t="s">
        <v>7</v>
      </c>
      <c r="W5" t="s">
        <v>392</v>
      </c>
      <c r="X5" t="s">
        <v>7</v>
      </c>
      <c r="Y5" t="s">
        <v>392</v>
      </c>
      <c r="Z5" t="s">
        <v>7</v>
      </c>
      <c r="AA5" t="s">
        <v>392</v>
      </c>
      <c r="AB5" t="s">
        <v>7</v>
      </c>
      <c r="AC5" t="s">
        <v>392</v>
      </c>
      <c r="AD5" t="s">
        <v>7</v>
      </c>
      <c r="AE5" t="s">
        <v>392</v>
      </c>
      <c r="AF5" t="s">
        <v>7</v>
      </c>
      <c r="AG5" t="s">
        <v>392</v>
      </c>
      <c r="AH5" t="s">
        <v>7</v>
      </c>
      <c r="AI5" t="s">
        <v>392</v>
      </c>
      <c r="AJ5" t="s">
        <v>7</v>
      </c>
      <c r="AK5" t="s">
        <v>392</v>
      </c>
      <c r="AL5" t="s">
        <v>7</v>
      </c>
      <c r="AM5" t="s">
        <v>392</v>
      </c>
      <c r="AN5" t="s">
        <v>7</v>
      </c>
      <c r="AO5" t="s">
        <v>392</v>
      </c>
      <c r="AP5" t="s">
        <v>7</v>
      </c>
      <c r="AQ5" t="s">
        <v>392</v>
      </c>
      <c r="AR5" t="s">
        <v>7</v>
      </c>
      <c r="AS5" t="s">
        <v>392</v>
      </c>
      <c r="AT5" t="s">
        <v>7</v>
      </c>
      <c r="AU5" t="s">
        <v>392</v>
      </c>
      <c r="AV5" t="s">
        <v>7</v>
      </c>
      <c r="AW5" t="s">
        <v>392</v>
      </c>
      <c r="AX5" t="s">
        <v>7</v>
      </c>
      <c r="AY5" t="s">
        <v>392</v>
      </c>
      <c r="AZ5" t="s">
        <v>7</v>
      </c>
      <c r="BA5" t="s">
        <v>392</v>
      </c>
      <c r="BB5" t="s">
        <v>7</v>
      </c>
      <c r="BC5" t="s">
        <v>392</v>
      </c>
      <c r="BD5" t="s">
        <v>7</v>
      </c>
      <c r="BE5" t="s">
        <v>392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392</v>
      </c>
      <c r="CF5" t="s">
        <v>7</v>
      </c>
      <c r="CG5" t="s">
        <v>392</v>
      </c>
      <c r="CH5" t="s">
        <v>7</v>
      </c>
      <c r="CI5" t="s">
        <v>392</v>
      </c>
      <c r="CJ5" t="s">
        <v>7</v>
      </c>
      <c r="CK5" t="s">
        <v>392</v>
      </c>
      <c r="CL5" t="s">
        <v>7</v>
      </c>
      <c r="CM5" t="s">
        <v>392</v>
      </c>
      <c r="CN5" t="s">
        <v>7</v>
      </c>
      <c r="CO5" t="s">
        <v>392</v>
      </c>
      <c r="CP5" t="s">
        <v>7</v>
      </c>
      <c r="CQ5" t="s">
        <v>392</v>
      </c>
      <c r="CR5" t="s">
        <v>7</v>
      </c>
      <c r="CS5" t="s">
        <v>392</v>
      </c>
      <c r="CT5" t="s">
        <v>7</v>
      </c>
      <c r="CU5" t="s">
        <v>392</v>
      </c>
      <c r="CV5" t="s">
        <v>7</v>
      </c>
      <c r="CW5" t="s">
        <v>392</v>
      </c>
      <c r="CX5" t="s">
        <v>7</v>
      </c>
      <c r="CY5" t="s">
        <v>392</v>
      </c>
      <c r="CZ5" t="s">
        <v>7</v>
      </c>
      <c r="DA5" t="s">
        <v>392</v>
      </c>
      <c r="DB5" t="s">
        <v>7</v>
      </c>
      <c r="DC5" t="s">
        <v>392</v>
      </c>
      <c r="DD5" t="s">
        <v>7</v>
      </c>
      <c r="DE5" t="s">
        <v>392</v>
      </c>
      <c r="DF5" t="s">
        <v>7</v>
      </c>
      <c r="DG5" t="s">
        <v>392</v>
      </c>
      <c r="DH5" t="s">
        <v>7</v>
      </c>
      <c r="DI5" t="s">
        <v>392</v>
      </c>
      <c r="DJ5" t="s">
        <v>7</v>
      </c>
      <c r="DK5" t="s">
        <v>392</v>
      </c>
      <c r="DL5" t="s">
        <v>7</v>
      </c>
      <c r="DM5" t="s">
        <v>392</v>
      </c>
      <c r="DN5" t="s">
        <v>7</v>
      </c>
      <c r="DO5" t="s">
        <v>392</v>
      </c>
      <c r="DP5" t="s">
        <v>7</v>
      </c>
      <c r="DQ5" t="s">
        <v>392</v>
      </c>
      <c r="DR5" t="s">
        <v>7</v>
      </c>
      <c r="DS5" t="s">
        <v>392</v>
      </c>
      <c r="DT5" t="s">
        <v>7</v>
      </c>
      <c r="DU5" t="s">
        <v>392</v>
      </c>
      <c r="DV5" t="s">
        <v>7</v>
      </c>
      <c r="DW5" t="s">
        <v>392</v>
      </c>
      <c r="DX5" t="s">
        <v>7</v>
      </c>
      <c r="DY5" t="s">
        <v>392</v>
      </c>
      <c r="DZ5" t="s">
        <v>7</v>
      </c>
      <c r="EA5" t="s">
        <v>392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55000000000000004">
      <c r="B6" t="s">
        <v>246</v>
      </c>
      <c r="C6" t="s">
        <v>8</v>
      </c>
      <c r="D6" t="s">
        <v>9</v>
      </c>
      <c r="E6" t="s">
        <v>84</v>
      </c>
      <c r="F6" t="s">
        <v>89</v>
      </c>
      <c r="G6" t="s">
        <v>90</v>
      </c>
      <c r="H6" t="s">
        <v>393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117</v>
      </c>
      <c r="BE6" t="s">
        <v>83</v>
      </c>
      <c r="BF6" t="s">
        <v>393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393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117</v>
      </c>
      <c r="EA6" t="s">
        <v>83</v>
      </c>
      <c r="EB6" t="s">
        <v>393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117</v>
      </c>
      <c r="FA6" t="s">
        <v>393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117</v>
      </c>
      <c r="FZ6" t="s">
        <v>393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117</v>
      </c>
      <c r="GY6" t="s">
        <v>394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55000000000000004">
      <c r="B7" t="s">
        <v>287</v>
      </c>
      <c r="C7" t="s">
        <v>395</v>
      </c>
      <c r="E7" t="s">
        <v>396</v>
      </c>
      <c r="F7" t="s">
        <v>267</v>
      </c>
      <c r="G7" t="s">
        <v>265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55000000000000004">
      <c r="B8" t="s">
        <v>288</v>
      </c>
      <c r="C8" t="s">
        <v>397</v>
      </c>
      <c r="E8" t="s">
        <v>396</v>
      </c>
      <c r="F8" t="s">
        <v>265</v>
      </c>
      <c r="G8" t="s">
        <v>265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55000000000000004">
      <c r="B9" t="s">
        <v>289</v>
      </c>
      <c r="C9" t="s">
        <v>398</v>
      </c>
      <c r="D9" t="s">
        <v>399</v>
      </c>
      <c r="E9" t="s">
        <v>399</v>
      </c>
      <c r="F9" t="s">
        <v>265</v>
      </c>
      <c r="G9" t="s">
        <v>334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55000000000000004">
      <c r="B10" t="s">
        <v>290</v>
      </c>
      <c r="C10" t="s">
        <v>400</v>
      </c>
      <c r="E10" t="s">
        <v>396</v>
      </c>
      <c r="F10" t="s">
        <v>265</v>
      </c>
      <c r="G10" t="s">
        <v>267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55000000000000004">
      <c r="B11" t="s">
        <v>291</v>
      </c>
      <c r="C11" t="s">
        <v>401</v>
      </c>
      <c r="E11" t="s">
        <v>396</v>
      </c>
      <c r="F11" t="s">
        <v>265</v>
      </c>
      <c r="G11" t="s">
        <v>266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55000000000000004">
      <c r="B12" t="s">
        <v>292</v>
      </c>
      <c r="C12" t="s">
        <v>402</v>
      </c>
      <c r="E12" t="s">
        <v>399</v>
      </c>
      <c r="F12" t="s">
        <v>265</v>
      </c>
      <c r="G12" t="s">
        <v>265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55000000000000004">
      <c r="B13" t="s">
        <v>293</v>
      </c>
      <c r="C13" t="s">
        <v>403</v>
      </c>
      <c r="E13" t="s">
        <v>399</v>
      </c>
      <c r="F13" t="s">
        <v>265</v>
      </c>
      <c r="G13" t="s">
        <v>265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55000000000000004">
      <c r="B14" t="s">
        <v>294</v>
      </c>
      <c r="C14" t="s">
        <v>395</v>
      </c>
      <c r="E14" t="s">
        <v>396</v>
      </c>
      <c r="F14" t="s">
        <v>267</v>
      </c>
      <c r="G14" t="s">
        <v>265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55000000000000004">
      <c r="B15" t="s">
        <v>295</v>
      </c>
      <c r="C15" t="s">
        <v>397</v>
      </c>
      <c r="E15" t="s">
        <v>396</v>
      </c>
      <c r="F15" t="s">
        <v>265</v>
      </c>
      <c r="G15" t="s">
        <v>266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55000000000000004">
      <c r="B16" t="s">
        <v>296</v>
      </c>
      <c r="C16" t="s">
        <v>398</v>
      </c>
      <c r="E16" t="s">
        <v>396</v>
      </c>
      <c r="F16" t="s">
        <v>265</v>
      </c>
      <c r="G16" t="s">
        <v>267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55000000000000004">
      <c r="B17" t="s">
        <v>297</v>
      </c>
      <c r="C17" t="s">
        <v>400</v>
      </c>
      <c r="E17" t="s">
        <v>396</v>
      </c>
      <c r="F17" t="s">
        <v>267</v>
      </c>
      <c r="G17" t="s">
        <v>267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55000000000000004">
      <c r="B18" t="s">
        <v>298</v>
      </c>
      <c r="C18" t="s">
        <v>401</v>
      </c>
      <c r="E18" t="s">
        <v>396</v>
      </c>
      <c r="F18" t="s">
        <v>335</v>
      </c>
      <c r="G18" t="s">
        <v>265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55000000000000004">
      <c r="B19" t="s">
        <v>299</v>
      </c>
      <c r="C19" t="s">
        <v>402</v>
      </c>
      <c r="E19" t="s">
        <v>399</v>
      </c>
      <c r="F19" t="s">
        <v>265</v>
      </c>
      <c r="G19" t="s">
        <v>267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55000000000000004">
      <c r="B20" t="s">
        <v>300</v>
      </c>
      <c r="C20" t="s">
        <v>403</v>
      </c>
      <c r="E20" t="s">
        <v>399</v>
      </c>
      <c r="F20" t="s">
        <v>265</v>
      </c>
      <c r="G20" t="s">
        <v>334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55000000000000004">
      <c r="B21" t="s">
        <v>301</v>
      </c>
      <c r="C21" t="s">
        <v>395</v>
      </c>
      <c r="E21" t="s">
        <v>396</v>
      </c>
      <c r="F21" t="s">
        <v>265</v>
      </c>
      <c r="G21" t="s">
        <v>267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55000000000000004">
      <c r="B22" t="s">
        <v>302</v>
      </c>
      <c r="C22" t="s">
        <v>397</v>
      </c>
      <c r="E22" t="s">
        <v>396</v>
      </c>
      <c r="F22" t="s">
        <v>267</v>
      </c>
      <c r="G22" t="s">
        <v>265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55000000000000004">
      <c r="B23" t="s">
        <v>303</v>
      </c>
      <c r="C23" t="s">
        <v>398</v>
      </c>
      <c r="E23" t="s">
        <v>396</v>
      </c>
      <c r="F23" t="s">
        <v>265</v>
      </c>
      <c r="G23" t="s">
        <v>266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55000000000000004">
      <c r="B24" t="s">
        <v>304</v>
      </c>
      <c r="C24" t="s">
        <v>400</v>
      </c>
      <c r="E24" t="s">
        <v>396</v>
      </c>
      <c r="F24" t="s">
        <v>266</v>
      </c>
      <c r="G24" t="s">
        <v>265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55000000000000004">
      <c r="B25" t="s">
        <v>305</v>
      </c>
      <c r="C25" t="s">
        <v>401</v>
      </c>
      <c r="E25" t="s">
        <v>396</v>
      </c>
      <c r="F25" t="s">
        <v>265</v>
      </c>
      <c r="G25" t="s">
        <v>267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55000000000000004">
      <c r="B26" t="s">
        <v>306</v>
      </c>
      <c r="C26" t="s">
        <v>402</v>
      </c>
      <c r="E26" t="s">
        <v>399</v>
      </c>
      <c r="F26" t="s">
        <v>267</v>
      </c>
      <c r="G26" t="s">
        <v>265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55000000000000004">
      <c r="B27" t="s">
        <v>307</v>
      </c>
      <c r="C27" t="s">
        <v>403</v>
      </c>
      <c r="E27" t="s">
        <v>399</v>
      </c>
      <c r="F27" t="s">
        <v>334</v>
      </c>
      <c r="G27" t="s">
        <v>266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55000000000000004">
      <c r="B28" t="s">
        <v>308</v>
      </c>
      <c r="C28" t="s">
        <v>395</v>
      </c>
      <c r="E28" t="s">
        <v>396</v>
      </c>
      <c r="F28" t="s">
        <v>265</v>
      </c>
      <c r="G28" t="s">
        <v>266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55000000000000004">
      <c r="B29" t="s">
        <v>309</v>
      </c>
      <c r="C29" t="s">
        <v>397</v>
      </c>
      <c r="D29" t="s">
        <v>399</v>
      </c>
      <c r="E29" t="s">
        <v>399</v>
      </c>
      <c r="F29" t="s">
        <v>334</v>
      </c>
      <c r="G29" t="s">
        <v>335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55000000000000004">
      <c r="B30" t="s">
        <v>310</v>
      </c>
      <c r="C30" t="s">
        <v>398</v>
      </c>
      <c r="E30" t="s">
        <v>396</v>
      </c>
      <c r="F30" t="s">
        <v>335</v>
      </c>
      <c r="G30" t="s">
        <v>267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55000000000000004">
      <c r="B31" t="s">
        <v>311</v>
      </c>
      <c r="C31" t="s">
        <v>400</v>
      </c>
      <c r="E31" t="s">
        <v>396</v>
      </c>
      <c r="F31" t="s">
        <v>265</v>
      </c>
      <c r="G31" t="s">
        <v>265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55000000000000004">
      <c r="B32" t="s">
        <v>312</v>
      </c>
      <c r="C32" t="s">
        <v>401</v>
      </c>
      <c r="E32" t="s">
        <v>396</v>
      </c>
      <c r="F32" t="s">
        <v>265</v>
      </c>
      <c r="G32" t="s">
        <v>265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55000000000000004">
      <c r="B33" t="s">
        <v>313</v>
      </c>
      <c r="C33" t="s">
        <v>402</v>
      </c>
      <c r="E33" t="s">
        <v>399</v>
      </c>
      <c r="F33" t="s">
        <v>265</v>
      </c>
      <c r="G33" t="s">
        <v>267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55000000000000004">
      <c r="B34" t="s">
        <v>314</v>
      </c>
      <c r="C34" t="s">
        <v>403</v>
      </c>
      <c r="E34" t="s">
        <v>399</v>
      </c>
      <c r="F34" t="s">
        <v>267</v>
      </c>
      <c r="G34" t="s">
        <v>267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55000000000000004">
      <c r="B35" t="s">
        <v>315</v>
      </c>
      <c r="C35" t="s">
        <v>395</v>
      </c>
      <c r="E35" t="s">
        <v>396</v>
      </c>
      <c r="F35" t="s">
        <v>267</v>
      </c>
      <c r="G35" t="s">
        <v>267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55000000000000004">
      <c r="B36" t="s">
        <v>316</v>
      </c>
      <c r="C36" t="s">
        <v>397</v>
      </c>
      <c r="E36" t="s">
        <v>396</v>
      </c>
      <c r="F36" t="s">
        <v>267</v>
      </c>
      <c r="G36" t="s">
        <v>267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55000000000000004">
      <c r="B37" t="s">
        <v>333</v>
      </c>
      <c r="C37" t="s">
        <v>398</v>
      </c>
      <c r="F37" t="s">
        <v>265</v>
      </c>
      <c r="G37" t="s">
        <v>266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55000000000000004">
      <c r="B38" t="s">
        <v>162</v>
      </c>
      <c r="C38" t="s">
        <v>389</v>
      </c>
      <c r="E38" t="s">
        <v>396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H3" sqref="H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260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2月</v>
      </c>
      <c r="B4" s="11" t="str">
        <f t="shared" ref="B4:B67" si="1">A4&amp;DAY(D4)&amp;"日"</f>
        <v>2月1日</v>
      </c>
      <c r="C4" s="11" t="str">
        <f t="shared" ref="C4:C67" si="2">HOUR(D4)+1&amp;"時"</f>
        <v>1時</v>
      </c>
      <c r="D4" s="10">
        <v>45689</v>
      </c>
      <c r="E4">
        <v>0</v>
      </c>
      <c r="F4">
        <v>1.04</v>
      </c>
      <c r="G4">
        <v>0</v>
      </c>
      <c r="H4">
        <v>1.08</v>
      </c>
    </row>
    <row r="5" spans="1:10" x14ac:dyDescent="0.55000000000000004">
      <c r="A5" s="11" t="str">
        <f t="shared" si="0"/>
        <v>2月</v>
      </c>
      <c r="B5" s="11" t="str">
        <f t="shared" si="1"/>
        <v>2月1日</v>
      </c>
      <c r="C5" s="11" t="str">
        <f t="shared" si="2"/>
        <v>2時</v>
      </c>
      <c r="D5" s="10">
        <v>45689.041666666664</v>
      </c>
      <c r="E5">
        <v>0</v>
      </c>
      <c r="F5">
        <v>1.03</v>
      </c>
      <c r="G5">
        <v>0</v>
      </c>
      <c r="H5">
        <v>1.07</v>
      </c>
    </row>
    <row r="6" spans="1:10" x14ac:dyDescent="0.55000000000000004">
      <c r="A6" s="11" t="str">
        <f t="shared" si="0"/>
        <v>2月</v>
      </c>
      <c r="B6" s="11" t="str">
        <f t="shared" si="1"/>
        <v>2月1日</v>
      </c>
      <c r="C6" s="11" t="str">
        <f t="shared" si="2"/>
        <v>3時</v>
      </c>
      <c r="D6" s="10">
        <v>45689.083333333336</v>
      </c>
      <c r="E6">
        <v>0</v>
      </c>
      <c r="F6">
        <v>0.96</v>
      </c>
      <c r="G6">
        <v>0</v>
      </c>
      <c r="H6">
        <v>1</v>
      </c>
    </row>
    <row r="7" spans="1:10" x14ac:dyDescent="0.55000000000000004">
      <c r="A7" s="11" t="str">
        <f t="shared" si="0"/>
        <v>2月</v>
      </c>
      <c r="B7" s="11" t="str">
        <f t="shared" si="1"/>
        <v>2月1日</v>
      </c>
      <c r="C7" s="11" t="str">
        <f t="shared" si="2"/>
        <v>4時</v>
      </c>
      <c r="D7" s="10">
        <v>45689.125</v>
      </c>
      <c r="E7">
        <v>0</v>
      </c>
      <c r="F7">
        <v>1</v>
      </c>
      <c r="G7">
        <v>0</v>
      </c>
      <c r="H7">
        <v>1.04</v>
      </c>
    </row>
    <row r="8" spans="1:10" x14ac:dyDescent="0.55000000000000004">
      <c r="A8" s="11" t="str">
        <f t="shared" si="0"/>
        <v>2月</v>
      </c>
      <c r="B8" s="11" t="str">
        <f t="shared" si="1"/>
        <v>2月1日</v>
      </c>
      <c r="C8" s="11" t="str">
        <f t="shared" si="2"/>
        <v>5時</v>
      </c>
      <c r="D8" s="10">
        <v>45689.166666666664</v>
      </c>
      <c r="E8">
        <v>0</v>
      </c>
      <c r="F8">
        <v>1.1100000000000001</v>
      </c>
      <c r="G8">
        <v>0</v>
      </c>
      <c r="H8">
        <v>1.1399999999999999</v>
      </c>
    </row>
    <row r="9" spans="1:10" x14ac:dyDescent="0.55000000000000004">
      <c r="A9" s="11" t="str">
        <f t="shared" si="0"/>
        <v>2月</v>
      </c>
      <c r="B9" s="11" t="str">
        <f t="shared" si="1"/>
        <v>2月1日</v>
      </c>
      <c r="C9" s="11" t="str">
        <f t="shared" si="2"/>
        <v>6時</v>
      </c>
      <c r="D9" s="10">
        <v>45689.208333333336</v>
      </c>
      <c r="E9">
        <v>0</v>
      </c>
      <c r="F9">
        <v>1.0900000000000001</v>
      </c>
      <c r="G9">
        <v>0</v>
      </c>
      <c r="H9">
        <v>1.1299999999999999</v>
      </c>
    </row>
    <row r="10" spans="1:10" x14ac:dyDescent="0.55000000000000004">
      <c r="A10" s="11" t="str">
        <f t="shared" si="0"/>
        <v>2月</v>
      </c>
      <c r="B10" s="11" t="str">
        <f t="shared" si="1"/>
        <v>2月1日</v>
      </c>
      <c r="C10" s="11" t="str">
        <f t="shared" si="2"/>
        <v>7時</v>
      </c>
      <c r="D10" s="10">
        <v>45689.25</v>
      </c>
      <c r="E10">
        <v>0</v>
      </c>
      <c r="F10">
        <v>1.8</v>
      </c>
      <c r="G10">
        <v>0</v>
      </c>
      <c r="H10">
        <v>1.84</v>
      </c>
    </row>
    <row r="11" spans="1:10" x14ac:dyDescent="0.55000000000000004">
      <c r="A11" s="11" t="str">
        <f t="shared" si="0"/>
        <v>2月</v>
      </c>
      <c r="B11" s="11" t="str">
        <f t="shared" si="1"/>
        <v>2月1日</v>
      </c>
      <c r="C11" s="11" t="str">
        <f t="shared" si="2"/>
        <v>8時</v>
      </c>
      <c r="D11" s="10">
        <v>45689.291666666664</v>
      </c>
      <c r="E11">
        <v>0</v>
      </c>
      <c r="F11">
        <v>1.61</v>
      </c>
      <c r="G11">
        <v>0</v>
      </c>
      <c r="H11">
        <v>1.64</v>
      </c>
    </row>
    <row r="12" spans="1:10" x14ac:dyDescent="0.55000000000000004">
      <c r="A12" s="11" t="str">
        <f t="shared" si="0"/>
        <v>2月</v>
      </c>
      <c r="B12" s="11" t="str">
        <f t="shared" si="1"/>
        <v>2月1日</v>
      </c>
      <c r="C12" s="11" t="str">
        <f t="shared" si="2"/>
        <v>9時</v>
      </c>
      <c r="D12" s="10">
        <v>45689.333333333336</v>
      </c>
      <c r="E12">
        <v>0</v>
      </c>
      <c r="F12">
        <v>0.96</v>
      </c>
      <c r="G12">
        <v>0</v>
      </c>
      <c r="H12">
        <v>0.97</v>
      </c>
    </row>
    <row r="13" spans="1:10" x14ac:dyDescent="0.55000000000000004">
      <c r="A13" s="11" t="str">
        <f t="shared" si="0"/>
        <v>2月</v>
      </c>
      <c r="B13" s="11" t="str">
        <f t="shared" si="1"/>
        <v>2月1日</v>
      </c>
      <c r="C13" s="11" t="str">
        <f t="shared" si="2"/>
        <v>10時</v>
      </c>
      <c r="D13" s="10">
        <v>45689.375</v>
      </c>
      <c r="E13">
        <v>0.01</v>
      </c>
      <c r="F13">
        <v>0.75</v>
      </c>
      <c r="G13">
        <v>0</v>
      </c>
      <c r="H13">
        <v>0.75</v>
      </c>
    </row>
    <row r="14" spans="1:10" x14ac:dyDescent="0.55000000000000004">
      <c r="A14" s="11" t="str">
        <f t="shared" si="0"/>
        <v>2月</v>
      </c>
      <c r="B14" s="11" t="str">
        <f t="shared" si="1"/>
        <v>2月1日</v>
      </c>
      <c r="C14" s="11" t="str">
        <f t="shared" si="2"/>
        <v>11時</v>
      </c>
      <c r="D14" s="10">
        <v>45689.416666666664</v>
      </c>
      <c r="E14">
        <v>0.04</v>
      </c>
      <c r="F14">
        <v>0.93</v>
      </c>
      <c r="G14">
        <v>0</v>
      </c>
      <c r="H14">
        <v>0.9</v>
      </c>
    </row>
    <row r="15" spans="1:10" x14ac:dyDescent="0.55000000000000004">
      <c r="A15" s="11" t="str">
        <f t="shared" si="0"/>
        <v>2月</v>
      </c>
      <c r="B15" s="11" t="str">
        <f t="shared" si="1"/>
        <v>2月1日</v>
      </c>
      <c r="C15" s="11" t="str">
        <f t="shared" si="2"/>
        <v>12時</v>
      </c>
      <c r="D15" s="10">
        <v>45689.458333333336</v>
      </c>
      <c r="E15">
        <v>0.13</v>
      </c>
      <c r="F15">
        <v>2.09</v>
      </c>
      <c r="G15">
        <v>0</v>
      </c>
      <c r="H15">
        <v>1.97</v>
      </c>
    </row>
    <row r="16" spans="1:10" x14ac:dyDescent="0.55000000000000004">
      <c r="A16" s="11" t="str">
        <f t="shared" si="0"/>
        <v>2月</v>
      </c>
      <c r="B16" s="11" t="str">
        <f t="shared" si="1"/>
        <v>2月1日</v>
      </c>
      <c r="C16" s="11" t="str">
        <f t="shared" si="2"/>
        <v>13時</v>
      </c>
      <c r="D16" s="10">
        <v>45689.5</v>
      </c>
      <c r="E16">
        <v>0.08</v>
      </c>
      <c r="F16">
        <v>1.81</v>
      </c>
      <c r="G16">
        <v>0</v>
      </c>
      <c r="H16">
        <v>1.73</v>
      </c>
    </row>
    <row r="17" spans="1:8" x14ac:dyDescent="0.55000000000000004">
      <c r="A17" s="11" t="str">
        <f t="shared" si="0"/>
        <v>2月</v>
      </c>
      <c r="B17" s="11" t="str">
        <f t="shared" si="1"/>
        <v>2月1日</v>
      </c>
      <c r="C17" s="11" t="str">
        <f t="shared" si="2"/>
        <v>14時</v>
      </c>
      <c r="D17" s="10">
        <v>45689.541666666664</v>
      </c>
      <c r="E17">
        <v>0.08</v>
      </c>
      <c r="F17">
        <v>1.06</v>
      </c>
      <c r="G17">
        <v>0</v>
      </c>
      <c r="H17">
        <v>0.99</v>
      </c>
    </row>
    <row r="18" spans="1:8" x14ac:dyDescent="0.55000000000000004">
      <c r="A18" s="11" t="str">
        <f t="shared" si="0"/>
        <v>2月</v>
      </c>
      <c r="B18" s="11" t="str">
        <f t="shared" si="1"/>
        <v>2月1日</v>
      </c>
      <c r="C18" s="11" t="str">
        <f t="shared" si="2"/>
        <v>15時</v>
      </c>
      <c r="D18" s="10">
        <v>45689.583333333336</v>
      </c>
      <c r="E18">
        <v>0.08</v>
      </c>
      <c r="F18">
        <v>1.17</v>
      </c>
      <c r="G18">
        <v>0</v>
      </c>
      <c r="H18">
        <v>1.1100000000000001</v>
      </c>
    </row>
    <row r="19" spans="1:8" x14ac:dyDescent="0.55000000000000004">
      <c r="A19" s="11" t="str">
        <f t="shared" si="0"/>
        <v>2月</v>
      </c>
      <c r="B19" s="11" t="str">
        <f t="shared" si="1"/>
        <v>2月1日</v>
      </c>
      <c r="C19" s="11" t="str">
        <f t="shared" si="2"/>
        <v>16時</v>
      </c>
      <c r="D19" s="10">
        <v>45689.625</v>
      </c>
      <c r="E19">
        <v>0.01</v>
      </c>
      <c r="F19">
        <v>3.01</v>
      </c>
      <c r="G19">
        <v>0</v>
      </c>
      <c r="H19">
        <v>3.01</v>
      </c>
    </row>
    <row r="20" spans="1:8" x14ac:dyDescent="0.55000000000000004">
      <c r="A20" s="11" t="str">
        <f t="shared" si="0"/>
        <v>2月</v>
      </c>
      <c r="B20" s="11" t="str">
        <f t="shared" si="1"/>
        <v>2月1日</v>
      </c>
      <c r="C20" s="11" t="str">
        <f t="shared" si="2"/>
        <v>17時</v>
      </c>
      <c r="D20" s="10">
        <v>45689.666666666664</v>
      </c>
      <c r="E20">
        <v>0</v>
      </c>
      <c r="F20">
        <v>2.96</v>
      </c>
      <c r="G20">
        <v>0</v>
      </c>
      <c r="H20">
        <v>2.99</v>
      </c>
    </row>
    <row r="21" spans="1:8" x14ac:dyDescent="0.55000000000000004">
      <c r="A21" s="11" t="str">
        <f t="shared" si="0"/>
        <v>2月</v>
      </c>
      <c r="B21" s="11" t="str">
        <f t="shared" si="1"/>
        <v>2月1日</v>
      </c>
      <c r="C21" s="11" t="str">
        <f t="shared" si="2"/>
        <v>18時</v>
      </c>
      <c r="D21" s="10">
        <v>45689.708333333336</v>
      </c>
      <c r="E21">
        <v>0</v>
      </c>
      <c r="F21">
        <v>3.26</v>
      </c>
      <c r="G21">
        <v>0</v>
      </c>
      <c r="H21">
        <v>3.3</v>
      </c>
    </row>
    <row r="22" spans="1:8" x14ac:dyDescent="0.55000000000000004">
      <c r="A22" s="11" t="str">
        <f t="shared" si="0"/>
        <v>2月</v>
      </c>
      <c r="B22" s="11" t="str">
        <f t="shared" si="1"/>
        <v>2月1日</v>
      </c>
      <c r="C22" s="11" t="str">
        <f t="shared" si="2"/>
        <v>19時</v>
      </c>
      <c r="D22" s="10">
        <v>45689.75</v>
      </c>
      <c r="E22">
        <v>0</v>
      </c>
      <c r="F22">
        <v>3.35</v>
      </c>
      <c r="G22">
        <v>0</v>
      </c>
      <c r="H22">
        <v>3.39</v>
      </c>
    </row>
    <row r="23" spans="1:8" x14ac:dyDescent="0.55000000000000004">
      <c r="A23" s="11" t="str">
        <f t="shared" si="0"/>
        <v>2月</v>
      </c>
      <c r="B23" s="11" t="str">
        <f t="shared" si="1"/>
        <v>2月1日</v>
      </c>
      <c r="C23" s="11" t="str">
        <f t="shared" si="2"/>
        <v>20時</v>
      </c>
      <c r="D23" s="10">
        <v>45689.791666666664</v>
      </c>
      <c r="E23">
        <v>0</v>
      </c>
      <c r="F23">
        <v>2.52</v>
      </c>
      <c r="G23">
        <v>0</v>
      </c>
      <c r="H23">
        <v>2.56</v>
      </c>
    </row>
    <row r="24" spans="1:8" x14ac:dyDescent="0.55000000000000004">
      <c r="A24" s="11" t="str">
        <f t="shared" si="0"/>
        <v>2月</v>
      </c>
      <c r="B24" s="11" t="str">
        <f t="shared" si="1"/>
        <v>2月1日</v>
      </c>
      <c r="C24" s="11" t="str">
        <f t="shared" si="2"/>
        <v>21時</v>
      </c>
      <c r="D24" s="10">
        <v>45689.833333333336</v>
      </c>
      <c r="E24">
        <v>0</v>
      </c>
      <c r="F24">
        <v>1.1200000000000001</v>
      </c>
      <c r="G24">
        <v>0</v>
      </c>
      <c r="H24">
        <v>1.1599999999999999</v>
      </c>
    </row>
    <row r="25" spans="1:8" x14ac:dyDescent="0.55000000000000004">
      <c r="A25" s="11" t="str">
        <f t="shared" si="0"/>
        <v>2月</v>
      </c>
      <c r="B25" s="11" t="str">
        <f t="shared" si="1"/>
        <v>2月1日</v>
      </c>
      <c r="C25" s="11" t="str">
        <f t="shared" si="2"/>
        <v>22時</v>
      </c>
      <c r="D25" s="10">
        <v>45689.875</v>
      </c>
      <c r="E25">
        <v>0</v>
      </c>
      <c r="F25">
        <v>1.07</v>
      </c>
      <c r="G25">
        <v>0</v>
      </c>
      <c r="H25">
        <v>1.1100000000000001</v>
      </c>
    </row>
    <row r="26" spans="1:8" x14ac:dyDescent="0.55000000000000004">
      <c r="A26" s="11" t="str">
        <f t="shared" si="0"/>
        <v>2月</v>
      </c>
      <c r="B26" s="11" t="str">
        <f t="shared" si="1"/>
        <v>2月1日</v>
      </c>
      <c r="C26" s="11" t="str">
        <f t="shared" si="2"/>
        <v>23時</v>
      </c>
      <c r="D26" s="10">
        <v>45689.916666666664</v>
      </c>
      <c r="E26">
        <v>0</v>
      </c>
      <c r="F26">
        <v>1.01</v>
      </c>
      <c r="G26">
        <v>0</v>
      </c>
      <c r="H26">
        <v>1.05</v>
      </c>
    </row>
    <row r="27" spans="1:8" x14ac:dyDescent="0.55000000000000004">
      <c r="A27" s="11" t="str">
        <f t="shared" si="0"/>
        <v>2月</v>
      </c>
      <c r="B27" s="11" t="str">
        <f t="shared" si="1"/>
        <v>2月1日</v>
      </c>
      <c r="C27" s="11" t="str">
        <f t="shared" si="2"/>
        <v>24時</v>
      </c>
      <c r="D27" s="10">
        <v>45689.958333333336</v>
      </c>
      <c r="E27">
        <v>0</v>
      </c>
      <c r="F27">
        <v>1.1299999999999999</v>
      </c>
      <c r="G27">
        <v>0</v>
      </c>
      <c r="H27">
        <v>1.1599999999999999</v>
      </c>
    </row>
    <row r="28" spans="1:8" x14ac:dyDescent="0.55000000000000004">
      <c r="A28" s="11" t="str">
        <f t="shared" si="0"/>
        <v>2月</v>
      </c>
      <c r="B28" s="11" t="str">
        <f t="shared" si="1"/>
        <v>2月2日</v>
      </c>
      <c r="C28" s="11" t="str">
        <f t="shared" si="2"/>
        <v>1時</v>
      </c>
      <c r="D28" s="10">
        <v>45690</v>
      </c>
      <c r="E28">
        <v>0</v>
      </c>
      <c r="F28">
        <v>1.03</v>
      </c>
      <c r="G28">
        <v>0</v>
      </c>
      <c r="H28">
        <v>1.07</v>
      </c>
    </row>
    <row r="29" spans="1:8" x14ac:dyDescent="0.55000000000000004">
      <c r="A29" s="11" t="str">
        <f t="shared" si="0"/>
        <v>2月</v>
      </c>
      <c r="B29" s="11" t="str">
        <f t="shared" si="1"/>
        <v>2月2日</v>
      </c>
      <c r="C29" s="11" t="str">
        <f t="shared" si="2"/>
        <v>2時</v>
      </c>
      <c r="D29" s="10">
        <v>45690.041666666664</v>
      </c>
      <c r="E29">
        <v>0</v>
      </c>
      <c r="F29">
        <v>0.91</v>
      </c>
      <c r="G29">
        <v>0</v>
      </c>
      <c r="H29">
        <v>0.94</v>
      </c>
    </row>
    <row r="30" spans="1:8" x14ac:dyDescent="0.55000000000000004">
      <c r="A30" s="11" t="str">
        <f t="shared" si="0"/>
        <v>2月</v>
      </c>
      <c r="B30" s="11" t="str">
        <f t="shared" si="1"/>
        <v>2月2日</v>
      </c>
      <c r="C30" s="11" t="str">
        <f t="shared" si="2"/>
        <v>3時</v>
      </c>
      <c r="D30" s="10">
        <v>45690.083333333336</v>
      </c>
      <c r="E30">
        <v>0</v>
      </c>
      <c r="F30">
        <v>1.04</v>
      </c>
      <c r="G30">
        <v>0</v>
      </c>
      <c r="H30">
        <v>1.08</v>
      </c>
    </row>
    <row r="31" spans="1:8" x14ac:dyDescent="0.55000000000000004">
      <c r="A31" s="11" t="str">
        <f t="shared" si="0"/>
        <v>2月</v>
      </c>
      <c r="B31" s="11" t="str">
        <f t="shared" si="1"/>
        <v>2月2日</v>
      </c>
      <c r="C31" s="11" t="str">
        <f t="shared" si="2"/>
        <v>4時</v>
      </c>
      <c r="D31" s="10">
        <v>45690.125</v>
      </c>
      <c r="E31">
        <v>0</v>
      </c>
      <c r="F31">
        <v>1.33</v>
      </c>
      <c r="G31">
        <v>0</v>
      </c>
      <c r="H31">
        <v>1.37</v>
      </c>
    </row>
    <row r="32" spans="1:8" x14ac:dyDescent="0.55000000000000004">
      <c r="A32" s="11" t="str">
        <f t="shared" si="0"/>
        <v>2月</v>
      </c>
      <c r="B32" s="11" t="str">
        <f t="shared" si="1"/>
        <v>2月2日</v>
      </c>
      <c r="C32" s="11" t="str">
        <f t="shared" si="2"/>
        <v>5時</v>
      </c>
      <c r="D32" s="10">
        <v>45690.166666666664</v>
      </c>
      <c r="E32">
        <v>0</v>
      </c>
      <c r="F32">
        <v>1.24</v>
      </c>
      <c r="G32">
        <v>0</v>
      </c>
      <c r="H32">
        <v>1.28</v>
      </c>
    </row>
    <row r="33" spans="1:8" x14ac:dyDescent="0.55000000000000004">
      <c r="A33" s="11" t="str">
        <f t="shared" si="0"/>
        <v>2月</v>
      </c>
      <c r="B33" s="11" t="str">
        <f t="shared" si="1"/>
        <v>2月2日</v>
      </c>
      <c r="C33" s="11" t="str">
        <f t="shared" si="2"/>
        <v>6時</v>
      </c>
      <c r="D33" s="10">
        <v>45690.208333333336</v>
      </c>
      <c r="E33">
        <v>0</v>
      </c>
      <c r="F33">
        <v>1.1100000000000001</v>
      </c>
      <c r="G33">
        <v>0</v>
      </c>
      <c r="H33">
        <v>1.1499999999999999</v>
      </c>
    </row>
    <row r="34" spans="1:8" x14ac:dyDescent="0.55000000000000004">
      <c r="A34" s="11" t="str">
        <f t="shared" si="0"/>
        <v>2月</v>
      </c>
      <c r="B34" s="11" t="str">
        <f t="shared" si="1"/>
        <v>2月2日</v>
      </c>
      <c r="C34" s="11" t="str">
        <f t="shared" si="2"/>
        <v>7時</v>
      </c>
      <c r="D34" s="10">
        <v>45690.25</v>
      </c>
      <c r="E34">
        <v>0</v>
      </c>
      <c r="F34">
        <v>1.2</v>
      </c>
      <c r="G34">
        <v>0</v>
      </c>
      <c r="H34">
        <v>1.24</v>
      </c>
    </row>
    <row r="35" spans="1:8" x14ac:dyDescent="0.55000000000000004">
      <c r="A35" s="11" t="str">
        <f t="shared" si="0"/>
        <v>2月</v>
      </c>
      <c r="B35" s="11" t="str">
        <f t="shared" si="1"/>
        <v>2月2日</v>
      </c>
      <c r="C35" s="11" t="str">
        <f t="shared" si="2"/>
        <v>8時</v>
      </c>
      <c r="D35" s="10">
        <v>45690.291666666664</v>
      </c>
      <c r="E35">
        <v>0</v>
      </c>
      <c r="F35">
        <v>1.1399999999999999</v>
      </c>
      <c r="G35">
        <v>0</v>
      </c>
      <c r="H35">
        <v>1.1499999999999999</v>
      </c>
    </row>
    <row r="36" spans="1:8" x14ac:dyDescent="0.55000000000000004">
      <c r="A36" s="11" t="str">
        <f t="shared" si="0"/>
        <v>2月</v>
      </c>
      <c r="B36" s="11" t="str">
        <f t="shared" si="1"/>
        <v>2月2日</v>
      </c>
      <c r="C36" s="11" t="str">
        <f t="shared" si="2"/>
        <v>9時</v>
      </c>
      <c r="D36" s="10">
        <v>45690.333333333336</v>
      </c>
      <c r="E36">
        <v>0.06</v>
      </c>
      <c r="F36">
        <v>1</v>
      </c>
      <c r="G36">
        <v>0</v>
      </c>
      <c r="H36">
        <v>0.95</v>
      </c>
    </row>
    <row r="37" spans="1:8" x14ac:dyDescent="0.55000000000000004">
      <c r="A37" s="11" t="str">
        <f t="shared" si="0"/>
        <v>2月</v>
      </c>
      <c r="B37" s="11" t="str">
        <f t="shared" si="1"/>
        <v>2月2日</v>
      </c>
      <c r="C37" s="11" t="str">
        <f t="shared" si="2"/>
        <v>10時</v>
      </c>
      <c r="D37" s="10">
        <v>45690.375</v>
      </c>
      <c r="E37">
        <v>0.15</v>
      </c>
      <c r="F37">
        <v>1.48</v>
      </c>
      <c r="G37">
        <v>0</v>
      </c>
      <c r="H37">
        <v>1.34</v>
      </c>
    </row>
    <row r="38" spans="1:8" x14ac:dyDescent="0.55000000000000004">
      <c r="A38" s="11" t="str">
        <f t="shared" si="0"/>
        <v>2月</v>
      </c>
      <c r="B38" s="11" t="str">
        <f t="shared" si="1"/>
        <v>2月2日</v>
      </c>
      <c r="C38" s="11" t="str">
        <f t="shared" si="2"/>
        <v>11時</v>
      </c>
      <c r="D38" s="10">
        <v>45690.416666666664</v>
      </c>
      <c r="E38">
        <v>0.22</v>
      </c>
      <c r="F38">
        <v>1.31</v>
      </c>
      <c r="G38">
        <v>0</v>
      </c>
      <c r="H38">
        <v>1.1000000000000001</v>
      </c>
    </row>
    <row r="39" spans="1:8" x14ac:dyDescent="0.55000000000000004">
      <c r="A39" s="11" t="str">
        <f t="shared" si="0"/>
        <v>2月</v>
      </c>
      <c r="B39" s="11" t="str">
        <f t="shared" si="1"/>
        <v>2月2日</v>
      </c>
      <c r="C39" s="11" t="str">
        <f t="shared" si="2"/>
        <v>12時</v>
      </c>
      <c r="D39" s="10">
        <v>45690.458333333336</v>
      </c>
      <c r="E39">
        <v>0.25</v>
      </c>
      <c r="F39">
        <v>0.96</v>
      </c>
      <c r="G39">
        <v>0</v>
      </c>
      <c r="H39">
        <v>0.72</v>
      </c>
    </row>
    <row r="40" spans="1:8" x14ac:dyDescent="0.55000000000000004">
      <c r="A40" s="11" t="str">
        <f t="shared" si="0"/>
        <v>2月</v>
      </c>
      <c r="B40" s="11" t="str">
        <f t="shared" si="1"/>
        <v>2月2日</v>
      </c>
      <c r="C40" s="11" t="str">
        <f t="shared" si="2"/>
        <v>13時</v>
      </c>
      <c r="D40" s="10">
        <v>45690.5</v>
      </c>
      <c r="E40">
        <v>0.27</v>
      </c>
      <c r="F40">
        <v>0.74</v>
      </c>
      <c r="G40">
        <v>0</v>
      </c>
      <c r="H40">
        <v>0.49</v>
      </c>
    </row>
    <row r="41" spans="1:8" x14ac:dyDescent="0.55000000000000004">
      <c r="A41" s="11" t="str">
        <f t="shared" si="0"/>
        <v>2月</v>
      </c>
      <c r="B41" s="11" t="str">
        <f t="shared" si="1"/>
        <v>2月2日</v>
      </c>
      <c r="C41" s="11" t="str">
        <f t="shared" si="2"/>
        <v>14時</v>
      </c>
      <c r="D41" s="10">
        <v>45690.541666666664</v>
      </c>
      <c r="E41">
        <v>0.31</v>
      </c>
      <c r="F41">
        <v>0.69</v>
      </c>
      <c r="G41">
        <v>0</v>
      </c>
      <c r="H41">
        <v>0.39</v>
      </c>
    </row>
    <row r="42" spans="1:8" x14ac:dyDescent="0.55000000000000004">
      <c r="A42" s="11" t="str">
        <f t="shared" si="0"/>
        <v>2月</v>
      </c>
      <c r="B42" s="11" t="str">
        <f t="shared" si="1"/>
        <v>2月2日</v>
      </c>
      <c r="C42" s="11" t="str">
        <f t="shared" si="2"/>
        <v>15時</v>
      </c>
      <c r="D42" s="10">
        <v>45690.583333333336</v>
      </c>
      <c r="E42">
        <v>0.27</v>
      </c>
      <c r="F42">
        <v>0.64</v>
      </c>
      <c r="G42">
        <v>0</v>
      </c>
      <c r="H42">
        <v>0.39</v>
      </c>
    </row>
    <row r="43" spans="1:8" x14ac:dyDescent="0.55000000000000004">
      <c r="A43" s="11" t="str">
        <f t="shared" si="0"/>
        <v>2月</v>
      </c>
      <c r="B43" s="11" t="str">
        <f t="shared" si="1"/>
        <v>2月2日</v>
      </c>
      <c r="C43" s="11" t="str">
        <f t="shared" si="2"/>
        <v>16時</v>
      </c>
      <c r="D43" s="10">
        <v>45690.625</v>
      </c>
      <c r="E43">
        <v>0.13</v>
      </c>
      <c r="F43">
        <v>1.56</v>
      </c>
      <c r="G43">
        <v>0</v>
      </c>
      <c r="H43">
        <v>1.44</v>
      </c>
    </row>
    <row r="44" spans="1:8" x14ac:dyDescent="0.55000000000000004">
      <c r="A44" s="11" t="str">
        <f t="shared" si="0"/>
        <v>2月</v>
      </c>
      <c r="B44" s="11" t="str">
        <f t="shared" si="1"/>
        <v>2月2日</v>
      </c>
      <c r="C44" s="11" t="str">
        <f t="shared" si="2"/>
        <v>17時</v>
      </c>
      <c r="D44" s="10">
        <v>45690.666666666664</v>
      </c>
      <c r="E44">
        <v>0.01</v>
      </c>
      <c r="F44">
        <v>2.78</v>
      </c>
      <c r="G44">
        <v>0</v>
      </c>
      <c r="H44">
        <v>2.78</v>
      </c>
    </row>
    <row r="45" spans="1:8" x14ac:dyDescent="0.55000000000000004">
      <c r="A45" s="11" t="str">
        <f t="shared" si="0"/>
        <v>2月</v>
      </c>
      <c r="B45" s="11" t="str">
        <f t="shared" si="1"/>
        <v>2月2日</v>
      </c>
      <c r="C45" s="11" t="str">
        <f t="shared" si="2"/>
        <v>18時</v>
      </c>
      <c r="D45" s="10">
        <v>45690.708333333336</v>
      </c>
      <c r="E45">
        <v>0</v>
      </c>
      <c r="F45">
        <v>3.66</v>
      </c>
      <c r="G45">
        <v>0</v>
      </c>
      <c r="H45">
        <v>3.7</v>
      </c>
    </row>
    <row r="46" spans="1:8" x14ac:dyDescent="0.55000000000000004">
      <c r="A46" s="11" t="str">
        <f t="shared" si="0"/>
        <v>2月</v>
      </c>
      <c r="B46" s="11" t="str">
        <f t="shared" si="1"/>
        <v>2月2日</v>
      </c>
      <c r="C46" s="11" t="str">
        <f t="shared" si="2"/>
        <v>19時</v>
      </c>
      <c r="D46" s="10">
        <v>45690.75</v>
      </c>
      <c r="E46">
        <v>0</v>
      </c>
      <c r="F46">
        <v>3.43</v>
      </c>
      <c r="G46">
        <v>0</v>
      </c>
      <c r="H46">
        <v>3.47</v>
      </c>
    </row>
    <row r="47" spans="1:8" x14ac:dyDescent="0.55000000000000004">
      <c r="A47" s="11" t="str">
        <f t="shared" si="0"/>
        <v>2月</v>
      </c>
      <c r="B47" s="11" t="str">
        <f t="shared" si="1"/>
        <v>2月2日</v>
      </c>
      <c r="C47" s="11" t="str">
        <f t="shared" si="2"/>
        <v>20時</v>
      </c>
      <c r="D47" s="10">
        <v>45690.791666666664</v>
      </c>
      <c r="E47">
        <v>0</v>
      </c>
      <c r="F47">
        <v>3.14</v>
      </c>
      <c r="G47">
        <v>0</v>
      </c>
      <c r="H47">
        <v>3.18</v>
      </c>
    </row>
    <row r="48" spans="1:8" x14ac:dyDescent="0.55000000000000004">
      <c r="A48" s="11" t="str">
        <f t="shared" si="0"/>
        <v>2月</v>
      </c>
      <c r="B48" s="11" t="str">
        <f t="shared" si="1"/>
        <v>2月2日</v>
      </c>
      <c r="C48" s="11" t="str">
        <f t="shared" si="2"/>
        <v>21時</v>
      </c>
      <c r="D48" s="10">
        <v>45690.833333333336</v>
      </c>
      <c r="E48">
        <v>0</v>
      </c>
      <c r="F48">
        <v>1.3</v>
      </c>
      <c r="G48">
        <v>0</v>
      </c>
      <c r="H48">
        <v>1.34</v>
      </c>
    </row>
    <row r="49" spans="1:8" x14ac:dyDescent="0.55000000000000004">
      <c r="A49" s="11" t="str">
        <f t="shared" si="0"/>
        <v>2月</v>
      </c>
      <c r="B49" s="11" t="str">
        <f t="shared" si="1"/>
        <v>2月2日</v>
      </c>
      <c r="C49" s="11" t="str">
        <f t="shared" si="2"/>
        <v>22時</v>
      </c>
      <c r="D49" s="10">
        <v>45690.875</v>
      </c>
      <c r="E49">
        <v>0</v>
      </c>
      <c r="F49">
        <v>1.39</v>
      </c>
      <c r="G49">
        <v>0</v>
      </c>
      <c r="H49">
        <v>1.43</v>
      </c>
    </row>
    <row r="50" spans="1:8" x14ac:dyDescent="0.55000000000000004">
      <c r="A50" s="11" t="str">
        <f t="shared" si="0"/>
        <v>2月</v>
      </c>
      <c r="B50" s="11" t="str">
        <f t="shared" si="1"/>
        <v>2月2日</v>
      </c>
      <c r="C50" s="11" t="str">
        <f t="shared" si="2"/>
        <v>23時</v>
      </c>
      <c r="D50" s="10">
        <v>45690.916666666664</v>
      </c>
      <c r="E50">
        <v>0</v>
      </c>
      <c r="F50">
        <v>1.02</v>
      </c>
      <c r="G50">
        <v>0</v>
      </c>
      <c r="H50">
        <v>1.06</v>
      </c>
    </row>
    <row r="51" spans="1:8" x14ac:dyDescent="0.55000000000000004">
      <c r="A51" s="11" t="str">
        <f t="shared" si="0"/>
        <v>2月</v>
      </c>
      <c r="B51" s="11" t="str">
        <f t="shared" si="1"/>
        <v>2月2日</v>
      </c>
      <c r="C51" s="11" t="str">
        <f t="shared" si="2"/>
        <v>24時</v>
      </c>
      <c r="D51" s="10">
        <v>45690.958333333336</v>
      </c>
      <c r="E51">
        <v>0</v>
      </c>
      <c r="F51">
        <v>1.1599999999999999</v>
      </c>
      <c r="G51">
        <v>0</v>
      </c>
      <c r="H51">
        <v>1.2</v>
      </c>
    </row>
    <row r="52" spans="1:8" x14ac:dyDescent="0.55000000000000004">
      <c r="A52" s="11" t="str">
        <f t="shared" si="0"/>
        <v>2月</v>
      </c>
      <c r="B52" s="11" t="str">
        <f t="shared" si="1"/>
        <v>2月3日</v>
      </c>
      <c r="C52" s="11" t="str">
        <f t="shared" si="2"/>
        <v>1時</v>
      </c>
      <c r="D52" s="10">
        <v>45691</v>
      </c>
      <c r="E52">
        <v>0</v>
      </c>
      <c r="F52">
        <v>0.97</v>
      </c>
      <c r="G52">
        <v>0</v>
      </c>
      <c r="H52">
        <v>1.01</v>
      </c>
    </row>
    <row r="53" spans="1:8" x14ac:dyDescent="0.55000000000000004">
      <c r="A53" s="11" t="str">
        <f t="shared" si="0"/>
        <v>2月</v>
      </c>
      <c r="B53" s="11" t="str">
        <f t="shared" si="1"/>
        <v>2月3日</v>
      </c>
      <c r="C53" s="11" t="str">
        <f t="shared" si="2"/>
        <v>2時</v>
      </c>
      <c r="D53" s="10">
        <v>45691.041666666664</v>
      </c>
      <c r="E53">
        <v>0</v>
      </c>
      <c r="F53">
        <v>0.95</v>
      </c>
      <c r="G53">
        <v>0</v>
      </c>
      <c r="H53">
        <v>0.99</v>
      </c>
    </row>
    <row r="54" spans="1:8" x14ac:dyDescent="0.55000000000000004">
      <c r="A54" s="11" t="str">
        <f t="shared" si="0"/>
        <v>2月</v>
      </c>
      <c r="B54" s="11" t="str">
        <f t="shared" si="1"/>
        <v>2月3日</v>
      </c>
      <c r="C54" s="11" t="str">
        <f t="shared" si="2"/>
        <v>3時</v>
      </c>
      <c r="D54" s="10">
        <v>45691.083333333336</v>
      </c>
      <c r="E54">
        <v>0</v>
      </c>
      <c r="F54">
        <v>1.17</v>
      </c>
      <c r="G54">
        <v>0</v>
      </c>
      <c r="H54">
        <v>1.21</v>
      </c>
    </row>
    <row r="55" spans="1:8" x14ac:dyDescent="0.55000000000000004">
      <c r="A55" s="11" t="str">
        <f t="shared" si="0"/>
        <v>2月</v>
      </c>
      <c r="B55" s="11" t="str">
        <f t="shared" si="1"/>
        <v>2月3日</v>
      </c>
      <c r="C55" s="11" t="str">
        <f t="shared" si="2"/>
        <v>4時</v>
      </c>
      <c r="D55" s="10">
        <v>45691.125</v>
      </c>
      <c r="E55">
        <v>0</v>
      </c>
      <c r="F55">
        <v>0.97</v>
      </c>
      <c r="G55">
        <v>0</v>
      </c>
      <c r="H55">
        <v>1.01</v>
      </c>
    </row>
    <row r="56" spans="1:8" x14ac:dyDescent="0.55000000000000004">
      <c r="A56" s="11" t="str">
        <f t="shared" si="0"/>
        <v>2月</v>
      </c>
      <c r="B56" s="11" t="str">
        <f t="shared" si="1"/>
        <v>2月3日</v>
      </c>
      <c r="C56" s="11" t="str">
        <f t="shared" si="2"/>
        <v>5時</v>
      </c>
      <c r="D56" s="10">
        <v>45691.166666666664</v>
      </c>
      <c r="E56">
        <v>0</v>
      </c>
      <c r="F56">
        <v>1.29</v>
      </c>
      <c r="G56">
        <v>0</v>
      </c>
      <c r="H56">
        <v>1.33</v>
      </c>
    </row>
    <row r="57" spans="1:8" x14ac:dyDescent="0.55000000000000004">
      <c r="A57" s="11" t="str">
        <f t="shared" si="0"/>
        <v>2月</v>
      </c>
      <c r="B57" s="11" t="str">
        <f t="shared" si="1"/>
        <v>2月3日</v>
      </c>
      <c r="C57" s="11" t="str">
        <f t="shared" si="2"/>
        <v>6時</v>
      </c>
      <c r="D57" s="10">
        <v>45691.208333333336</v>
      </c>
      <c r="E57">
        <v>0</v>
      </c>
      <c r="F57">
        <v>1.08</v>
      </c>
      <c r="G57">
        <v>0</v>
      </c>
      <c r="H57">
        <v>1.1200000000000001</v>
      </c>
    </row>
    <row r="58" spans="1:8" x14ac:dyDescent="0.55000000000000004">
      <c r="A58" s="11" t="str">
        <f t="shared" si="0"/>
        <v>2月</v>
      </c>
      <c r="B58" s="11" t="str">
        <f t="shared" si="1"/>
        <v>2月3日</v>
      </c>
      <c r="C58" s="11" t="str">
        <f t="shared" si="2"/>
        <v>7時</v>
      </c>
      <c r="D58" s="10">
        <v>45691.25</v>
      </c>
      <c r="E58">
        <v>0</v>
      </c>
      <c r="F58">
        <v>1.1399999999999999</v>
      </c>
      <c r="G58">
        <v>0</v>
      </c>
      <c r="H58">
        <v>1.18</v>
      </c>
    </row>
    <row r="59" spans="1:8" x14ac:dyDescent="0.55000000000000004">
      <c r="A59" s="11" t="str">
        <f t="shared" si="0"/>
        <v>2月</v>
      </c>
      <c r="B59" s="11" t="str">
        <f t="shared" si="1"/>
        <v>2月3日</v>
      </c>
      <c r="C59" s="11" t="str">
        <f t="shared" si="2"/>
        <v>8時</v>
      </c>
      <c r="D59" s="10">
        <v>45691.291666666664</v>
      </c>
      <c r="E59">
        <v>0.02</v>
      </c>
      <c r="F59">
        <v>1.27</v>
      </c>
      <c r="G59">
        <v>0</v>
      </c>
      <c r="H59">
        <v>1.26</v>
      </c>
    </row>
    <row r="60" spans="1:8" x14ac:dyDescent="0.55000000000000004">
      <c r="A60" s="11" t="str">
        <f t="shared" si="0"/>
        <v>2月</v>
      </c>
      <c r="B60" s="11" t="str">
        <f t="shared" si="1"/>
        <v>2月3日</v>
      </c>
      <c r="C60" s="11" t="str">
        <f t="shared" si="2"/>
        <v>9時</v>
      </c>
      <c r="D60" s="10">
        <v>45691.333333333336</v>
      </c>
      <c r="E60">
        <v>0.11</v>
      </c>
      <c r="F60">
        <v>0.96</v>
      </c>
      <c r="G60">
        <v>0</v>
      </c>
      <c r="H60">
        <v>0.86</v>
      </c>
    </row>
    <row r="61" spans="1:8" x14ac:dyDescent="0.55000000000000004">
      <c r="A61" s="11" t="str">
        <f t="shared" si="0"/>
        <v>2月</v>
      </c>
      <c r="B61" s="11" t="str">
        <f t="shared" si="1"/>
        <v>2月3日</v>
      </c>
      <c r="C61" s="11" t="str">
        <f t="shared" si="2"/>
        <v>10時</v>
      </c>
      <c r="D61" s="10">
        <v>45691.375</v>
      </c>
      <c r="E61">
        <v>0.21</v>
      </c>
      <c r="F61">
        <v>0.98</v>
      </c>
      <c r="G61">
        <v>0</v>
      </c>
      <c r="H61">
        <v>0.78</v>
      </c>
    </row>
    <row r="62" spans="1:8" x14ac:dyDescent="0.55000000000000004">
      <c r="A62" s="11" t="str">
        <f t="shared" si="0"/>
        <v>2月</v>
      </c>
      <c r="B62" s="11" t="str">
        <f t="shared" si="1"/>
        <v>2月3日</v>
      </c>
      <c r="C62" s="11" t="str">
        <f t="shared" si="2"/>
        <v>11時</v>
      </c>
      <c r="D62" s="10">
        <v>45691.416666666664</v>
      </c>
      <c r="E62">
        <v>0.3</v>
      </c>
      <c r="F62">
        <v>1.1299999999999999</v>
      </c>
      <c r="G62">
        <v>0</v>
      </c>
      <c r="H62">
        <v>0.84</v>
      </c>
    </row>
    <row r="63" spans="1:8" x14ac:dyDescent="0.55000000000000004">
      <c r="A63" s="11" t="str">
        <f t="shared" si="0"/>
        <v>2月</v>
      </c>
      <c r="B63" s="11" t="str">
        <f t="shared" si="1"/>
        <v>2月3日</v>
      </c>
      <c r="C63" s="11" t="str">
        <f t="shared" si="2"/>
        <v>12時</v>
      </c>
      <c r="D63" s="10">
        <v>45691.458333333336</v>
      </c>
      <c r="E63">
        <v>0.15</v>
      </c>
      <c r="F63">
        <v>0.76</v>
      </c>
      <c r="G63">
        <v>0</v>
      </c>
      <c r="H63">
        <v>0.62</v>
      </c>
    </row>
    <row r="64" spans="1:8" x14ac:dyDescent="0.55000000000000004">
      <c r="A64" s="11" t="str">
        <f t="shared" si="0"/>
        <v>2月</v>
      </c>
      <c r="B64" s="11" t="str">
        <f t="shared" si="1"/>
        <v>2月3日</v>
      </c>
      <c r="C64" s="11" t="str">
        <f t="shared" si="2"/>
        <v>13時</v>
      </c>
      <c r="D64" s="10">
        <v>45691.5</v>
      </c>
      <c r="E64">
        <v>0.22</v>
      </c>
      <c r="F64">
        <v>0.87</v>
      </c>
      <c r="G64">
        <v>0</v>
      </c>
      <c r="H64">
        <v>0.66</v>
      </c>
    </row>
    <row r="65" spans="1:8" x14ac:dyDescent="0.55000000000000004">
      <c r="A65" s="11" t="str">
        <f t="shared" si="0"/>
        <v>2月</v>
      </c>
      <c r="B65" s="11" t="str">
        <f t="shared" si="1"/>
        <v>2月3日</v>
      </c>
      <c r="C65" s="11" t="str">
        <f t="shared" si="2"/>
        <v>14時</v>
      </c>
      <c r="D65" s="10">
        <v>45691.541666666664</v>
      </c>
      <c r="E65">
        <v>0.15</v>
      </c>
      <c r="F65">
        <v>0.73</v>
      </c>
      <c r="G65">
        <v>0</v>
      </c>
      <c r="H65">
        <v>0.59</v>
      </c>
    </row>
    <row r="66" spans="1:8" x14ac:dyDescent="0.55000000000000004">
      <c r="A66" s="11" t="str">
        <f t="shared" si="0"/>
        <v>2月</v>
      </c>
      <c r="B66" s="11" t="str">
        <f t="shared" si="1"/>
        <v>2月3日</v>
      </c>
      <c r="C66" s="11" t="str">
        <f t="shared" si="2"/>
        <v>15時</v>
      </c>
      <c r="D66" s="10">
        <v>45691.583333333336</v>
      </c>
      <c r="E66">
        <v>0.09</v>
      </c>
      <c r="F66">
        <v>0.86</v>
      </c>
      <c r="G66">
        <v>0</v>
      </c>
      <c r="H66">
        <v>0.77</v>
      </c>
    </row>
    <row r="67" spans="1:8" x14ac:dyDescent="0.55000000000000004">
      <c r="A67" s="11" t="str">
        <f t="shared" si="0"/>
        <v>2月</v>
      </c>
      <c r="B67" s="11" t="str">
        <f t="shared" si="1"/>
        <v>2月3日</v>
      </c>
      <c r="C67" s="11" t="str">
        <f t="shared" si="2"/>
        <v>16時</v>
      </c>
      <c r="D67" s="10">
        <v>45691.625</v>
      </c>
      <c r="E67">
        <v>0.03</v>
      </c>
      <c r="F67">
        <v>2.1</v>
      </c>
      <c r="G67">
        <v>0</v>
      </c>
      <c r="H67">
        <v>2.09</v>
      </c>
    </row>
    <row r="68" spans="1:8" x14ac:dyDescent="0.55000000000000004">
      <c r="A68" s="11" t="str">
        <f t="shared" ref="A68:A131" si="3">MONTH(D68)&amp;"月"</f>
        <v>2月</v>
      </c>
      <c r="B68" s="11" t="str">
        <f t="shared" ref="B68:B131" si="4">A68&amp;DAY(D68)&amp;"日"</f>
        <v>2月3日</v>
      </c>
      <c r="C68" s="11" t="str">
        <f t="shared" ref="C68:C131" si="5">HOUR(D68)+1&amp;"時"</f>
        <v>17時</v>
      </c>
      <c r="D68" s="10">
        <v>45691.666666666664</v>
      </c>
      <c r="E68">
        <v>0</v>
      </c>
      <c r="F68">
        <v>2.66</v>
      </c>
      <c r="G68">
        <v>0</v>
      </c>
      <c r="H68">
        <v>2.69</v>
      </c>
    </row>
    <row r="69" spans="1:8" x14ac:dyDescent="0.55000000000000004">
      <c r="A69" s="11" t="str">
        <f t="shared" si="3"/>
        <v>2月</v>
      </c>
      <c r="B69" s="11" t="str">
        <f t="shared" si="4"/>
        <v>2月3日</v>
      </c>
      <c r="C69" s="11" t="str">
        <f t="shared" si="5"/>
        <v>18時</v>
      </c>
      <c r="D69" s="10">
        <v>45691.708333333336</v>
      </c>
      <c r="E69">
        <v>0</v>
      </c>
      <c r="F69">
        <v>1.85</v>
      </c>
      <c r="G69">
        <v>0</v>
      </c>
      <c r="H69">
        <v>1.89</v>
      </c>
    </row>
    <row r="70" spans="1:8" x14ac:dyDescent="0.55000000000000004">
      <c r="A70" s="11" t="str">
        <f t="shared" si="3"/>
        <v>2月</v>
      </c>
      <c r="B70" s="11" t="str">
        <f t="shared" si="4"/>
        <v>2月3日</v>
      </c>
      <c r="C70" s="11" t="str">
        <f t="shared" si="5"/>
        <v>19時</v>
      </c>
      <c r="D70" s="10">
        <v>45691.75</v>
      </c>
      <c r="E70">
        <v>0</v>
      </c>
      <c r="F70">
        <v>1.3</v>
      </c>
      <c r="G70">
        <v>0</v>
      </c>
      <c r="H70">
        <v>1.34</v>
      </c>
    </row>
    <row r="71" spans="1:8" x14ac:dyDescent="0.55000000000000004">
      <c r="A71" s="11" t="str">
        <f t="shared" si="3"/>
        <v>2月</v>
      </c>
      <c r="B71" s="11" t="str">
        <f t="shared" si="4"/>
        <v>2月3日</v>
      </c>
      <c r="C71" s="11" t="str">
        <f t="shared" si="5"/>
        <v>20時</v>
      </c>
      <c r="D71" s="10">
        <v>45691.791666666664</v>
      </c>
      <c r="E71">
        <v>0</v>
      </c>
      <c r="F71">
        <v>1.32</v>
      </c>
      <c r="G71">
        <v>0</v>
      </c>
      <c r="H71">
        <v>1.36</v>
      </c>
    </row>
    <row r="72" spans="1:8" x14ac:dyDescent="0.55000000000000004">
      <c r="A72" s="11" t="str">
        <f t="shared" si="3"/>
        <v>2月</v>
      </c>
      <c r="B72" s="11" t="str">
        <f t="shared" si="4"/>
        <v>2月3日</v>
      </c>
      <c r="C72" s="11" t="str">
        <f t="shared" si="5"/>
        <v>21時</v>
      </c>
      <c r="D72" s="10">
        <v>45691.833333333336</v>
      </c>
      <c r="E72">
        <v>0</v>
      </c>
      <c r="F72">
        <v>1.18</v>
      </c>
      <c r="G72">
        <v>0</v>
      </c>
      <c r="H72">
        <v>1.22</v>
      </c>
    </row>
    <row r="73" spans="1:8" x14ac:dyDescent="0.55000000000000004">
      <c r="A73" s="11" t="str">
        <f t="shared" si="3"/>
        <v>2月</v>
      </c>
      <c r="B73" s="11" t="str">
        <f t="shared" si="4"/>
        <v>2月3日</v>
      </c>
      <c r="C73" s="11" t="str">
        <f t="shared" si="5"/>
        <v>22時</v>
      </c>
      <c r="D73" s="10">
        <v>45691.875</v>
      </c>
      <c r="E73">
        <v>0</v>
      </c>
      <c r="F73">
        <v>1.21</v>
      </c>
      <c r="G73">
        <v>0</v>
      </c>
      <c r="H73">
        <v>1.24</v>
      </c>
    </row>
    <row r="74" spans="1:8" x14ac:dyDescent="0.55000000000000004">
      <c r="A74" s="11" t="str">
        <f t="shared" si="3"/>
        <v>2月</v>
      </c>
      <c r="B74" s="11" t="str">
        <f t="shared" si="4"/>
        <v>2月3日</v>
      </c>
      <c r="C74" s="11" t="str">
        <f t="shared" si="5"/>
        <v>23時</v>
      </c>
      <c r="D74" s="10">
        <v>45691.916666666664</v>
      </c>
      <c r="E74">
        <v>0</v>
      </c>
      <c r="F74">
        <v>0.81</v>
      </c>
      <c r="G74">
        <v>0</v>
      </c>
      <c r="H74">
        <v>0.85</v>
      </c>
    </row>
    <row r="75" spans="1:8" x14ac:dyDescent="0.55000000000000004">
      <c r="A75" s="11" t="str">
        <f t="shared" si="3"/>
        <v>2月</v>
      </c>
      <c r="B75" s="11" t="str">
        <f t="shared" si="4"/>
        <v>2月3日</v>
      </c>
      <c r="C75" s="11" t="str">
        <f t="shared" si="5"/>
        <v>24時</v>
      </c>
      <c r="D75" s="10">
        <v>45691.958333333336</v>
      </c>
      <c r="E75">
        <v>0</v>
      </c>
      <c r="F75">
        <v>1.08</v>
      </c>
      <c r="G75">
        <v>0</v>
      </c>
      <c r="H75">
        <v>1.1200000000000001</v>
      </c>
    </row>
    <row r="76" spans="1:8" x14ac:dyDescent="0.55000000000000004">
      <c r="A76" s="11" t="str">
        <f t="shared" si="3"/>
        <v>2月</v>
      </c>
      <c r="B76" s="11" t="str">
        <f t="shared" si="4"/>
        <v>2月4日</v>
      </c>
      <c r="C76" s="11" t="str">
        <f t="shared" si="5"/>
        <v>1時</v>
      </c>
      <c r="D76" s="10">
        <v>45692</v>
      </c>
      <c r="E76">
        <v>0</v>
      </c>
      <c r="F76">
        <v>1.39</v>
      </c>
      <c r="G76">
        <v>0</v>
      </c>
      <c r="H76">
        <v>1.43</v>
      </c>
    </row>
    <row r="77" spans="1:8" x14ac:dyDescent="0.55000000000000004">
      <c r="A77" s="11" t="str">
        <f t="shared" si="3"/>
        <v>2月</v>
      </c>
      <c r="B77" s="11" t="str">
        <f t="shared" si="4"/>
        <v>2月4日</v>
      </c>
      <c r="C77" s="11" t="str">
        <f t="shared" si="5"/>
        <v>2時</v>
      </c>
      <c r="D77" s="10">
        <v>45692.041666666664</v>
      </c>
      <c r="E77">
        <v>0</v>
      </c>
      <c r="F77">
        <v>0.9</v>
      </c>
      <c r="G77">
        <v>0</v>
      </c>
      <c r="H77">
        <v>0.94</v>
      </c>
    </row>
    <row r="78" spans="1:8" x14ac:dyDescent="0.55000000000000004">
      <c r="A78" s="11" t="str">
        <f t="shared" si="3"/>
        <v>2月</v>
      </c>
      <c r="B78" s="11" t="str">
        <f t="shared" si="4"/>
        <v>2月4日</v>
      </c>
      <c r="C78" s="11" t="str">
        <f t="shared" si="5"/>
        <v>3時</v>
      </c>
      <c r="D78" s="10">
        <v>45692.083333333336</v>
      </c>
      <c r="E78">
        <v>0</v>
      </c>
      <c r="F78">
        <v>1.05</v>
      </c>
      <c r="G78">
        <v>0</v>
      </c>
      <c r="H78">
        <v>1.08</v>
      </c>
    </row>
    <row r="79" spans="1:8" x14ac:dyDescent="0.55000000000000004">
      <c r="A79" s="11" t="str">
        <f t="shared" si="3"/>
        <v>2月</v>
      </c>
      <c r="B79" s="11" t="str">
        <f t="shared" si="4"/>
        <v>2月4日</v>
      </c>
      <c r="C79" s="11" t="str">
        <f t="shared" si="5"/>
        <v>4時</v>
      </c>
      <c r="D79" s="10">
        <v>45692.125</v>
      </c>
      <c r="E79">
        <v>0</v>
      </c>
      <c r="F79">
        <v>0.76</v>
      </c>
      <c r="G79">
        <v>0</v>
      </c>
      <c r="H79">
        <v>0.8</v>
      </c>
    </row>
    <row r="80" spans="1:8" x14ac:dyDescent="0.55000000000000004">
      <c r="A80" s="11" t="str">
        <f t="shared" si="3"/>
        <v>2月</v>
      </c>
      <c r="B80" s="11" t="str">
        <f t="shared" si="4"/>
        <v>2月4日</v>
      </c>
      <c r="C80" s="11" t="str">
        <f t="shared" si="5"/>
        <v>5時</v>
      </c>
      <c r="D80" s="10">
        <v>45692.166666666664</v>
      </c>
      <c r="E80">
        <v>0</v>
      </c>
      <c r="F80">
        <v>1.1000000000000001</v>
      </c>
      <c r="G80">
        <v>0</v>
      </c>
      <c r="H80">
        <v>1.1399999999999999</v>
      </c>
    </row>
    <row r="81" spans="1:8" x14ac:dyDescent="0.55000000000000004">
      <c r="A81" s="11" t="str">
        <f t="shared" si="3"/>
        <v>2月</v>
      </c>
      <c r="B81" s="11" t="str">
        <f t="shared" si="4"/>
        <v>2月4日</v>
      </c>
      <c r="C81" s="11" t="str">
        <f t="shared" si="5"/>
        <v>6時</v>
      </c>
      <c r="D81" s="10">
        <v>45692.208333333336</v>
      </c>
      <c r="E81">
        <v>0</v>
      </c>
      <c r="F81">
        <v>0.91</v>
      </c>
      <c r="G81">
        <v>0</v>
      </c>
      <c r="H81">
        <v>0.95</v>
      </c>
    </row>
    <row r="82" spans="1:8" x14ac:dyDescent="0.55000000000000004">
      <c r="A82" s="11" t="str">
        <f t="shared" si="3"/>
        <v>2月</v>
      </c>
      <c r="B82" s="11" t="str">
        <f t="shared" si="4"/>
        <v>2月4日</v>
      </c>
      <c r="C82" s="11" t="str">
        <f t="shared" si="5"/>
        <v>7時</v>
      </c>
      <c r="D82" s="10">
        <v>45692.25</v>
      </c>
      <c r="E82">
        <v>0</v>
      </c>
      <c r="F82">
        <v>2.5099999999999998</v>
      </c>
      <c r="G82">
        <v>0</v>
      </c>
      <c r="H82">
        <v>2.5499999999999998</v>
      </c>
    </row>
    <row r="83" spans="1:8" x14ac:dyDescent="0.55000000000000004">
      <c r="A83" s="11" t="str">
        <f t="shared" si="3"/>
        <v>2月</v>
      </c>
      <c r="B83" s="11" t="str">
        <f t="shared" si="4"/>
        <v>2月4日</v>
      </c>
      <c r="C83" s="11" t="str">
        <f t="shared" si="5"/>
        <v>8時</v>
      </c>
      <c r="D83" s="10">
        <v>45692.291666666664</v>
      </c>
      <c r="E83">
        <v>0</v>
      </c>
      <c r="F83">
        <v>0.96</v>
      </c>
      <c r="G83">
        <v>0</v>
      </c>
      <c r="H83">
        <v>0.97</v>
      </c>
    </row>
    <row r="84" spans="1:8" x14ac:dyDescent="0.55000000000000004">
      <c r="A84" s="11" t="str">
        <f t="shared" si="3"/>
        <v>2月</v>
      </c>
      <c r="B84" s="11" t="str">
        <f t="shared" si="4"/>
        <v>2月4日</v>
      </c>
      <c r="C84" s="11" t="str">
        <f t="shared" si="5"/>
        <v>9時</v>
      </c>
      <c r="D84" s="10">
        <v>45692.333333333336</v>
      </c>
      <c r="E84">
        <v>0.11</v>
      </c>
      <c r="F84">
        <v>0.65</v>
      </c>
      <c r="G84">
        <v>0</v>
      </c>
      <c r="H84">
        <v>0.55000000000000004</v>
      </c>
    </row>
    <row r="85" spans="1:8" x14ac:dyDescent="0.55000000000000004">
      <c r="A85" s="11" t="str">
        <f t="shared" si="3"/>
        <v>2月</v>
      </c>
      <c r="B85" s="11" t="str">
        <f t="shared" si="4"/>
        <v>2月4日</v>
      </c>
      <c r="C85" s="11" t="str">
        <f t="shared" si="5"/>
        <v>10時</v>
      </c>
      <c r="D85" s="10">
        <v>45692.375</v>
      </c>
      <c r="E85">
        <v>0.19</v>
      </c>
      <c r="F85">
        <v>0.79</v>
      </c>
      <c r="G85">
        <v>0</v>
      </c>
      <c r="H85">
        <v>0.61</v>
      </c>
    </row>
    <row r="86" spans="1:8" x14ac:dyDescent="0.55000000000000004">
      <c r="A86" s="11" t="str">
        <f t="shared" si="3"/>
        <v>2月</v>
      </c>
      <c r="B86" s="11" t="str">
        <f t="shared" si="4"/>
        <v>2月4日</v>
      </c>
      <c r="C86" s="11" t="str">
        <f t="shared" si="5"/>
        <v>11時</v>
      </c>
      <c r="D86" s="10">
        <v>45692.416666666664</v>
      </c>
      <c r="E86">
        <v>0.36</v>
      </c>
      <c r="F86">
        <v>0.68</v>
      </c>
      <c r="G86">
        <v>0</v>
      </c>
      <c r="H86">
        <v>0.4</v>
      </c>
    </row>
    <row r="87" spans="1:8" x14ac:dyDescent="0.55000000000000004">
      <c r="A87" s="11" t="str">
        <f t="shared" si="3"/>
        <v>2月</v>
      </c>
      <c r="B87" s="11" t="str">
        <f t="shared" si="4"/>
        <v>2月4日</v>
      </c>
      <c r="C87" s="11" t="str">
        <f t="shared" si="5"/>
        <v>12時</v>
      </c>
      <c r="D87" s="10">
        <v>45692.458333333336</v>
      </c>
      <c r="E87">
        <v>0.44</v>
      </c>
      <c r="F87">
        <v>0.78</v>
      </c>
      <c r="G87">
        <v>0</v>
      </c>
      <c r="H87">
        <v>0.35</v>
      </c>
    </row>
    <row r="88" spans="1:8" x14ac:dyDescent="0.55000000000000004">
      <c r="A88" s="11" t="str">
        <f t="shared" si="3"/>
        <v>2月</v>
      </c>
      <c r="B88" s="11" t="str">
        <f t="shared" si="4"/>
        <v>2月4日</v>
      </c>
      <c r="C88" s="11" t="str">
        <f t="shared" si="5"/>
        <v>13時</v>
      </c>
      <c r="D88" s="10">
        <v>45692.5</v>
      </c>
      <c r="E88">
        <v>0.21</v>
      </c>
      <c r="F88">
        <v>1.58</v>
      </c>
      <c r="G88">
        <v>0</v>
      </c>
      <c r="H88">
        <v>1.37</v>
      </c>
    </row>
    <row r="89" spans="1:8" x14ac:dyDescent="0.55000000000000004">
      <c r="A89" s="11" t="str">
        <f t="shared" si="3"/>
        <v>2月</v>
      </c>
      <c r="B89" s="11" t="str">
        <f t="shared" si="4"/>
        <v>2月4日</v>
      </c>
      <c r="C89" s="11" t="str">
        <f t="shared" si="5"/>
        <v>14時</v>
      </c>
      <c r="D89" s="10">
        <v>45692.541666666664</v>
      </c>
      <c r="E89">
        <v>0.16</v>
      </c>
      <c r="F89">
        <v>0.89</v>
      </c>
      <c r="G89">
        <v>0</v>
      </c>
      <c r="H89">
        <v>0.72</v>
      </c>
    </row>
    <row r="90" spans="1:8" x14ac:dyDescent="0.55000000000000004">
      <c r="A90" s="11" t="str">
        <f t="shared" si="3"/>
        <v>2月</v>
      </c>
      <c r="B90" s="11" t="str">
        <f t="shared" si="4"/>
        <v>2月4日</v>
      </c>
      <c r="C90" s="11" t="str">
        <f t="shared" si="5"/>
        <v>15時</v>
      </c>
      <c r="D90" s="10">
        <v>45692.583333333336</v>
      </c>
      <c r="E90">
        <v>0.13</v>
      </c>
      <c r="F90">
        <v>0.9</v>
      </c>
      <c r="G90">
        <v>0</v>
      </c>
      <c r="H90">
        <v>0.77</v>
      </c>
    </row>
    <row r="91" spans="1:8" x14ac:dyDescent="0.55000000000000004">
      <c r="A91" s="11" t="str">
        <f t="shared" si="3"/>
        <v>2月</v>
      </c>
      <c r="B91" s="11" t="str">
        <f t="shared" si="4"/>
        <v>2月4日</v>
      </c>
      <c r="C91" s="11" t="str">
        <f t="shared" si="5"/>
        <v>16時</v>
      </c>
      <c r="D91" s="10">
        <v>45692.625</v>
      </c>
      <c r="E91">
        <v>0.06</v>
      </c>
      <c r="F91">
        <v>3</v>
      </c>
      <c r="G91">
        <v>0</v>
      </c>
      <c r="H91">
        <v>2.94</v>
      </c>
    </row>
    <row r="92" spans="1:8" x14ac:dyDescent="0.55000000000000004">
      <c r="A92" s="11" t="str">
        <f t="shared" si="3"/>
        <v>2月</v>
      </c>
      <c r="B92" s="11" t="str">
        <f t="shared" si="4"/>
        <v>2月4日</v>
      </c>
      <c r="C92" s="11" t="str">
        <f t="shared" si="5"/>
        <v>17時</v>
      </c>
      <c r="D92" s="10">
        <v>45692.666666666664</v>
      </c>
      <c r="E92">
        <v>0</v>
      </c>
      <c r="F92">
        <v>2.79</v>
      </c>
      <c r="G92">
        <v>0</v>
      </c>
      <c r="H92">
        <v>2.8</v>
      </c>
    </row>
    <row r="93" spans="1:8" x14ac:dyDescent="0.55000000000000004">
      <c r="A93" s="11" t="str">
        <f t="shared" si="3"/>
        <v>2月</v>
      </c>
      <c r="B93" s="11" t="str">
        <f t="shared" si="4"/>
        <v>2月4日</v>
      </c>
      <c r="C93" s="11" t="str">
        <f t="shared" si="5"/>
        <v>18時</v>
      </c>
      <c r="D93" s="10">
        <v>45692.708333333336</v>
      </c>
      <c r="E93">
        <v>0</v>
      </c>
      <c r="F93">
        <v>2.2000000000000002</v>
      </c>
      <c r="G93">
        <v>0</v>
      </c>
      <c r="H93">
        <v>2.23</v>
      </c>
    </row>
    <row r="94" spans="1:8" x14ac:dyDescent="0.55000000000000004">
      <c r="A94" s="11" t="str">
        <f t="shared" si="3"/>
        <v>2月</v>
      </c>
      <c r="B94" s="11" t="str">
        <f t="shared" si="4"/>
        <v>2月4日</v>
      </c>
      <c r="C94" s="11" t="str">
        <f t="shared" si="5"/>
        <v>19時</v>
      </c>
      <c r="D94" s="10">
        <v>45692.75</v>
      </c>
      <c r="E94">
        <v>0</v>
      </c>
      <c r="F94">
        <v>1.39</v>
      </c>
      <c r="G94">
        <v>0</v>
      </c>
      <c r="H94">
        <v>1.42</v>
      </c>
    </row>
    <row r="95" spans="1:8" x14ac:dyDescent="0.55000000000000004">
      <c r="A95" s="11" t="str">
        <f t="shared" si="3"/>
        <v>2月</v>
      </c>
      <c r="B95" s="11" t="str">
        <f t="shared" si="4"/>
        <v>2月4日</v>
      </c>
      <c r="C95" s="11" t="str">
        <f t="shared" si="5"/>
        <v>20時</v>
      </c>
      <c r="D95" s="10">
        <v>45692.791666666664</v>
      </c>
      <c r="E95">
        <v>0</v>
      </c>
      <c r="F95">
        <v>1.55</v>
      </c>
      <c r="G95">
        <v>0</v>
      </c>
      <c r="H95">
        <v>1.58</v>
      </c>
    </row>
    <row r="96" spans="1:8" x14ac:dyDescent="0.55000000000000004">
      <c r="A96" s="11" t="str">
        <f t="shared" si="3"/>
        <v>2月</v>
      </c>
      <c r="B96" s="11" t="str">
        <f t="shared" si="4"/>
        <v>2月4日</v>
      </c>
      <c r="C96" s="11" t="str">
        <f t="shared" si="5"/>
        <v>21時</v>
      </c>
      <c r="D96" s="10">
        <v>45692.833333333336</v>
      </c>
      <c r="E96">
        <v>0</v>
      </c>
      <c r="F96">
        <v>1.35</v>
      </c>
      <c r="G96">
        <v>0</v>
      </c>
      <c r="H96">
        <v>1.39</v>
      </c>
    </row>
    <row r="97" spans="1:8" x14ac:dyDescent="0.55000000000000004">
      <c r="A97" s="11" t="str">
        <f t="shared" si="3"/>
        <v>2月</v>
      </c>
      <c r="B97" s="11" t="str">
        <f t="shared" si="4"/>
        <v>2月4日</v>
      </c>
      <c r="C97" s="11" t="str">
        <f t="shared" si="5"/>
        <v>22時</v>
      </c>
      <c r="D97" s="10">
        <v>45692.875</v>
      </c>
      <c r="E97">
        <v>0</v>
      </c>
      <c r="F97">
        <v>1.69</v>
      </c>
      <c r="G97">
        <v>0</v>
      </c>
      <c r="H97">
        <v>1.73</v>
      </c>
    </row>
    <row r="98" spans="1:8" x14ac:dyDescent="0.55000000000000004">
      <c r="A98" s="11" t="str">
        <f t="shared" si="3"/>
        <v>2月</v>
      </c>
      <c r="B98" s="11" t="str">
        <f t="shared" si="4"/>
        <v>2月4日</v>
      </c>
      <c r="C98" s="11" t="str">
        <f t="shared" si="5"/>
        <v>23時</v>
      </c>
      <c r="D98" s="10">
        <v>45692.916666666664</v>
      </c>
      <c r="E98">
        <v>0</v>
      </c>
      <c r="F98">
        <v>1.46</v>
      </c>
      <c r="G98">
        <v>0</v>
      </c>
      <c r="H98">
        <v>1.5</v>
      </c>
    </row>
    <row r="99" spans="1:8" x14ac:dyDescent="0.55000000000000004">
      <c r="A99" s="11" t="str">
        <f t="shared" si="3"/>
        <v>2月</v>
      </c>
      <c r="B99" s="11" t="str">
        <f t="shared" si="4"/>
        <v>2月4日</v>
      </c>
      <c r="C99" s="11" t="str">
        <f t="shared" si="5"/>
        <v>24時</v>
      </c>
      <c r="D99" s="10">
        <v>45692.958333333336</v>
      </c>
      <c r="E99">
        <v>0</v>
      </c>
      <c r="F99">
        <v>1.08</v>
      </c>
      <c r="G99">
        <v>0</v>
      </c>
      <c r="H99">
        <v>1.1200000000000001</v>
      </c>
    </row>
    <row r="100" spans="1:8" x14ac:dyDescent="0.55000000000000004">
      <c r="A100" s="11" t="str">
        <f t="shared" si="3"/>
        <v>2月</v>
      </c>
      <c r="B100" s="11" t="str">
        <f t="shared" si="4"/>
        <v>2月5日</v>
      </c>
      <c r="C100" s="11" t="str">
        <f t="shared" si="5"/>
        <v>1時</v>
      </c>
      <c r="D100" s="10">
        <v>45693</v>
      </c>
      <c r="E100">
        <v>0</v>
      </c>
      <c r="F100">
        <v>2.21</v>
      </c>
      <c r="G100">
        <v>0</v>
      </c>
      <c r="H100">
        <v>2.25</v>
      </c>
    </row>
    <row r="101" spans="1:8" x14ac:dyDescent="0.55000000000000004">
      <c r="A101" s="11" t="str">
        <f t="shared" si="3"/>
        <v>2月</v>
      </c>
      <c r="B101" s="11" t="str">
        <f t="shared" si="4"/>
        <v>2月5日</v>
      </c>
      <c r="C101" s="11" t="str">
        <f t="shared" si="5"/>
        <v>2時</v>
      </c>
      <c r="D101" s="10">
        <v>45693.041666666664</v>
      </c>
      <c r="E101">
        <v>0</v>
      </c>
      <c r="F101">
        <v>1.1299999999999999</v>
      </c>
      <c r="G101">
        <v>0</v>
      </c>
      <c r="H101">
        <v>1.17</v>
      </c>
    </row>
    <row r="102" spans="1:8" x14ac:dyDescent="0.55000000000000004">
      <c r="A102" s="11" t="str">
        <f t="shared" si="3"/>
        <v>2月</v>
      </c>
      <c r="B102" s="11" t="str">
        <f t="shared" si="4"/>
        <v>2月5日</v>
      </c>
      <c r="C102" s="11" t="str">
        <f t="shared" si="5"/>
        <v>3時</v>
      </c>
      <c r="D102" s="10">
        <v>45693.083333333336</v>
      </c>
      <c r="E102">
        <v>0</v>
      </c>
      <c r="F102">
        <v>1.1399999999999999</v>
      </c>
      <c r="G102">
        <v>0</v>
      </c>
      <c r="H102">
        <v>1.18</v>
      </c>
    </row>
    <row r="103" spans="1:8" x14ac:dyDescent="0.55000000000000004">
      <c r="A103" s="11" t="str">
        <f t="shared" si="3"/>
        <v>2月</v>
      </c>
      <c r="B103" s="11" t="str">
        <f t="shared" si="4"/>
        <v>2月5日</v>
      </c>
      <c r="C103" s="11" t="str">
        <f t="shared" si="5"/>
        <v>4時</v>
      </c>
      <c r="D103" s="10">
        <v>45693.125</v>
      </c>
      <c r="E103">
        <v>0</v>
      </c>
      <c r="F103">
        <v>1.08</v>
      </c>
      <c r="G103">
        <v>0</v>
      </c>
      <c r="H103">
        <v>1.1200000000000001</v>
      </c>
    </row>
    <row r="104" spans="1:8" x14ac:dyDescent="0.55000000000000004">
      <c r="A104" s="11" t="str">
        <f t="shared" si="3"/>
        <v>2月</v>
      </c>
      <c r="B104" s="11" t="str">
        <f t="shared" si="4"/>
        <v>2月5日</v>
      </c>
      <c r="C104" s="11" t="str">
        <f t="shared" si="5"/>
        <v>5時</v>
      </c>
      <c r="D104" s="10">
        <v>45693.166666666664</v>
      </c>
      <c r="E104">
        <v>0</v>
      </c>
      <c r="F104">
        <v>1.33</v>
      </c>
      <c r="G104">
        <v>0</v>
      </c>
      <c r="H104">
        <v>1.37</v>
      </c>
    </row>
    <row r="105" spans="1:8" x14ac:dyDescent="0.55000000000000004">
      <c r="A105" s="11" t="str">
        <f t="shared" si="3"/>
        <v>2月</v>
      </c>
      <c r="B105" s="11" t="str">
        <f t="shared" si="4"/>
        <v>2月5日</v>
      </c>
      <c r="C105" s="11" t="str">
        <f t="shared" si="5"/>
        <v>6時</v>
      </c>
      <c r="D105" s="10">
        <v>45693.208333333336</v>
      </c>
      <c r="E105">
        <v>0</v>
      </c>
      <c r="F105">
        <v>1.18</v>
      </c>
      <c r="G105">
        <v>0</v>
      </c>
      <c r="H105">
        <v>1.22</v>
      </c>
    </row>
    <row r="106" spans="1:8" x14ac:dyDescent="0.55000000000000004">
      <c r="A106" s="11" t="str">
        <f t="shared" si="3"/>
        <v>2月</v>
      </c>
      <c r="B106" s="11" t="str">
        <f t="shared" si="4"/>
        <v>2月5日</v>
      </c>
      <c r="C106" s="11" t="str">
        <f t="shared" si="5"/>
        <v>7時</v>
      </c>
      <c r="D106" s="10">
        <v>45693.25</v>
      </c>
      <c r="E106">
        <v>0</v>
      </c>
      <c r="F106">
        <v>3.33</v>
      </c>
      <c r="G106">
        <v>0</v>
      </c>
      <c r="H106">
        <v>3.37</v>
      </c>
    </row>
    <row r="107" spans="1:8" x14ac:dyDescent="0.55000000000000004">
      <c r="A107" s="11" t="str">
        <f t="shared" si="3"/>
        <v>2月</v>
      </c>
      <c r="B107" s="11" t="str">
        <f t="shared" si="4"/>
        <v>2月5日</v>
      </c>
      <c r="C107" s="11" t="str">
        <f t="shared" si="5"/>
        <v>8時</v>
      </c>
      <c r="D107" s="10">
        <v>45693.291666666664</v>
      </c>
      <c r="E107">
        <v>0</v>
      </c>
      <c r="F107">
        <v>1.77</v>
      </c>
      <c r="G107">
        <v>0</v>
      </c>
      <c r="H107">
        <v>1.81</v>
      </c>
    </row>
    <row r="108" spans="1:8" x14ac:dyDescent="0.55000000000000004">
      <c r="A108" s="11" t="str">
        <f t="shared" si="3"/>
        <v>2月</v>
      </c>
      <c r="B108" s="11" t="str">
        <f t="shared" si="4"/>
        <v>2月5日</v>
      </c>
      <c r="C108" s="11" t="str">
        <f t="shared" si="5"/>
        <v>9時</v>
      </c>
      <c r="D108" s="10">
        <v>45693.333333333336</v>
      </c>
      <c r="E108">
        <v>0</v>
      </c>
      <c r="F108">
        <v>1.1200000000000001</v>
      </c>
      <c r="G108">
        <v>0</v>
      </c>
      <c r="H108">
        <v>1.1499999999999999</v>
      </c>
    </row>
    <row r="109" spans="1:8" x14ac:dyDescent="0.55000000000000004">
      <c r="A109" s="11" t="str">
        <f t="shared" si="3"/>
        <v>2月</v>
      </c>
      <c r="B109" s="11" t="str">
        <f t="shared" si="4"/>
        <v>2月5日</v>
      </c>
      <c r="C109" s="11" t="str">
        <f t="shared" si="5"/>
        <v>10時</v>
      </c>
      <c r="D109" s="10">
        <v>45693.375</v>
      </c>
      <c r="E109">
        <v>0</v>
      </c>
      <c r="F109">
        <v>1.25</v>
      </c>
      <c r="G109">
        <v>0</v>
      </c>
      <c r="H109">
        <v>1.29</v>
      </c>
    </row>
    <row r="110" spans="1:8" x14ac:dyDescent="0.55000000000000004">
      <c r="A110" s="11" t="str">
        <f t="shared" si="3"/>
        <v>2月</v>
      </c>
      <c r="B110" s="11" t="str">
        <f t="shared" si="4"/>
        <v>2月5日</v>
      </c>
      <c r="C110" s="11" t="str">
        <f t="shared" si="5"/>
        <v>11時</v>
      </c>
      <c r="D110" s="10">
        <v>45693.416666666664</v>
      </c>
      <c r="E110">
        <v>0</v>
      </c>
      <c r="F110">
        <v>1.1200000000000001</v>
      </c>
      <c r="G110">
        <v>0</v>
      </c>
      <c r="H110">
        <v>1.1499999999999999</v>
      </c>
    </row>
    <row r="111" spans="1:8" x14ac:dyDescent="0.55000000000000004">
      <c r="A111" s="11" t="str">
        <f t="shared" si="3"/>
        <v>2月</v>
      </c>
      <c r="B111" s="11" t="str">
        <f t="shared" si="4"/>
        <v>2月5日</v>
      </c>
      <c r="C111" s="11" t="str">
        <f t="shared" si="5"/>
        <v>12時</v>
      </c>
      <c r="D111" s="10">
        <v>45693.458333333336</v>
      </c>
      <c r="E111">
        <v>0</v>
      </c>
      <c r="F111">
        <v>1.1000000000000001</v>
      </c>
      <c r="G111">
        <v>0</v>
      </c>
      <c r="H111">
        <v>1.1299999999999999</v>
      </c>
    </row>
    <row r="112" spans="1:8" x14ac:dyDescent="0.55000000000000004">
      <c r="A112" s="11" t="str">
        <f t="shared" si="3"/>
        <v>2月</v>
      </c>
      <c r="B112" s="11" t="str">
        <f t="shared" si="4"/>
        <v>2月5日</v>
      </c>
      <c r="C112" s="11" t="str">
        <f t="shared" si="5"/>
        <v>13時</v>
      </c>
      <c r="D112" s="10">
        <v>45693.5</v>
      </c>
      <c r="E112">
        <v>0</v>
      </c>
      <c r="F112">
        <v>0.93</v>
      </c>
      <c r="G112">
        <v>0</v>
      </c>
      <c r="H112">
        <v>0.97</v>
      </c>
    </row>
    <row r="113" spans="1:8" x14ac:dyDescent="0.55000000000000004">
      <c r="A113" s="11" t="str">
        <f t="shared" si="3"/>
        <v>2月</v>
      </c>
      <c r="B113" s="11" t="str">
        <f t="shared" si="4"/>
        <v>2月5日</v>
      </c>
      <c r="C113" s="11" t="str">
        <f t="shared" si="5"/>
        <v>14時</v>
      </c>
      <c r="D113" s="10">
        <v>45693.541666666664</v>
      </c>
      <c r="E113">
        <v>0</v>
      </c>
      <c r="F113">
        <v>2.21</v>
      </c>
      <c r="G113">
        <v>0</v>
      </c>
      <c r="H113">
        <v>2.2400000000000002</v>
      </c>
    </row>
    <row r="114" spans="1:8" x14ac:dyDescent="0.55000000000000004">
      <c r="A114" s="11" t="str">
        <f t="shared" si="3"/>
        <v>2月</v>
      </c>
      <c r="B114" s="11" t="str">
        <f t="shared" si="4"/>
        <v>2月5日</v>
      </c>
      <c r="C114" s="11" t="str">
        <f t="shared" si="5"/>
        <v>15時</v>
      </c>
      <c r="D114" s="10">
        <v>45693.583333333336</v>
      </c>
      <c r="E114">
        <v>0</v>
      </c>
      <c r="F114">
        <v>1.08</v>
      </c>
      <c r="G114">
        <v>0</v>
      </c>
      <c r="H114">
        <v>1.1100000000000001</v>
      </c>
    </row>
    <row r="115" spans="1:8" x14ac:dyDescent="0.55000000000000004">
      <c r="A115" s="11" t="str">
        <f t="shared" si="3"/>
        <v>2月</v>
      </c>
      <c r="B115" s="11" t="str">
        <f t="shared" si="4"/>
        <v>2月5日</v>
      </c>
      <c r="C115" s="11" t="str">
        <f t="shared" si="5"/>
        <v>16時</v>
      </c>
      <c r="D115" s="10">
        <v>45693.625</v>
      </c>
      <c r="E115">
        <v>0</v>
      </c>
      <c r="F115">
        <v>3.26</v>
      </c>
      <c r="G115">
        <v>0</v>
      </c>
      <c r="H115">
        <v>3.3</v>
      </c>
    </row>
    <row r="116" spans="1:8" x14ac:dyDescent="0.55000000000000004">
      <c r="A116" s="11" t="str">
        <f t="shared" si="3"/>
        <v>2月</v>
      </c>
      <c r="B116" s="11" t="str">
        <f t="shared" si="4"/>
        <v>2月5日</v>
      </c>
      <c r="C116" s="11" t="str">
        <f t="shared" si="5"/>
        <v>17時</v>
      </c>
      <c r="D116" s="10">
        <v>45693.666666666664</v>
      </c>
      <c r="E116">
        <v>0</v>
      </c>
      <c r="F116">
        <v>3.2</v>
      </c>
      <c r="G116">
        <v>0</v>
      </c>
      <c r="H116">
        <v>3.24</v>
      </c>
    </row>
    <row r="117" spans="1:8" x14ac:dyDescent="0.55000000000000004">
      <c r="A117" s="11" t="str">
        <f t="shared" si="3"/>
        <v>2月</v>
      </c>
      <c r="B117" s="11" t="str">
        <f t="shared" si="4"/>
        <v>2月5日</v>
      </c>
      <c r="C117" s="11" t="str">
        <f t="shared" si="5"/>
        <v>18時</v>
      </c>
      <c r="D117" s="10">
        <v>45693.708333333336</v>
      </c>
      <c r="E117">
        <v>0</v>
      </c>
      <c r="F117">
        <v>2.2799999999999998</v>
      </c>
      <c r="G117">
        <v>0</v>
      </c>
      <c r="H117">
        <v>2.3199999999999998</v>
      </c>
    </row>
    <row r="118" spans="1:8" x14ac:dyDescent="0.55000000000000004">
      <c r="A118" s="11" t="str">
        <f t="shared" si="3"/>
        <v>2月</v>
      </c>
      <c r="B118" s="11" t="str">
        <f t="shared" si="4"/>
        <v>2月5日</v>
      </c>
      <c r="C118" s="11" t="str">
        <f t="shared" si="5"/>
        <v>19時</v>
      </c>
      <c r="D118" s="10">
        <v>45693.75</v>
      </c>
      <c r="E118">
        <v>0</v>
      </c>
      <c r="F118">
        <v>1.53</v>
      </c>
      <c r="G118">
        <v>0</v>
      </c>
      <c r="H118">
        <v>1.57</v>
      </c>
    </row>
    <row r="119" spans="1:8" x14ac:dyDescent="0.55000000000000004">
      <c r="A119" s="11" t="str">
        <f t="shared" si="3"/>
        <v>2月</v>
      </c>
      <c r="B119" s="11" t="str">
        <f t="shared" si="4"/>
        <v>2月5日</v>
      </c>
      <c r="C119" s="11" t="str">
        <f t="shared" si="5"/>
        <v>20時</v>
      </c>
      <c r="D119" s="10">
        <v>45693.791666666664</v>
      </c>
      <c r="E119">
        <v>0</v>
      </c>
      <c r="F119">
        <v>1.55</v>
      </c>
      <c r="G119">
        <v>0</v>
      </c>
      <c r="H119">
        <v>1.59</v>
      </c>
    </row>
    <row r="120" spans="1:8" x14ac:dyDescent="0.55000000000000004">
      <c r="A120" s="11" t="str">
        <f t="shared" si="3"/>
        <v>2月</v>
      </c>
      <c r="B120" s="11" t="str">
        <f t="shared" si="4"/>
        <v>2月5日</v>
      </c>
      <c r="C120" s="11" t="str">
        <f t="shared" si="5"/>
        <v>21時</v>
      </c>
      <c r="D120" s="10">
        <v>45693.833333333336</v>
      </c>
      <c r="E120">
        <v>0</v>
      </c>
      <c r="F120">
        <v>1.44</v>
      </c>
      <c r="G120">
        <v>0</v>
      </c>
      <c r="H120">
        <v>1.47</v>
      </c>
    </row>
    <row r="121" spans="1:8" x14ac:dyDescent="0.55000000000000004">
      <c r="A121" s="11" t="str">
        <f t="shared" si="3"/>
        <v>2月</v>
      </c>
      <c r="B121" s="11" t="str">
        <f t="shared" si="4"/>
        <v>2月5日</v>
      </c>
      <c r="C121" s="11" t="str">
        <f t="shared" si="5"/>
        <v>22時</v>
      </c>
      <c r="D121" s="10">
        <v>45693.875</v>
      </c>
      <c r="E121">
        <v>0</v>
      </c>
      <c r="F121">
        <v>1.71</v>
      </c>
      <c r="G121">
        <v>0</v>
      </c>
      <c r="H121">
        <v>1.75</v>
      </c>
    </row>
    <row r="122" spans="1:8" x14ac:dyDescent="0.55000000000000004">
      <c r="A122" s="11" t="str">
        <f t="shared" si="3"/>
        <v>2月</v>
      </c>
      <c r="B122" s="11" t="str">
        <f t="shared" si="4"/>
        <v>2月5日</v>
      </c>
      <c r="C122" s="11" t="str">
        <f t="shared" si="5"/>
        <v>23時</v>
      </c>
      <c r="D122" s="10">
        <v>45693.916666666664</v>
      </c>
      <c r="E122">
        <v>0</v>
      </c>
      <c r="F122">
        <v>1.28</v>
      </c>
      <c r="G122">
        <v>0</v>
      </c>
      <c r="H122">
        <v>1.32</v>
      </c>
    </row>
    <row r="123" spans="1:8" x14ac:dyDescent="0.55000000000000004">
      <c r="A123" s="11" t="str">
        <f t="shared" si="3"/>
        <v>2月</v>
      </c>
      <c r="B123" s="11" t="str">
        <f t="shared" si="4"/>
        <v>2月5日</v>
      </c>
      <c r="C123" s="11" t="str">
        <f t="shared" si="5"/>
        <v>24時</v>
      </c>
      <c r="D123" s="10">
        <v>45693.958333333336</v>
      </c>
      <c r="E123">
        <v>0</v>
      </c>
      <c r="F123">
        <v>2.2400000000000002</v>
      </c>
      <c r="G123">
        <v>0</v>
      </c>
      <c r="H123">
        <v>2.2799999999999998</v>
      </c>
    </row>
    <row r="124" spans="1:8" x14ac:dyDescent="0.55000000000000004">
      <c r="A124" s="11" t="str">
        <f t="shared" si="3"/>
        <v>2月</v>
      </c>
      <c r="B124" s="11" t="str">
        <f t="shared" si="4"/>
        <v>2月6日</v>
      </c>
      <c r="C124" s="11" t="str">
        <f t="shared" si="5"/>
        <v>1時</v>
      </c>
      <c r="D124" s="10">
        <v>45694</v>
      </c>
      <c r="E124">
        <v>0</v>
      </c>
      <c r="F124">
        <v>1.23</v>
      </c>
      <c r="G124">
        <v>0</v>
      </c>
      <c r="H124">
        <v>1.26</v>
      </c>
    </row>
    <row r="125" spans="1:8" x14ac:dyDescent="0.55000000000000004">
      <c r="A125" s="11" t="str">
        <f t="shared" si="3"/>
        <v>2月</v>
      </c>
      <c r="B125" s="11" t="str">
        <f t="shared" si="4"/>
        <v>2月6日</v>
      </c>
      <c r="C125" s="11" t="str">
        <f t="shared" si="5"/>
        <v>2時</v>
      </c>
      <c r="D125" s="10">
        <v>45694.041666666664</v>
      </c>
      <c r="E125">
        <v>0</v>
      </c>
      <c r="F125">
        <v>1.18</v>
      </c>
      <c r="G125">
        <v>0</v>
      </c>
      <c r="H125">
        <v>1.22</v>
      </c>
    </row>
    <row r="126" spans="1:8" x14ac:dyDescent="0.55000000000000004">
      <c r="A126" s="11" t="str">
        <f t="shared" si="3"/>
        <v>2月</v>
      </c>
      <c r="B126" s="11" t="str">
        <f t="shared" si="4"/>
        <v>2月6日</v>
      </c>
      <c r="C126" s="11" t="str">
        <f t="shared" si="5"/>
        <v>3時</v>
      </c>
      <c r="D126" s="10">
        <v>45694.083333333336</v>
      </c>
      <c r="E126">
        <v>0</v>
      </c>
      <c r="F126">
        <v>1.18</v>
      </c>
      <c r="G126">
        <v>0</v>
      </c>
      <c r="H126">
        <v>1.22</v>
      </c>
    </row>
    <row r="127" spans="1:8" x14ac:dyDescent="0.55000000000000004">
      <c r="A127" s="11" t="str">
        <f t="shared" si="3"/>
        <v>2月</v>
      </c>
      <c r="B127" s="11" t="str">
        <f t="shared" si="4"/>
        <v>2月6日</v>
      </c>
      <c r="C127" s="11" t="str">
        <f t="shared" si="5"/>
        <v>4時</v>
      </c>
      <c r="D127" s="10">
        <v>45694.125</v>
      </c>
      <c r="E127">
        <v>0</v>
      </c>
      <c r="F127">
        <v>1.27</v>
      </c>
      <c r="G127">
        <v>0</v>
      </c>
      <c r="H127">
        <v>1.31</v>
      </c>
    </row>
    <row r="128" spans="1:8" x14ac:dyDescent="0.55000000000000004">
      <c r="A128" s="11" t="str">
        <f t="shared" si="3"/>
        <v>2月</v>
      </c>
      <c r="B128" s="11" t="str">
        <f t="shared" si="4"/>
        <v>2月6日</v>
      </c>
      <c r="C128" s="11" t="str">
        <f t="shared" si="5"/>
        <v>5時</v>
      </c>
      <c r="D128" s="10">
        <v>45694.166666666664</v>
      </c>
      <c r="E128">
        <v>0</v>
      </c>
      <c r="F128">
        <v>1.27</v>
      </c>
      <c r="G128">
        <v>0</v>
      </c>
      <c r="H128">
        <v>1.31</v>
      </c>
    </row>
    <row r="129" spans="1:8" x14ac:dyDescent="0.55000000000000004">
      <c r="A129" s="11" t="str">
        <f t="shared" si="3"/>
        <v>2月</v>
      </c>
      <c r="B129" s="11" t="str">
        <f t="shared" si="4"/>
        <v>2月6日</v>
      </c>
      <c r="C129" s="11" t="str">
        <f t="shared" si="5"/>
        <v>6時</v>
      </c>
      <c r="D129" s="10">
        <v>45694.208333333336</v>
      </c>
      <c r="E129">
        <v>0</v>
      </c>
      <c r="F129">
        <v>1.93</v>
      </c>
      <c r="G129">
        <v>0</v>
      </c>
      <c r="H129">
        <v>1.97</v>
      </c>
    </row>
    <row r="130" spans="1:8" x14ac:dyDescent="0.55000000000000004">
      <c r="A130" s="11" t="str">
        <f t="shared" si="3"/>
        <v>2月</v>
      </c>
      <c r="B130" s="11" t="str">
        <f t="shared" si="4"/>
        <v>2月6日</v>
      </c>
      <c r="C130" s="11" t="str">
        <f t="shared" si="5"/>
        <v>7時</v>
      </c>
      <c r="D130" s="10">
        <v>45694.25</v>
      </c>
      <c r="E130">
        <v>0</v>
      </c>
      <c r="F130">
        <v>2.77</v>
      </c>
      <c r="G130">
        <v>0</v>
      </c>
      <c r="H130">
        <v>2.81</v>
      </c>
    </row>
    <row r="131" spans="1:8" x14ac:dyDescent="0.55000000000000004">
      <c r="A131" s="11" t="str">
        <f t="shared" si="3"/>
        <v>2月</v>
      </c>
      <c r="B131" s="11" t="str">
        <f t="shared" si="4"/>
        <v>2月6日</v>
      </c>
      <c r="C131" s="11" t="str">
        <f t="shared" si="5"/>
        <v>8時</v>
      </c>
      <c r="D131" s="10">
        <v>45694.291666666664</v>
      </c>
      <c r="E131">
        <v>0</v>
      </c>
      <c r="F131">
        <v>1.1399999999999999</v>
      </c>
      <c r="G131">
        <v>0</v>
      </c>
      <c r="H131">
        <v>1.18</v>
      </c>
    </row>
    <row r="132" spans="1:8" x14ac:dyDescent="0.55000000000000004">
      <c r="A132" s="11" t="str">
        <f t="shared" ref="A132:A195" si="6">MONTH(D132)&amp;"月"</f>
        <v>2月</v>
      </c>
      <c r="B132" s="11" t="str">
        <f t="shared" ref="B132:B195" si="7">A132&amp;DAY(D132)&amp;"日"</f>
        <v>2月6日</v>
      </c>
      <c r="C132" s="11" t="str">
        <f t="shared" ref="C132:C195" si="8">HOUR(D132)+1&amp;"時"</f>
        <v>9時</v>
      </c>
      <c r="D132" s="10">
        <v>45694.333333333336</v>
      </c>
      <c r="E132">
        <v>0</v>
      </c>
      <c r="F132">
        <v>1.02</v>
      </c>
      <c r="G132">
        <v>0</v>
      </c>
      <c r="H132">
        <v>1.06</v>
      </c>
    </row>
    <row r="133" spans="1:8" x14ac:dyDescent="0.55000000000000004">
      <c r="A133" s="11" t="str">
        <f t="shared" si="6"/>
        <v>2月</v>
      </c>
      <c r="B133" s="11" t="str">
        <f t="shared" si="7"/>
        <v>2月6日</v>
      </c>
      <c r="C133" s="11" t="str">
        <f t="shared" si="8"/>
        <v>10時</v>
      </c>
      <c r="D133" s="10">
        <v>45694.375</v>
      </c>
      <c r="E133">
        <v>0</v>
      </c>
      <c r="F133">
        <v>1.32</v>
      </c>
      <c r="G133">
        <v>0</v>
      </c>
      <c r="H133">
        <v>1.36</v>
      </c>
    </row>
    <row r="134" spans="1:8" x14ac:dyDescent="0.55000000000000004">
      <c r="A134" s="11" t="str">
        <f t="shared" si="6"/>
        <v>2月</v>
      </c>
      <c r="B134" s="11" t="str">
        <f t="shared" si="7"/>
        <v>2月6日</v>
      </c>
      <c r="C134" s="11" t="str">
        <f t="shared" si="8"/>
        <v>11時</v>
      </c>
      <c r="D134" s="10">
        <v>45694.416666666664</v>
      </c>
      <c r="E134">
        <v>0</v>
      </c>
      <c r="F134">
        <v>1.1000000000000001</v>
      </c>
      <c r="G134">
        <v>0</v>
      </c>
      <c r="H134">
        <v>1.1299999999999999</v>
      </c>
    </row>
    <row r="135" spans="1:8" x14ac:dyDescent="0.55000000000000004">
      <c r="A135" s="11" t="str">
        <f t="shared" si="6"/>
        <v>2月</v>
      </c>
      <c r="B135" s="11" t="str">
        <f t="shared" si="7"/>
        <v>2月6日</v>
      </c>
      <c r="C135" s="11" t="str">
        <f t="shared" si="8"/>
        <v>12時</v>
      </c>
      <c r="D135" s="10">
        <v>45694.458333333336</v>
      </c>
      <c r="E135">
        <v>0</v>
      </c>
      <c r="F135">
        <v>2.62</v>
      </c>
      <c r="G135">
        <v>0</v>
      </c>
      <c r="H135">
        <v>2.65</v>
      </c>
    </row>
    <row r="136" spans="1:8" x14ac:dyDescent="0.55000000000000004">
      <c r="A136" s="11" t="str">
        <f t="shared" si="6"/>
        <v>2月</v>
      </c>
      <c r="B136" s="11" t="str">
        <f t="shared" si="7"/>
        <v>2月6日</v>
      </c>
      <c r="C136" s="11" t="str">
        <f t="shared" si="8"/>
        <v>13時</v>
      </c>
      <c r="D136" s="10">
        <v>45694.5</v>
      </c>
      <c r="E136">
        <v>0</v>
      </c>
      <c r="F136">
        <v>1.0900000000000001</v>
      </c>
      <c r="G136">
        <v>0</v>
      </c>
      <c r="H136">
        <v>1.1200000000000001</v>
      </c>
    </row>
    <row r="137" spans="1:8" x14ac:dyDescent="0.55000000000000004">
      <c r="A137" s="11" t="str">
        <f t="shared" si="6"/>
        <v>2月</v>
      </c>
      <c r="B137" s="11" t="str">
        <f t="shared" si="7"/>
        <v>2月6日</v>
      </c>
      <c r="C137" s="11" t="str">
        <f t="shared" si="8"/>
        <v>14時</v>
      </c>
      <c r="D137" s="10">
        <v>45694.541666666664</v>
      </c>
      <c r="E137">
        <v>0</v>
      </c>
      <c r="F137">
        <v>0.97</v>
      </c>
      <c r="G137">
        <v>0</v>
      </c>
      <c r="H137">
        <v>1</v>
      </c>
    </row>
    <row r="138" spans="1:8" x14ac:dyDescent="0.55000000000000004">
      <c r="A138" s="11" t="str">
        <f t="shared" si="6"/>
        <v>2月</v>
      </c>
      <c r="B138" s="11" t="str">
        <f t="shared" si="7"/>
        <v>2月6日</v>
      </c>
      <c r="C138" s="11" t="str">
        <f t="shared" si="8"/>
        <v>15時</v>
      </c>
      <c r="D138" s="10">
        <v>45694.583333333336</v>
      </c>
      <c r="E138">
        <v>0</v>
      </c>
      <c r="F138">
        <v>1.22</v>
      </c>
      <c r="G138">
        <v>0</v>
      </c>
      <c r="H138">
        <v>1.26</v>
      </c>
    </row>
    <row r="139" spans="1:8" x14ac:dyDescent="0.55000000000000004">
      <c r="A139" s="11" t="str">
        <f t="shared" si="6"/>
        <v>2月</v>
      </c>
      <c r="B139" s="11" t="str">
        <f t="shared" si="7"/>
        <v>2月6日</v>
      </c>
      <c r="C139" s="11" t="str">
        <f t="shared" si="8"/>
        <v>16時</v>
      </c>
      <c r="D139" s="10">
        <v>45694.625</v>
      </c>
      <c r="E139">
        <v>0</v>
      </c>
      <c r="F139">
        <v>3.39</v>
      </c>
      <c r="G139">
        <v>0</v>
      </c>
      <c r="H139">
        <v>3.43</v>
      </c>
    </row>
    <row r="140" spans="1:8" x14ac:dyDescent="0.55000000000000004">
      <c r="A140" s="11" t="str">
        <f t="shared" si="6"/>
        <v>2月</v>
      </c>
      <c r="B140" s="11" t="str">
        <f t="shared" si="7"/>
        <v>2月6日</v>
      </c>
      <c r="C140" s="11" t="str">
        <f t="shared" si="8"/>
        <v>17時</v>
      </c>
      <c r="D140" s="10">
        <v>45694.666666666664</v>
      </c>
      <c r="E140">
        <v>0</v>
      </c>
      <c r="F140">
        <v>3.02</v>
      </c>
      <c r="G140">
        <v>0</v>
      </c>
      <c r="H140">
        <v>3.06</v>
      </c>
    </row>
    <row r="141" spans="1:8" x14ac:dyDescent="0.55000000000000004">
      <c r="A141" s="11" t="str">
        <f t="shared" si="6"/>
        <v>2月</v>
      </c>
      <c r="B141" s="11" t="str">
        <f t="shared" si="7"/>
        <v>2月6日</v>
      </c>
      <c r="C141" s="11" t="str">
        <f t="shared" si="8"/>
        <v>18時</v>
      </c>
      <c r="D141" s="10">
        <v>45694.708333333336</v>
      </c>
      <c r="E141">
        <v>0</v>
      </c>
      <c r="F141">
        <v>2.4900000000000002</v>
      </c>
      <c r="G141">
        <v>0</v>
      </c>
      <c r="H141">
        <v>2.5299999999999998</v>
      </c>
    </row>
    <row r="142" spans="1:8" x14ac:dyDescent="0.55000000000000004">
      <c r="A142" s="11" t="str">
        <f t="shared" si="6"/>
        <v>2月</v>
      </c>
      <c r="B142" s="11" t="str">
        <f t="shared" si="7"/>
        <v>2月6日</v>
      </c>
      <c r="C142" s="11" t="str">
        <f t="shared" si="8"/>
        <v>19時</v>
      </c>
      <c r="D142" s="10">
        <v>45694.75</v>
      </c>
      <c r="E142">
        <v>0</v>
      </c>
      <c r="F142">
        <v>1.65</v>
      </c>
      <c r="G142">
        <v>0</v>
      </c>
      <c r="H142">
        <v>1.69</v>
      </c>
    </row>
    <row r="143" spans="1:8" x14ac:dyDescent="0.55000000000000004">
      <c r="A143" s="11" t="str">
        <f t="shared" si="6"/>
        <v>2月</v>
      </c>
      <c r="B143" s="11" t="str">
        <f t="shared" si="7"/>
        <v>2月6日</v>
      </c>
      <c r="C143" s="11" t="str">
        <f t="shared" si="8"/>
        <v>20時</v>
      </c>
      <c r="D143" s="10">
        <v>45694.791666666664</v>
      </c>
      <c r="E143">
        <v>0</v>
      </c>
      <c r="F143">
        <v>1.33</v>
      </c>
      <c r="G143">
        <v>0</v>
      </c>
      <c r="H143">
        <v>1.37</v>
      </c>
    </row>
    <row r="144" spans="1:8" x14ac:dyDescent="0.55000000000000004">
      <c r="A144" s="11" t="str">
        <f t="shared" si="6"/>
        <v>2月</v>
      </c>
      <c r="B144" s="11" t="str">
        <f t="shared" si="7"/>
        <v>2月6日</v>
      </c>
      <c r="C144" s="11" t="str">
        <f t="shared" si="8"/>
        <v>21時</v>
      </c>
      <c r="D144" s="10">
        <v>45694.833333333336</v>
      </c>
      <c r="E144">
        <v>0</v>
      </c>
      <c r="F144">
        <v>1.57</v>
      </c>
      <c r="G144">
        <v>0</v>
      </c>
      <c r="H144">
        <v>1.61</v>
      </c>
    </row>
    <row r="145" spans="1:8" x14ac:dyDescent="0.55000000000000004">
      <c r="A145" s="11" t="str">
        <f t="shared" si="6"/>
        <v>2月</v>
      </c>
      <c r="B145" s="11" t="str">
        <f t="shared" si="7"/>
        <v>2月6日</v>
      </c>
      <c r="C145" s="11" t="str">
        <f t="shared" si="8"/>
        <v>22時</v>
      </c>
      <c r="D145" s="10">
        <v>45694.875</v>
      </c>
      <c r="E145">
        <v>0</v>
      </c>
      <c r="F145">
        <v>1.46</v>
      </c>
      <c r="G145">
        <v>0</v>
      </c>
      <c r="H145">
        <v>1.5</v>
      </c>
    </row>
    <row r="146" spans="1:8" x14ac:dyDescent="0.55000000000000004">
      <c r="A146" s="11" t="str">
        <f t="shared" si="6"/>
        <v>2月</v>
      </c>
      <c r="B146" s="11" t="str">
        <f t="shared" si="7"/>
        <v>2月6日</v>
      </c>
      <c r="C146" s="11" t="str">
        <f t="shared" si="8"/>
        <v>23時</v>
      </c>
      <c r="D146" s="10">
        <v>45694.916666666664</v>
      </c>
      <c r="E146">
        <v>0</v>
      </c>
      <c r="F146">
        <v>1.1599999999999999</v>
      </c>
      <c r="G146">
        <v>0</v>
      </c>
      <c r="H146">
        <v>1.19</v>
      </c>
    </row>
    <row r="147" spans="1:8" x14ac:dyDescent="0.55000000000000004">
      <c r="A147" s="11" t="str">
        <f t="shared" si="6"/>
        <v>2月</v>
      </c>
      <c r="B147" s="11" t="str">
        <f t="shared" si="7"/>
        <v>2月6日</v>
      </c>
      <c r="C147" s="11" t="str">
        <f t="shared" si="8"/>
        <v>24時</v>
      </c>
      <c r="D147" s="10">
        <v>45694.958333333336</v>
      </c>
      <c r="E147">
        <v>0</v>
      </c>
      <c r="F147">
        <v>1.19</v>
      </c>
      <c r="G147">
        <v>0</v>
      </c>
      <c r="H147">
        <v>1.23</v>
      </c>
    </row>
    <row r="148" spans="1:8" x14ac:dyDescent="0.55000000000000004">
      <c r="A148" s="11" t="str">
        <f t="shared" si="6"/>
        <v>2月</v>
      </c>
      <c r="B148" s="11" t="str">
        <f t="shared" si="7"/>
        <v>2月7日</v>
      </c>
      <c r="C148" s="11" t="str">
        <f t="shared" si="8"/>
        <v>1時</v>
      </c>
      <c r="D148" s="10">
        <v>45695</v>
      </c>
      <c r="E148">
        <v>0</v>
      </c>
      <c r="F148">
        <v>2.33</v>
      </c>
      <c r="G148">
        <v>0</v>
      </c>
      <c r="H148">
        <v>2.37</v>
      </c>
    </row>
    <row r="149" spans="1:8" x14ac:dyDescent="0.55000000000000004">
      <c r="A149" s="11" t="str">
        <f t="shared" si="6"/>
        <v>2月</v>
      </c>
      <c r="B149" s="11" t="str">
        <f t="shared" si="7"/>
        <v>2月7日</v>
      </c>
      <c r="C149" s="11" t="str">
        <f t="shared" si="8"/>
        <v>2時</v>
      </c>
      <c r="D149" s="10">
        <v>45695.041666666664</v>
      </c>
      <c r="E149">
        <v>0</v>
      </c>
      <c r="F149">
        <v>1.1100000000000001</v>
      </c>
      <c r="G149">
        <v>0</v>
      </c>
      <c r="H149">
        <v>1.1499999999999999</v>
      </c>
    </row>
    <row r="150" spans="1:8" x14ac:dyDescent="0.55000000000000004">
      <c r="A150" s="11" t="str">
        <f t="shared" si="6"/>
        <v>2月</v>
      </c>
      <c r="B150" s="11" t="str">
        <f t="shared" si="7"/>
        <v>2月7日</v>
      </c>
      <c r="C150" s="11" t="str">
        <f t="shared" si="8"/>
        <v>3時</v>
      </c>
      <c r="D150" s="10">
        <v>45695.083333333336</v>
      </c>
      <c r="E150">
        <v>0</v>
      </c>
      <c r="F150">
        <v>1.17</v>
      </c>
      <c r="G150">
        <v>0</v>
      </c>
      <c r="H150">
        <v>1.21</v>
      </c>
    </row>
    <row r="151" spans="1:8" x14ac:dyDescent="0.55000000000000004">
      <c r="A151" s="11" t="str">
        <f t="shared" si="6"/>
        <v>2月</v>
      </c>
      <c r="B151" s="11" t="str">
        <f t="shared" si="7"/>
        <v>2月7日</v>
      </c>
      <c r="C151" s="11" t="str">
        <f t="shared" si="8"/>
        <v>4時</v>
      </c>
      <c r="D151" s="10">
        <v>45695.125</v>
      </c>
      <c r="E151">
        <v>0</v>
      </c>
      <c r="F151">
        <v>1.1299999999999999</v>
      </c>
      <c r="G151">
        <v>0</v>
      </c>
      <c r="H151">
        <v>1.17</v>
      </c>
    </row>
    <row r="152" spans="1:8" x14ac:dyDescent="0.55000000000000004">
      <c r="A152" s="11" t="str">
        <f t="shared" si="6"/>
        <v>2月</v>
      </c>
      <c r="B152" s="11" t="str">
        <f t="shared" si="7"/>
        <v>2月7日</v>
      </c>
      <c r="C152" s="11" t="str">
        <f t="shared" si="8"/>
        <v>5時</v>
      </c>
      <c r="D152" s="10">
        <v>45695.166666666664</v>
      </c>
      <c r="E152">
        <v>0</v>
      </c>
      <c r="F152">
        <v>1.31</v>
      </c>
      <c r="G152">
        <v>0</v>
      </c>
      <c r="H152">
        <v>1.35</v>
      </c>
    </row>
    <row r="153" spans="1:8" x14ac:dyDescent="0.55000000000000004">
      <c r="A153" s="11" t="str">
        <f t="shared" si="6"/>
        <v>2月</v>
      </c>
      <c r="B153" s="11" t="str">
        <f t="shared" si="7"/>
        <v>2月7日</v>
      </c>
      <c r="C153" s="11" t="str">
        <f t="shared" si="8"/>
        <v>6時</v>
      </c>
      <c r="D153" s="10">
        <v>45695.208333333336</v>
      </c>
      <c r="E153">
        <v>0</v>
      </c>
      <c r="F153">
        <v>1.26</v>
      </c>
      <c r="G153">
        <v>0</v>
      </c>
      <c r="H153">
        <v>1.3</v>
      </c>
    </row>
    <row r="154" spans="1:8" x14ac:dyDescent="0.55000000000000004">
      <c r="A154" s="11" t="str">
        <f t="shared" si="6"/>
        <v>2月</v>
      </c>
      <c r="B154" s="11" t="str">
        <f t="shared" si="7"/>
        <v>2月7日</v>
      </c>
      <c r="C154" s="11" t="str">
        <f t="shared" si="8"/>
        <v>7時</v>
      </c>
      <c r="D154" s="10">
        <v>45695.25</v>
      </c>
      <c r="E154">
        <v>0</v>
      </c>
      <c r="F154">
        <v>3.21</v>
      </c>
      <c r="G154">
        <v>0</v>
      </c>
      <c r="H154">
        <v>3.25</v>
      </c>
    </row>
    <row r="155" spans="1:8" x14ac:dyDescent="0.55000000000000004">
      <c r="A155" s="11" t="str">
        <f t="shared" si="6"/>
        <v>2月</v>
      </c>
      <c r="B155" s="11" t="str">
        <f t="shared" si="7"/>
        <v>2月7日</v>
      </c>
      <c r="C155" s="11" t="str">
        <f t="shared" si="8"/>
        <v>8時</v>
      </c>
      <c r="D155" s="10">
        <v>45695.291666666664</v>
      </c>
      <c r="E155">
        <v>0</v>
      </c>
      <c r="F155">
        <v>1.27</v>
      </c>
      <c r="G155">
        <v>0</v>
      </c>
      <c r="H155">
        <v>1.31</v>
      </c>
    </row>
    <row r="156" spans="1:8" x14ac:dyDescent="0.55000000000000004">
      <c r="A156" s="11" t="str">
        <f t="shared" si="6"/>
        <v>2月</v>
      </c>
      <c r="B156" s="11" t="str">
        <f t="shared" si="7"/>
        <v>2月7日</v>
      </c>
      <c r="C156" s="11" t="str">
        <f t="shared" si="8"/>
        <v>9時</v>
      </c>
      <c r="D156" s="10">
        <v>45695.333333333336</v>
      </c>
      <c r="E156">
        <v>0</v>
      </c>
      <c r="F156">
        <v>0.9</v>
      </c>
      <c r="G156">
        <v>0</v>
      </c>
      <c r="H156">
        <v>0.94</v>
      </c>
    </row>
    <row r="157" spans="1:8" x14ac:dyDescent="0.55000000000000004">
      <c r="A157" s="11" t="str">
        <f t="shared" si="6"/>
        <v>2月</v>
      </c>
      <c r="B157" s="11" t="str">
        <f t="shared" si="7"/>
        <v>2月7日</v>
      </c>
      <c r="C157" s="11" t="str">
        <f t="shared" si="8"/>
        <v>10時</v>
      </c>
      <c r="D157" s="10">
        <v>45695.375</v>
      </c>
      <c r="E157">
        <v>0</v>
      </c>
      <c r="F157">
        <v>0.94</v>
      </c>
      <c r="G157">
        <v>0</v>
      </c>
      <c r="H157">
        <v>0.97</v>
      </c>
    </row>
    <row r="158" spans="1:8" x14ac:dyDescent="0.55000000000000004">
      <c r="A158" s="11" t="str">
        <f t="shared" si="6"/>
        <v>2月</v>
      </c>
      <c r="B158" s="11" t="str">
        <f t="shared" si="7"/>
        <v>2月7日</v>
      </c>
      <c r="C158" s="11" t="str">
        <f t="shared" si="8"/>
        <v>11時</v>
      </c>
      <c r="D158" s="10">
        <v>45695.416666666664</v>
      </c>
      <c r="E158">
        <v>0</v>
      </c>
      <c r="F158">
        <v>1.1000000000000001</v>
      </c>
      <c r="G158">
        <v>0</v>
      </c>
      <c r="H158">
        <v>1.1399999999999999</v>
      </c>
    </row>
    <row r="159" spans="1:8" x14ac:dyDescent="0.55000000000000004">
      <c r="A159" s="11" t="str">
        <f t="shared" si="6"/>
        <v>2月</v>
      </c>
      <c r="B159" s="11" t="str">
        <f t="shared" si="7"/>
        <v>2月7日</v>
      </c>
      <c r="C159" s="11" t="str">
        <f t="shared" si="8"/>
        <v>12時</v>
      </c>
      <c r="D159" s="10">
        <v>45695.458333333336</v>
      </c>
      <c r="E159">
        <v>0</v>
      </c>
      <c r="F159">
        <v>1.0900000000000001</v>
      </c>
      <c r="G159">
        <v>0</v>
      </c>
      <c r="H159">
        <v>1.1299999999999999</v>
      </c>
    </row>
    <row r="160" spans="1:8" x14ac:dyDescent="0.55000000000000004">
      <c r="A160" s="11" t="str">
        <f t="shared" si="6"/>
        <v>2月</v>
      </c>
      <c r="B160" s="11" t="str">
        <f t="shared" si="7"/>
        <v>2月7日</v>
      </c>
      <c r="C160" s="11" t="str">
        <f t="shared" si="8"/>
        <v>13時</v>
      </c>
      <c r="D160" s="10">
        <v>45695.5</v>
      </c>
      <c r="E160">
        <v>0</v>
      </c>
      <c r="F160">
        <v>1.05</v>
      </c>
      <c r="G160">
        <v>0</v>
      </c>
      <c r="H160">
        <v>1.08</v>
      </c>
    </row>
    <row r="161" spans="1:8" x14ac:dyDescent="0.55000000000000004">
      <c r="A161" s="11" t="str">
        <f t="shared" si="6"/>
        <v>2月</v>
      </c>
      <c r="B161" s="11" t="str">
        <f t="shared" si="7"/>
        <v>2月7日</v>
      </c>
      <c r="C161" s="11" t="str">
        <f t="shared" si="8"/>
        <v>14時</v>
      </c>
      <c r="D161" s="10">
        <v>45695.541666666664</v>
      </c>
      <c r="E161">
        <v>0</v>
      </c>
      <c r="F161">
        <v>2.11</v>
      </c>
      <c r="G161">
        <v>0</v>
      </c>
      <c r="H161">
        <v>2.15</v>
      </c>
    </row>
    <row r="162" spans="1:8" x14ac:dyDescent="0.55000000000000004">
      <c r="A162" s="11" t="str">
        <f t="shared" si="6"/>
        <v>2月</v>
      </c>
      <c r="B162" s="11" t="str">
        <f t="shared" si="7"/>
        <v>2月7日</v>
      </c>
      <c r="C162" s="11" t="str">
        <f t="shared" si="8"/>
        <v>15時</v>
      </c>
      <c r="D162" s="10">
        <v>45695.583333333336</v>
      </c>
      <c r="E162">
        <v>0</v>
      </c>
      <c r="F162">
        <v>1.05</v>
      </c>
      <c r="G162">
        <v>0</v>
      </c>
      <c r="H162">
        <v>1.0900000000000001</v>
      </c>
    </row>
    <row r="163" spans="1:8" x14ac:dyDescent="0.55000000000000004">
      <c r="A163" s="11" t="str">
        <f t="shared" si="6"/>
        <v>2月</v>
      </c>
      <c r="B163" s="11" t="str">
        <f t="shared" si="7"/>
        <v>2月7日</v>
      </c>
      <c r="C163" s="11" t="str">
        <f t="shared" si="8"/>
        <v>16時</v>
      </c>
      <c r="D163" s="10">
        <v>45695.625</v>
      </c>
      <c r="E163">
        <v>0</v>
      </c>
      <c r="F163">
        <v>3.17</v>
      </c>
      <c r="G163">
        <v>0</v>
      </c>
      <c r="H163">
        <v>3.21</v>
      </c>
    </row>
    <row r="164" spans="1:8" x14ac:dyDescent="0.55000000000000004">
      <c r="A164" s="11" t="str">
        <f t="shared" si="6"/>
        <v>2月</v>
      </c>
      <c r="B164" s="11" t="str">
        <f t="shared" si="7"/>
        <v>2月7日</v>
      </c>
      <c r="C164" s="11" t="str">
        <f t="shared" si="8"/>
        <v>17時</v>
      </c>
      <c r="D164" s="10">
        <v>45695.666666666664</v>
      </c>
      <c r="E164">
        <v>0</v>
      </c>
      <c r="F164">
        <v>3.16</v>
      </c>
      <c r="G164">
        <v>0</v>
      </c>
      <c r="H164">
        <v>3.2</v>
      </c>
    </row>
    <row r="165" spans="1:8" x14ac:dyDescent="0.55000000000000004">
      <c r="A165" s="11" t="str">
        <f t="shared" si="6"/>
        <v>2月</v>
      </c>
      <c r="B165" s="11" t="str">
        <f t="shared" si="7"/>
        <v>2月7日</v>
      </c>
      <c r="C165" s="11" t="str">
        <f t="shared" si="8"/>
        <v>18時</v>
      </c>
      <c r="D165" s="10">
        <v>45695.708333333336</v>
      </c>
      <c r="E165">
        <v>0</v>
      </c>
      <c r="F165">
        <v>1.97</v>
      </c>
      <c r="G165">
        <v>0</v>
      </c>
      <c r="H165">
        <v>2.0099999999999998</v>
      </c>
    </row>
    <row r="166" spans="1:8" x14ac:dyDescent="0.55000000000000004">
      <c r="A166" s="11" t="str">
        <f t="shared" si="6"/>
        <v>2月</v>
      </c>
      <c r="B166" s="11" t="str">
        <f t="shared" si="7"/>
        <v>2月7日</v>
      </c>
      <c r="C166" s="11" t="str">
        <f t="shared" si="8"/>
        <v>19時</v>
      </c>
      <c r="D166" s="10">
        <v>45695.75</v>
      </c>
      <c r="E166">
        <v>0</v>
      </c>
      <c r="F166">
        <v>1.65</v>
      </c>
      <c r="G166">
        <v>0</v>
      </c>
      <c r="H166">
        <v>1.69</v>
      </c>
    </row>
    <row r="167" spans="1:8" x14ac:dyDescent="0.55000000000000004">
      <c r="A167" s="11" t="str">
        <f t="shared" si="6"/>
        <v>2月</v>
      </c>
      <c r="B167" s="11" t="str">
        <f t="shared" si="7"/>
        <v>2月7日</v>
      </c>
      <c r="C167" s="11" t="str">
        <f t="shared" si="8"/>
        <v>20時</v>
      </c>
      <c r="D167" s="10">
        <v>45695.791666666664</v>
      </c>
      <c r="E167">
        <v>0</v>
      </c>
      <c r="F167">
        <v>1.42</v>
      </c>
      <c r="G167">
        <v>0</v>
      </c>
      <c r="H167">
        <v>1.46</v>
      </c>
    </row>
    <row r="168" spans="1:8" x14ac:dyDescent="0.55000000000000004">
      <c r="A168" s="11" t="str">
        <f t="shared" si="6"/>
        <v>2月</v>
      </c>
      <c r="B168" s="11" t="str">
        <f t="shared" si="7"/>
        <v>2月7日</v>
      </c>
      <c r="C168" s="11" t="str">
        <f t="shared" si="8"/>
        <v>21時</v>
      </c>
      <c r="D168" s="10">
        <v>45695.833333333336</v>
      </c>
      <c r="E168">
        <v>0</v>
      </c>
      <c r="F168">
        <v>1.1100000000000001</v>
      </c>
      <c r="G168">
        <v>0</v>
      </c>
      <c r="H168">
        <v>1.1399999999999999</v>
      </c>
    </row>
    <row r="169" spans="1:8" x14ac:dyDescent="0.55000000000000004">
      <c r="A169" s="11" t="str">
        <f t="shared" si="6"/>
        <v>2月</v>
      </c>
      <c r="B169" s="11" t="str">
        <f t="shared" si="7"/>
        <v>2月7日</v>
      </c>
      <c r="C169" s="11" t="str">
        <f t="shared" si="8"/>
        <v>22時</v>
      </c>
      <c r="D169" s="10">
        <v>45695.875</v>
      </c>
      <c r="E169">
        <v>0</v>
      </c>
      <c r="F169">
        <v>1.31</v>
      </c>
      <c r="G169">
        <v>0</v>
      </c>
      <c r="H169">
        <v>1.35</v>
      </c>
    </row>
    <row r="170" spans="1:8" x14ac:dyDescent="0.55000000000000004">
      <c r="A170" s="11" t="str">
        <f t="shared" si="6"/>
        <v>2月</v>
      </c>
      <c r="B170" s="11" t="str">
        <f t="shared" si="7"/>
        <v>2月7日</v>
      </c>
      <c r="C170" s="11" t="str">
        <f t="shared" si="8"/>
        <v>23時</v>
      </c>
      <c r="D170" s="10">
        <v>45695.916666666664</v>
      </c>
      <c r="E170">
        <v>0</v>
      </c>
      <c r="F170">
        <v>1.1499999999999999</v>
      </c>
      <c r="G170">
        <v>0</v>
      </c>
      <c r="H170">
        <v>1.19</v>
      </c>
    </row>
    <row r="171" spans="1:8" x14ac:dyDescent="0.55000000000000004">
      <c r="A171" s="11" t="str">
        <f t="shared" si="6"/>
        <v>2月</v>
      </c>
      <c r="B171" s="11" t="str">
        <f t="shared" si="7"/>
        <v>2月7日</v>
      </c>
      <c r="C171" s="11" t="str">
        <f t="shared" si="8"/>
        <v>24時</v>
      </c>
      <c r="D171" s="10">
        <v>45695.958333333336</v>
      </c>
      <c r="E171">
        <v>0</v>
      </c>
      <c r="F171">
        <v>1.26</v>
      </c>
      <c r="G171">
        <v>0</v>
      </c>
      <c r="H171">
        <v>1.29</v>
      </c>
    </row>
    <row r="172" spans="1:8" x14ac:dyDescent="0.55000000000000004">
      <c r="A172" s="11" t="str">
        <f t="shared" si="6"/>
        <v>2月</v>
      </c>
      <c r="B172" s="11" t="str">
        <f t="shared" si="7"/>
        <v>2月8日</v>
      </c>
      <c r="C172" s="11" t="str">
        <f t="shared" si="8"/>
        <v>1時</v>
      </c>
      <c r="D172" s="10">
        <v>45696</v>
      </c>
      <c r="E172">
        <v>0</v>
      </c>
      <c r="F172">
        <v>1.3</v>
      </c>
      <c r="G172">
        <v>0</v>
      </c>
      <c r="H172">
        <v>1.34</v>
      </c>
    </row>
    <row r="173" spans="1:8" x14ac:dyDescent="0.55000000000000004">
      <c r="A173" s="11" t="str">
        <f t="shared" si="6"/>
        <v>2月</v>
      </c>
      <c r="B173" s="11" t="str">
        <f t="shared" si="7"/>
        <v>2月8日</v>
      </c>
      <c r="C173" s="11" t="str">
        <f t="shared" si="8"/>
        <v>2時</v>
      </c>
      <c r="D173" s="10">
        <v>45696.041666666664</v>
      </c>
      <c r="E173">
        <v>0</v>
      </c>
      <c r="F173">
        <v>1.35</v>
      </c>
      <c r="G173">
        <v>0</v>
      </c>
      <c r="H173">
        <v>1.39</v>
      </c>
    </row>
    <row r="174" spans="1:8" x14ac:dyDescent="0.55000000000000004">
      <c r="A174" s="11" t="str">
        <f t="shared" si="6"/>
        <v>2月</v>
      </c>
      <c r="B174" s="11" t="str">
        <f t="shared" si="7"/>
        <v>2月8日</v>
      </c>
      <c r="C174" s="11" t="str">
        <f t="shared" si="8"/>
        <v>3時</v>
      </c>
      <c r="D174" s="10">
        <v>45696.083333333336</v>
      </c>
      <c r="E174">
        <v>0</v>
      </c>
      <c r="F174">
        <v>3</v>
      </c>
      <c r="G174">
        <v>0</v>
      </c>
      <c r="H174">
        <v>3.04</v>
      </c>
    </row>
    <row r="175" spans="1:8" x14ac:dyDescent="0.55000000000000004">
      <c r="A175" s="11" t="str">
        <f t="shared" si="6"/>
        <v>2月</v>
      </c>
      <c r="B175" s="11" t="str">
        <f t="shared" si="7"/>
        <v>2月8日</v>
      </c>
      <c r="C175" s="11" t="str">
        <f t="shared" si="8"/>
        <v>4時</v>
      </c>
      <c r="D175" s="10">
        <v>45696.125</v>
      </c>
      <c r="E175">
        <v>0</v>
      </c>
      <c r="F175">
        <v>1.29</v>
      </c>
      <c r="G175">
        <v>0</v>
      </c>
      <c r="H175">
        <v>1.33</v>
      </c>
    </row>
    <row r="176" spans="1:8" x14ac:dyDescent="0.55000000000000004">
      <c r="A176" s="11" t="str">
        <f t="shared" si="6"/>
        <v>2月</v>
      </c>
      <c r="B176" s="11" t="str">
        <f t="shared" si="7"/>
        <v>2月8日</v>
      </c>
      <c r="C176" s="11" t="str">
        <f t="shared" si="8"/>
        <v>5時</v>
      </c>
      <c r="D176" s="10">
        <v>45696.166666666664</v>
      </c>
      <c r="E176">
        <v>0</v>
      </c>
      <c r="F176">
        <v>1.47</v>
      </c>
      <c r="G176">
        <v>0</v>
      </c>
      <c r="H176">
        <v>1.51</v>
      </c>
    </row>
    <row r="177" spans="1:8" x14ac:dyDescent="0.55000000000000004">
      <c r="A177" s="11" t="str">
        <f t="shared" si="6"/>
        <v>2月</v>
      </c>
      <c r="B177" s="11" t="str">
        <f t="shared" si="7"/>
        <v>2月8日</v>
      </c>
      <c r="C177" s="11" t="str">
        <f t="shared" si="8"/>
        <v>6時</v>
      </c>
      <c r="D177" s="10">
        <v>45696.208333333336</v>
      </c>
      <c r="E177">
        <v>0</v>
      </c>
      <c r="F177">
        <v>1.31</v>
      </c>
      <c r="G177">
        <v>0</v>
      </c>
      <c r="H177">
        <v>1.34</v>
      </c>
    </row>
    <row r="178" spans="1:8" x14ac:dyDescent="0.55000000000000004">
      <c r="A178" s="11" t="str">
        <f t="shared" si="6"/>
        <v>2月</v>
      </c>
      <c r="B178" s="11" t="str">
        <f t="shared" si="7"/>
        <v>2月8日</v>
      </c>
      <c r="C178" s="11" t="str">
        <f t="shared" si="8"/>
        <v>7時</v>
      </c>
      <c r="D178" s="10">
        <v>45696.25</v>
      </c>
      <c r="E178">
        <v>0</v>
      </c>
      <c r="F178">
        <v>1.43</v>
      </c>
      <c r="G178">
        <v>0</v>
      </c>
      <c r="H178">
        <v>1.47</v>
      </c>
    </row>
    <row r="179" spans="1:8" x14ac:dyDescent="0.55000000000000004">
      <c r="A179" s="11" t="str">
        <f t="shared" si="6"/>
        <v>2月</v>
      </c>
      <c r="B179" s="11" t="str">
        <f t="shared" si="7"/>
        <v>2月8日</v>
      </c>
      <c r="C179" s="11" t="str">
        <f t="shared" si="8"/>
        <v>8時</v>
      </c>
      <c r="D179" s="10">
        <v>45696.291666666664</v>
      </c>
      <c r="E179">
        <v>0</v>
      </c>
      <c r="F179">
        <v>2.0499999999999998</v>
      </c>
      <c r="G179">
        <v>0</v>
      </c>
      <c r="H179">
        <v>2.08</v>
      </c>
    </row>
    <row r="180" spans="1:8" x14ac:dyDescent="0.55000000000000004">
      <c r="A180" s="11" t="str">
        <f t="shared" si="6"/>
        <v>2月</v>
      </c>
      <c r="B180" s="11" t="str">
        <f t="shared" si="7"/>
        <v>2月8日</v>
      </c>
      <c r="C180" s="11" t="str">
        <f t="shared" si="8"/>
        <v>9時</v>
      </c>
      <c r="D180" s="10">
        <v>45696.333333333336</v>
      </c>
      <c r="E180">
        <v>0</v>
      </c>
      <c r="F180">
        <v>1.9</v>
      </c>
      <c r="G180">
        <v>0</v>
      </c>
      <c r="H180">
        <v>1.93</v>
      </c>
    </row>
    <row r="181" spans="1:8" x14ac:dyDescent="0.55000000000000004">
      <c r="A181" s="11" t="str">
        <f t="shared" si="6"/>
        <v>2月</v>
      </c>
      <c r="B181" s="11" t="str">
        <f t="shared" si="7"/>
        <v>2月8日</v>
      </c>
      <c r="C181" s="11" t="str">
        <f t="shared" si="8"/>
        <v>10時</v>
      </c>
      <c r="D181" s="10">
        <v>45696.375</v>
      </c>
      <c r="E181">
        <v>0</v>
      </c>
      <c r="F181">
        <v>1.1499999999999999</v>
      </c>
      <c r="G181">
        <v>0</v>
      </c>
      <c r="H181">
        <v>1.18</v>
      </c>
    </row>
    <row r="182" spans="1:8" x14ac:dyDescent="0.55000000000000004">
      <c r="A182" s="11" t="str">
        <f t="shared" si="6"/>
        <v>2月</v>
      </c>
      <c r="B182" s="11" t="str">
        <f t="shared" si="7"/>
        <v>2月8日</v>
      </c>
      <c r="C182" s="11" t="str">
        <f t="shared" si="8"/>
        <v>11時</v>
      </c>
      <c r="D182" s="10">
        <v>45696.416666666664</v>
      </c>
      <c r="E182">
        <v>0</v>
      </c>
      <c r="F182">
        <v>0.97</v>
      </c>
      <c r="G182">
        <v>0</v>
      </c>
      <c r="H182">
        <v>1</v>
      </c>
    </row>
    <row r="183" spans="1:8" x14ac:dyDescent="0.55000000000000004">
      <c r="A183" s="11" t="str">
        <f t="shared" si="6"/>
        <v>2月</v>
      </c>
      <c r="B183" s="11" t="str">
        <f t="shared" si="7"/>
        <v>2月8日</v>
      </c>
      <c r="C183" s="11" t="str">
        <f t="shared" si="8"/>
        <v>12時</v>
      </c>
      <c r="D183" s="10">
        <v>45696.458333333336</v>
      </c>
      <c r="E183">
        <v>0</v>
      </c>
      <c r="F183">
        <v>0.94</v>
      </c>
      <c r="G183">
        <v>0</v>
      </c>
      <c r="H183">
        <v>0.96</v>
      </c>
    </row>
    <row r="184" spans="1:8" x14ac:dyDescent="0.55000000000000004">
      <c r="A184" s="11" t="str">
        <f t="shared" si="6"/>
        <v>2月</v>
      </c>
      <c r="B184" s="11" t="str">
        <f t="shared" si="7"/>
        <v>2月8日</v>
      </c>
      <c r="C184" s="11" t="str">
        <f t="shared" si="8"/>
        <v>13時</v>
      </c>
      <c r="D184" s="10">
        <v>45696.5</v>
      </c>
      <c r="E184">
        <v>0</v>
      </c>
      <c r="F184">
        <v>1.02</v>
      </c>
      <c r="G184">
        <v>0</v>
      </c>
      <c r="H184">
        <v>1.05</v>
      </c>
    </row>
    <row r="185" spans="1:8" x14ac:dyDescent="0.55000000000000004">
      <c r="A185" s="11" t="str">
        <f t="shared" si="6"/>
        <v>2月</v>
      </c>
      <c r="B185" s="11" t="str">
        <f t="shared" si="7"/>
        <v>2月8日</v>
      </c>
      <c r="C185" s="11" t="str">
        <f t="shared" si="8"/>
        <v>14時</v>
      </c>
      <c r="D185" s="10">
        <v>45696.541666666664</v>
      </c>
      <c r="E185">
        <v>0</v>
      </c>
      <c r="F185">
        <v>2.06</v>
      </c>
      <c r="G185">
        <v>0</v>
      </c>
      <c r="H185">
        <v>2.09</v>
      </c>
    </row>
    <row r="186" spans="1:8" x14ac:dyDescent="0.55000000000000004">
      <c r="A186" s="11" t="str">
        <f t="shared" si="6"/>
        <v>2月</v>
      </c>
      <c r="B186" s="11" t="str">
        <f t="shared" si="7"/>
        <v>2月8日</v>
      </c>
      <c r="C186" s="11" t="str">
        <f t="shared" si="8"/>
        <v>15時</v>
      </c>
      <c r="D186" s="10">
        <v>45696.583333333336</v>
      </c>
      <c r="E186">
        <v>0</v>
      </c>
      <c r="F186">
        <v>1.54</v>
      </c>
      <c r="G186">
        <v>0</v>
      </c>
      <c r="H186">
        <v>1.58</v>
      </c>
    </row>
    <row r="187" spans="1:8" x14ac:dyDescent="0.55000000000000004">
      <c r="A187" s="11" t="str">
        <f t="shared" si="6"/>
        <v>2月</v>
      </c>
      <c r="B187" s="11" t="str">
        <f t="shared" si="7"/>
        <v>2月8日</v>
      </c>
      <c r="C187" s="11" t="str">
        <f t="shared" si="8"/>
        <v>16時</v>
      </c>
      <c r="D187" s="10">
        <v>45696.625</v>
      </c>
      <c r="E187">
        <v>0</v>
      </c>
      <c r="F187">
        <v>2.2599999999999998</v>
      </c>
      <c r="G187">
        <v>0</v>
      </c>
      <c r="H187">
        <v>2.29</v>
      </c>
    </row>
    <row r="188" spans="1:8" x14ac:dyDescent="0.55000000000000004">
      <c r="A188" s="11" t="str">
        <f t="shared" si="6"/>
        <v>2月</v>
      </c>
      <c r="B188" s="11" t="str">
        <f t="shared" si="7"/>
        <v>2月8日</v>
      </c>
      <c r="C188" s="11" t="str">
        <f t="shared" si="8"/>
        <v>17時</v>
      </c>
      <c r="D188" s="10">
        <v>45696.666666666664</v>
      </c>
      <c r="E188">
        <v>0</v>
      </c>
      <c r="F188">
        <v>3.06</v>
      </c>
      <c r="G188">
        <v>0</v>
      </c>
      <c r="H188">
        <v>3.09</v>
      </c>
    </row>
    <row r="189" spans="1:8" x14ac:dyDescent="0.55000000000000004">
      <c r="A189" s="11" t="str">
        <f t="shared" si="6"/>
        <v>2月</v>
      </c>
      <c r="B189" s="11" t="str">
        <f t="shared" si="7"/>
        <v>2月8日</v>
      </c>
      <c r="C189" s="11" t="str">
        <f t="shared" si="8"/>
        <v>18時</v>
      </c>
      <c r="D189" s="10">
        <v>45696.708333333336</v>
      </c>
      <c r="E189">
        <v>0</v>
      </c>
      <c r="F189">
        <v>3.18</v>
      </c>
      <c r="G189">
        <v>0</v>
      </c>
      <c r="H189">
        <v>3.22</v>
      </c>
    </row>
    <row r="190" spans="1:8" x14ac:dyDescent="0.55000000000000004">
      <c r="A190" s="11" t="str">
        <f t="shared" si="6"/>
        <v>2月</v>
      </c>
      <c r="B190" s="11" t="str">
        <f t="shared" si="7"/>
        <v>2月8日</v>
      </c>
      <c r="C190" s="11" t="str">
        <f t="shared" si="8"/>
        <v>19時</v>
      </c>
      <c r="D190" s="10">
        <v>45696.75</v>
      </c>
      <c r="E190">
        <v>0</v>
      </c>
      <c r="F190">
        <v>4.07</v>
      </c>
      <c r="G190">
        <v>0</v>
      </c>
      <c r="H190">
        <v>4.1100000000000003</v>
      </c>
    </row>
    <row r="191" spans="1:8" x14ac:dyDescent="0.55000000000000004">
      <c r="A191" s="11" t="str">
        <f t="shared" si="6"/>
        <v>2月</v>
      </c>
      <c r="B191" s="11" t="str">
        <f t="shared" si="7"/>
        <v>2月8日</v>
      </c>
      <c r="C191" s="11" t="str">
        <f t="shared" si="8"/>
        <v>20時</v>
      </c>
      <c r="D191" s="10">
        <v>45696.791666666664</v>
      </c>
      <c r="E191">
        <v>0</v>
      </c>
      <c r="F191">
        <v>3.52</v>
      </c>
      <c r="G191">
        <v>0</v>
      </c>
      <c r="H191">
        <v>3.56</v>
      </c>
    </row>
    <row r="192" spans="1:8" x14ac:dyDescent="0.55000000000000004">
      <c r="A192" s="11" t="str">
        <f t="shared" si="6"/>
        <v>1月</v>
      </c>
      <c r="B192" s="11" t="str">
        <f t="shared" si="7"/>
        <v>1月0日</v>
      </c>
      <c r="C192" s="11" t="str">
        <f t="shared" si="8"/>
        <v>1時</v>
      </c>
      <c r="D192" s="10"/>
    </row>
    <row r="193" spans="1:4" x14ac:dyDescent="0.55000000000000004">
      <c r="A193" s="11" t="str">
        <f t="shared" si="6"/>
        <v>1月</v>
      </c>
      <c r="B193" s="11" t="str">
        <f t="shared" si="7"/>
        <v>1月0日</v>
      </c>
      <c r="C193" s="11" t="str">
        <f t="shared" si="8"/>
        <v>1時</v>
      </c>
      <c r="D193" s="10"/>
    </row>
    <row r="194" spans="1:4" x14ac:dyDescent="0.55000000000000004">
      <c r="A194" s="11" t="str">
        <f t="shared" si="6"/>
        <v>1月</v>
      </c>
      <c r="B194" s="11" t="str">
        <f t="shared" si="7"/>
        <v>1月0日</v>
      </c>
      <c r="C194" s="11" t="str">
        <f t="shared" si="8"/>
        <v>1時</v>
      </c>
      <c r="D194" s="10"/>
    </row>
    <row r="195" spans="1:4" x14ac:dyDescent="0.55000000000000004">
      <c r="A195" s="11" t="str">
        <f t="shared" si="6"/>
        <v>1月</v>
      </c>
      <c r="B195" s="11" t="str">
        <f t="shared" si="7"/>
        <v>1月0日</v>
      </c>
      <c r="C195" s="11" t="str">
        <f t="shared" si="8"/>
        <v>1時</v>
      </c>
      <c r="D195" s="10"/>
    </row>
    <row r="196" spans="1:4" x14ac:dyDescent="0.55000000000000004">
      <c r="A196" s="11" t="str">
        <f t="shared" ref="A196:A259" si="9">MONTH(D196)&amp;"月"</f>
        <v>1月</v>
      </c>
      <c r="B196" s="11" t="str">
        <f t="shared" ref="B196:B259" si="10">A196&amp;DAY(D196)&amp;"日"</f>
        <v>1月0日</v>
      </c>
      <c r="C196" s="11" t="str">
        <f t="shared" ref="C196:C259" si="11">HOUR(D196)+1&amp;"時"</f>
        <v>1時</v>
      </c>
      <c r="D196" s="10"/>
    </row>
    <row r="197" spans="1:4" x14ac:dyDescent="0.55000000000000004">
      <c r="A197" s="11" t="str">
        <f t="shared" si="9"/>
        <v>1月</v>
      </c>
      <c r="B197" s="11" t="str">
        <f t="shared" si="10"/>
        <v>1月0日</v>
      </c>
      <c r="C197" s="11" t="str">
        <f t="shared" si="11"/>
        <v>1時</v>
      </c>
      <c r="D197" s="10"/>
    </row>
    <row r="198" spans="1:4" x14ac:dyDescent="0.55000000000000004">
      <c r="A198" s="11" t="str">
        <f t="shared" si="9"/>
        <v>1月</v>
      </c>
      <c r="B198" s="11" t="str">
        <f t="shared" si="10"/>
        <v>1月0日</v>
      </c>
      <c r="C198" s="11" t="str">
        <f t="shared" si="11"/>
        <v>1時</v>
      </c>
      <c r="D198" s="10"/>
    </row>
    <row r="199" spans="1:4" x14ac:dyDescent="0.55000000000000004">
      <c r="A199" s="11" t="str">
        <f t="shared" si="9"/>
        <v>1月</v>
      </c>
      <c r="B199" s="11" t="str">
        <f t="shared" si="10"/>
        <v>1月0日</v>
      </c>
      <c r="C199" s="11" t="str">
        <f t="shared" si="11"/>
        <v>1時</v>
      </c>
      <c r="D199" s="10"/>
    </row>
    <row r="200" spans="1:4" x14ac:dyDescent="0.55000000000000004">
      <c r="A200" s="11" t="str">
        <f t="shared" si="9"/>
        <v>1月</v>
      </c>
      <c r="B200" s="11" t="str">
        <f t="shared" si="10"/>
        <v>1月0日</v>
      </c>
      <c r="C200" s="11" t="str">
        <f t="shared" si="11"/>
        <v>1時</v>
      </c>
      <c r="D200" s="10"/>
    </row>
    <row r="201" spans="1:4" x14ac:dyDescent="0.55000000000000004">
      <c r="A201" s="11" t="str">
        <f t="shared" si="9"/>
        <v>1月</v>
      </c>
      <c r="B201" s="11" t="str">
        <f t="shared" si="10"/>
        <v>1月0日</v>
      </c>
      <c r="C201" s="11" t="str">
        <f t="shared" si="11"/>
        <v>1時</v>
      </c>
      <c r="D201" s="10"/>
    </row>
    <row r="202" spans="1:4" x14ac:dyDescent="0.55000000000000004">
      <c r="A202" s="11" t="str">
        <f t="shared" si="9"/>
        <v>1月</v>
      </c>
      <c r="B202" s="11" t="str">
        <f t="shared" si="10"/>
        <v>1月0日</v>
      </c>
      <c r="C202" s="11" t="str">
        <f t="shared" si="11"/>
        <v>1時</v>
      </c>
      <c r="D202" s="10"/>
    </row>
    <row r="203" spans="1:4" x14ac:dyDescent="0.55000000000000004">
      <c r="A203" s="11" t="str">
        <f t="shared" si="9"/>
        <v>1月</v>
      </c>
      <c r="B203" s="11" t="str">
        <f t="shared" si="10"/>
        <v>1月0日</v>
      </c>
      <c r="C203" s="11" t="str">
        <f t="shared" si="11"/>
        <v>1時</v>
      </c>
      <c r="D203" s="10"/>
    </row>
    <row r="204" spans="1:4" x14ac:dyDescent="0.55000000000000004">
      <c r="A204" s="11" t="str">
        <f t="shared" si="9"/>
        <v>1月</v>
      </c>
      <c r="B204" s="11" t="str">
        <f t="shared" si="10"/>
        <v>1月0日</v>
      </c>
      <c r="C204" s="11" t="str">
        <f t="shared" si="11"/>
        <v>1時</v>
      </c>
      <c r="D204" s="10"/>
    </row>
    <row r="205" spans="1:4" x14ac:dyDescent="0.55000000000000004">
      <c r="A205" s="11" t="str">
        <f t="shared" si="9"/>
        <v>1月</v>
      </c>
      <c r="B205" s="11" t="str">
        <f t="shared" si="10"/>
        <v>1月0日</v>
      </c>
      <c r="C205" s="11" t="str">
        <f t="shared" si="11"/>
        <v>1時</v>
      </c>
      <c r="D205" s="10"/>
    </row>
    <row r="206" spans="1:4" x14ac:dyDescent="0.55000000000000004">
      <c r="A206" s="11" t="str">
        <f t="shared" si="9"/>
        <v>1月</v>
      </c>
      <c r="B206" s="11" t="str">
        <f t="shared" si="10"/>
        <v>1月0日</v>
      </c>
      <c r="C206" s="11" t="str">
        <f t="shared" si="11"/>
        <v>1時</v>
      </c>
      <c r="D206" s="10"/>
    </row>
    <row r="207" spans="1:4" x14ac:dyDescent="0.55000000000000004">
      <c r="A207" s="11" t="str">
        <f t="shared" si="9"/>
        <v>1月</v>
      </c>
      <c r="B207" s="11" t="str">
        <f t="shared" si="10"/>
        <v>1月0日</v>
      </c>
      <c r="C207" s="11" t="str">
        <f t="shared" si="11"/>
        <v>1時</v>
      </c>
      <c r="D207" s="10"/>
    </row>
    <row r="208" spans="1:4" x14ac:dyDescent="0.55000000000000004">
      <c r="A208" s="11" t="str">
        <f t="shared" si="9"/>
        <v>1月</v>
      </c>
      <c r="B208" s="11" t="str">
        <f t="shared" si="10"/>
        <v>1月0日</v>
      </c>
      <c r="C208" s="11" t="str">
        <f t="shared" si="11"/>
        <v>1時</v>
      </c>
      <c r="D208" s="10"/>
    </row>
    <row r="209" spans="1:4" x14ac:dyDescent="0.55000000000000004">
      <c r="A209" s="11" t="str">
        <f t="shared" si="9"/>
        <v>1月</v>
      </c>
      <c r="B209" s="11" t="str">
        <f t="shared" si="10"/>
        <v>1月0日</v>
      </c>
      <c r="C209" s="11" t="str">
        <f t="shared" si="11"/>
        <v>1時</v>
      </c>
      <c r="D209" s="10"/>
    </row>
    <row r="210" spans="1:4" x14ac:dyDescent="0.55000000000000004">
      <c r="A210" s="11" t="str">
        <f t="shared" si="9"/>
        <v>1月</v>
      </c>
      <c r="B210" s="11" t="str">
        <f t="shared" si="10"/>
        <v>1月0日</v>
      </c>
      <c r="C210" s="11" t="str">
        <f t="shared" si="11"/>
        <v>1時</v>
      </c>
      <c r="D210" s="10"/>
    </row>
    <row r="211" spans="1:4" x14ac:dyDescent="0.55000000000000004">
      <c r="A211" s="11" t="str">
        <f t="shared" si="9"/>
        <v>1月</v>
      </c>
      <c r="B211" s="11" t="str">
        <f t="shared" si="10"/>
        <v>1月0日</v>
      </c>
      <c r="C211" s="11" t="str">
        <f t="shared" si="11"/>
        <v>1時</v>
      </c>
      <c r="D211" s="10"/>
    </row>
    <row r="212" spans="1:4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4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4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4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4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4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4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4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4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4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4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4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4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261</v>
      </c>
      <c r="FA5" t="s">
        <v>261</v>
      </c>
      <c r="FB5" t="s">
        <v>261</v>
      </c>
      <c r="FC5" t="s">
        <v>261</v>
      </c>
      <c r="FD5" t="s">
        <v>261</v>
      </c>
      <c r="FE5" t="s">
        <v>261</v>
      </c>
      <c r="FF5" t="s">
        <v>261</v>
      </c>
      <c r="FG5" t="s">
        <v>261</v>
      </c>
      <c r="FH5" t="s">
        <v>261</v>
      </c>
      <c r="FI5" t="s">
        <v>261</v>
      </c>
      <c r="FJ5" t="s">
        <v>261</v>
      </c>
      <c r="FK5" t="s">
        <v>261</v>
      </c>
      <c r="FL5" t="s">
        <v>261</v>
      </c>
      <c r="FM5" t="s">
        <v>261</v>
      </c>
      <c r="FN5" t="s">
        <v>261</v>
      </c>
      <c r="FO5" t="s">
        <v>261</v>
      </c>
      <c r="FP5" t="s">
        <v>261</v>
      </c>
      <c r="FQ5" t="s">
        <v>261</v>
      </c>
      <c r="FR5" t="s">
        <v>261</v>
      </c>
      <c r="FS5" t="s">
        <v>261</v>
      </c>
      <c r="FT5" t="s">
        <v>261</v>
      </c>
      <c r="FU5" t="s">
        <v>261</v>
      </c>
      <c r="FV5" t="s">
        <v>261</v>
      </c>
      <c r="FW5" t="s">
        <v>261</v>
      </c>
      <c r="FX5" t="s">
        <v>261</v>
      </c>
      <c r="FY5" t="s">
        <v>261</v>
      </c>
      <c r="FZ5" t="s">
        <v>261</v>
      </c>
      <c r="GA5" t="s">
        <v>261</v>
      </c>
      <c r="GB5" t="s">
        <v>261</v>
      </c>
      <c r="GC5" t="s">
        <v>261</v>
      </c>
      <c r="GD5" t="s">
        <v>261</v>
      </c>
      <c r="GE5" t="s">
        <v>261</v>
      </c>
      <c r="GF5" t="s">
        <v>261</v>
      </c>
      <c r="GG5" t="s">
        <v>261</v>
      </c>
      <c r="GH5" t="s">
        <v>261</v>
      </c>
      <c r="GI5" t="s">
        <v>261</v>
      </c>
      <c r="GJ5" t="s">
        <v>261</v>
      </c>
      <c r="GK5" t="s">
        <v>261</v>
      </c>
      <c r="GL5" t="s">
        <v>261</v>
      </c>
      <c r="GM5" t="s">
        <v>261</v>
      </c>
      <c r="GN5" t="s">
        <v>261</v>
      </c>
      <c r="GO5" t="s">
        <v>261</v>
      </c>
      <c r="GP5" t="s">
        <v>261</v>
      </c>
      <c r="GQ5" t="s">
        <v>261</v>
      </c>
      <c r="GR5" t="s">
        <v>261</v>
      </c>
      <c r="GS5" t="s">
        <v>261</v>
      </c>
      <c r="GT5" t="s">
        <v>261</v>
      </c>
      <c r="GU5" t="s">
        <v>261</v>
      </c>
      <c r="GV5" t="s">
        <v>261</v>
      </c>
      <c r="GW5" t="s">
        <v>261</v>
      </c>
      <c r="GX5" t="s">
        <v>261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317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6">SUM(I7:I36)</f>
        <v>0</v>
      </c>
      <c r="J38" s="3">
        <f t="shared" si="16"/>
        <v>0</v>
      </c>
      <c r="K38" s="3">
        <f t="shared" si="16"/>
        <v>0</v>
      </c>
      <c r="L38" s="3">
        <f t="shared" si="16"/>
        <v>0</v>
      </c>
      <c r="M38" s="3">
        <f t="shared" si="16"/>
        <v>0</v>
      </c>
      <c r="N38" s="3">
        <f t="shared" si="16"/>
        <v>0</v>
      </c>
      <c r="O38" s="3">
        <f t="shared" si="16"/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>
        <f t="shared" si="16"/>
        <v>0</v>
      </c>
      <c r="U38" s="3">
        <f t="shared" si="16"/>
        <v>0</v>
      </c>
      <c r="V38" s="3">
        <f t="shared" si="16"/>
        <v>0</v>
      </c>
      <c r="W38" s="3">
        <f t="shared" si="16"/>
        <v>0</v>
      </c>
      <c r="X38" s="3">
        <f t="shared" si="16"/>
        <v>0</v>
      </c>
      <c r="Y38" s="3">
        <f t="shared" si="16"/>
        <v>0</v>
      </c>
      <c r="Z38" s="3">
        <f t="shared" si="16"/>
        <v>0</v>
      </c>
      <c r="AA38" s="3">
        <f t="shared" si="16"/>
        <v>0</v>
      </c>
      <c r="AB38" s="3">
        <f t="shared" si="16"/>
        <v>0</v>
      </c>
      <c r="AC38" s="3">
        <f t="shared" si="16"/>
        <v>0</v>
      </c>
      <c r="AD38" s="3">
        <f t="shared" si="16"/>
        <v>0</v>
      </c>
      <c r="AE38" s="3">
        <f t="shared" si="16"/>
        <v>0</v>
      </c>
      <c r="AF38" s="3">
        <f t="shared" si="16"/>
        <v>0</v>
      </c>
      <c r="AG38" s="3">
        <f t="shared" si="16"/>
        <v>0</v>
      </c>
      <c r="AH38" s="3">
        <f t="shared" si="16"/>
        <v>0</v>
      </c>
      <c r="AI38" s="3">
        <f t="shared" si="16"/>
        <v>0</v>
      </c>
      <c r="AJ38" s="3">
        <f t="shared" si="16"/>
        <v>0</v>
      </c>
      <c r="AK38" s="3">
        <f t="shared" si="16"/>
        <v>0</v>
      </c>
      <c r="AL38" s="3">
        <f t="shared" si="16"/>
        <v>0</v>
      </c>
      <c r="AM38" s="3">
        <f t="shared" si="16"/>
        <v>0</v>
      </c>
      <c r="AN38" s="3">
        <f t="shared" si="16"/>
        <v>0</v>
      </c>
      <c r="AO38" s="3">
        <f t="shared" si="16"/>
        <v>0</v>
      </c>
      <c r="AP38" s="3">
        <f t="shared" si="16"/>
        <v>0</v>
      </c>
      <c r="AQ38" s="3">
        <f t="shared" si="16"/>
        <v>0</v>
      </c>
      <c r="AR38" s="3">
        <f t="shared" si="16"/>
        <v>0</v>
      </c>
      <c r="AS38" s="3">
        <f t="shared" si="16"/>
        <v>0</v>
      </c>
      <c r="AT38" s="3">
        <f t="shared" si="16"/>
        <v>0</v>
      </c>
      <c r="AU38" s="3">
        <f t="shared" si="16"/>
        <v>0</v>
      </c>
      <c r="AV38" s="3">
        <f t="shared" si="16"/>
        <v>0</v>
      </c>
      <c r="AW38" s="3">
        <f t="shared" si="16"/>
        <v>0</v>
      </c>
      <c r="AX38" s="3">
        <f t="shared" si="16"/>
        <v>0</v>
      </c>
      <c r="AY38" s="3">
        <f t="shared" si="16"/>
        <v>0</v>
      </c>
      <c r="AZ38" s="3">
        <f t="shared" si="16"/>
        <v>0</v>
      </c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ref="BU38:EF38" si="17">SUM(BU7:BU36)</f>
        <v>0</v>
      </c>
      <c r="BV38" s="3">
        <f t="shared" si="17"/>
        <v>0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ref="EG38:GR38" si="18">SUM(EG7:EG36)</f>
        <v>0</v>
      </c>
      <c r="EH38" s="3">
        <f t="shared" si="18"/>
        <v>0</v>
      </c>
      <c r="EI38" s="3">
        <f t="shared" si="18"/>
        <v>0</v>
      </c>
      <c r="EJ38" s="3">
        <f t="shared" si="18"/>
        <v>0</v>
      </c>
      <c r="EK38" s="3">
        <f t="shared" si="18"/>
        <v>0</v>
      </c>
      <c r="EL38" s="3">
        <f t="shared" si="18"/>
        <v>0</v>
      </c>
      <c r="EM38" s="3">
        <f t="shared" si="18"/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ref="GS38:GX38" si="19">SUM(GS7:GS36)</f>
        <v>0</v>
      </c>
      <c r="GT38" s="3">
        <f t="shared" si="19"/>
        <v>0</v>
      </c>
      <c r="GU38" s="3">
        <f t="shared" si="19"/>
        <v>0</v>
      </c>
      <c r="GV38" s="3">
        <f t="shared" si="19"/>
        <v>0</v>
      </c>
      <c r="GW38" s="3">
        <f t="shared" si="19"/>
        <v>0</v>
      </c>
      <c r="GX38" s="3">
        <f t="shared" si="19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基本シート</vt:lpstr>
      <vt:lpstr>10月</vt:lpstr>
      <vt:lpstr>11月</vt:lpstr>
      <vt:lpstr>12月</vt:lpstr>
      <vt:lpstr>1月</vt:lpstr>
      <vt:lpstr>2月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2025-02-09T23:52:54Z</dcterms:modified>
</cp:coreProperties>
</file>